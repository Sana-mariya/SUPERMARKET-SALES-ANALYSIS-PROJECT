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hidePivotFieldList="1"/>
  <mc:AlternateContent xmlns:mc="http://schemas.openxmlformats.org/markup-compatibility/2006">
    <mc:Choice Requires="x15">
      <x15ac:absPath xmlns:x15ac="http://schemas.microsoft.com/office/spreadsheetml/2010/11/ac" url="https://d.docs.live.net/45914ef04ba62426/Desktop/Desktop/"/>
    </mc:Choice>
  </mc:AlternateContent>
  <xr:revisionPtr revIDLastSave="0" documentId="8_{9007DAC4-DC48-420C-9EAA-1B842F31ACF6}" xr6:coauthVersionLast="47" xr6:coauthVersionMax="47" xr10:uidLastSave="{00000000-0000-0000-0000-000000000000}"/>
  <bookViews>
    <workbookView xWindow="-108" yWindow="-108" windowWidth="23256" windowHeight="12456" firstSheet="4" xr2:uid="{00000000-000D-0000-FFFF-FFFF00000000}"/>
  </bookViews>
  <sheets>
    <sheet name="Raw_Data" sheetId="2" r:id="rId1"/>
    <sheet name="Data_Cleaning" sheetId="3" r:id="rId2"/>
    <sheet name="Analysis" sheetId="4" r:id="rId3"/>
    <sheet name="Pivot_Analysis" sheetId="5" r:id="rId4"/>
    <sheet name="Dashboard" sheetId="1" r:id="rId5"/>
  </sheets>
  <definedNames>
    <definedName name="ExternalData_1" localSheetId="2" hidden="1">Analysis!$A$1:$Z$1002</definedName>
    <definedName name="ExternalData_1" localSheetId="0" hidden="1">Raw_Data!$A$1:$Q$1001</definedName>
    <definedName name="Slicer_Branch">#N/A</definedName>
    <definedName name="Slicer_City">#N/A</definedName>
    <definedName name="Slicer_Month">#N/A</definedName>
    <definedName name="Slicer_Product_line">#N/A</definedName>
  </definedNames>
  <calcPr calcId="191028"/>
  <pivotCaches>
    <pivotCache cacheId="83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4" l="1"/>
  <c r="S2" i="4"/>
  <c r="T2" i="4"/>
  <c r="U2" i="4" s="1"/>
  <c r="R3" i="4"/>
  <c r="S3" i="4"/>
  <c r="T3" i="4"/>
  <c r="U3" i="4"/>
  <c r="R4" i="4"/>
  <c r="S4" i="4"/>
  <c r="T4" i="4"/>
  <c r="U4" i="4"/>
  <c r="R5" i="4"/>
  <c r="S5" i="4"/>
  <c r="T5" i="4"/>
  <c r="U5" i="4" s="1"/>
  <c r="R6" i="4"/>
  <c r="S6" i="4"/>
  <c r="T6" i="4"/>
  <c r="U6" i="4"/>
  <c r="R7" i="4"/>
  <c r="S7" i="4"/>
  <c r="T7" i="4"/>
  <c r="U7" i="4"/>
  <c r="R8" i="4"/>
  <c r="S8" i="4"/>
  <c r="T8" i="4"/>
  <c r="U8" i="4" s="1"/>
  <c r="R9" i="4"/>
  <c r="S9" i="4"/>
  <c r="T9" i="4"/>
  <c r="U9" i="4"/>
  <c r="R10" i="4"/>
  <c r="S10" i="4"/>
  <c r="T10" i="4"/>
  <c r="U10" i="4"/>
  <c r="R11" i="4"/>
  <c r="S11" i="4"/>
  <c r="T11" i="4"/>
  <c r="U11" i="4" s="1"/>
  <c r="R12" i="4"/>
  <c r="S12" i="4"/>
  <c r="T12" i="4"/>
  <c r="U12" i="4"/>
  <c r="R13" i="4"/>
  <c r="S13" i="4"/>
  <c r="T13" i="4"/>
  <c r="U13" i="4"/>
  <c r="R14" i="4"/>
  <c r="S14" i="4"/>
  <c r="T14" i="4"/>
  <c r="U14" i="4" s="1"/>
  <c r="R15" i="4"/>
  <c r="S15" i="4"/>
  <c r="T15" i="4"/>
  <c r="U15" i="4"/>
  <c r="R16" i="4"/>
  <c r="S16" i="4"/>
  <c r="T16" i="4"/>
  <c r="U16" i="4"/>
  <c r="R17" i="4"/>
  <c r="S17" i="4"/>
  <c r="T17" i="4"/>
  <c r="U17" i="4" s="1"/>
  <c r="R18" i="4"/>
  <c r="S18" i="4"/>
  <c r="T18" i="4"/>
  <c r="U18" i="4" s="1"/>
  <c r="R19" i="4"/>
  <c r="S19" i="4"/>
  <c r="T19" i="4"/>
  <c r="U19" i="4"/>
  <c r="R20" i="4"/>
  <c r="S20" i="4"/>
  <c r="T20" i="4"/>
  <c r="U20" i="4" s="1"/>
  <c r="R21" i="4"/>
  <c r="S21" i="4"/>
  <c r="T21" i="4"/>
  <c r="U21" i="4"/>
  <c r="R22" i="4"/>
  <c r="S22" i="4"/>
  <c r="T22" i="4"/>
  <c r="U22" i="4"/>
  <c r="R23" i="4"/>
  <c r="S23" i="4"/>
  <c r="T23" i="4"/>
  <c r="U23" i="4" s="1"/>
  <c r="R24" i="4"/>
  <c r="S24" i="4"/>
  <c r="T24" i="4"/>
  <c r="U24" i="4"/>
  <c r="R25" i="4"/>
  <c r="S25" i="4"/>
  <c r="T25" i="4"/>
  <c r="U25" i="4"/>
  <c r="R26" i="4"/>
  <c r="S26" i="4"/>
  <c r="T26" i="4"/>
  <c r="U26" i="4" s="1"/>
  <c r="R27" i="4"/>
  <c r="S27" i="4"/>
  <c r="T27" i="4"/>
  <c r="U27" i="4"/>
  <c r="R28" i="4"/>
  <c r="S28" i="4"/>
  <c r="T28" i="4"/>
  <c r="U28" i="4" s="1"/>
  <c r="R29" i="4"/>
  <c r="S29" i="4"/>
  <c r="T29" i="4"/>
  <c r="U29" i="4" s="1"/>
  <c r="R30" i="4"/>
  <c r="S30" i="4"/>
  <c r="T30" i="4"/>
  <c r="U30" i="4"/>
  <c r="R31" i="4"/>
  <c r="S31" i="4"/>
  <c r="T31" i="4"/>
  <c r="U31" i="4" s="1"/>
  <c r="R32" i="4"/>
  <c r="S32" i="4"/>
  <c r="T32" i="4"/>
  <c r="U32" i="4" s="1"/>
  <c r="R33" i="4"/>
  <c r="S33" i="4"/>
  <c r="T33" i="4"/>
  <c r="U33" i="4"/>
  <c r="R34" i="4"/>
  <c r="S34" i="4"/>
  <c r="T34" i="4"/>
  <c r="U34" i="4"/>
  <c r="R35" i="4"/>
  <c r="S35" i="4"/>
  <c r="T35" i="4"/>
  <c r="U35" i="4" s="1"/>
  <c r="R36" i="4"/>
  <c r="S36" i="4"/>
  <c r="T36" i="4"/>
  <c r="U36" i="4"/>
  <c r="R37" i="4"/>
  <c r="S37" i="4"/>
  <c r="T37" i="4"/>
  <c r="U37" i="4"/>
  <c r="R38" i="4"/>
  <c r="S38" i="4"/>
  <c r="T38" i="4"/>
  <c r="U38" i="4" s="1"/>
  <c r="R39" i="4"/>
  <c r="S39" i="4"/>
  <c r="T39" i="4"/>
  <c r="U39" i="4"/>
  <c r="R40" i="4"/>
  <c r="S40" i="4"/>
  <c r="T40" i="4"/>
  <c r="U40" i="4"/>
  <c r="R41" i="4"/>
  <c r="S41" i="4"/>
  <c r="T41" i="4"/>
  <c r="U41" i="4" s="1"/>
  <c r="R42" i="4"/>
  <c r="S42" i="4"/>
  <c r="T42" i="4"/>
  <c r="U42" i="4"/>
  <c r="R43" i="4"/>
  <c r="S43" i="4"/>
  <c r="T43" i="4"/>
  <c r="U43" i="4"/>
  <c r="R44" i="4"/>
  <c r="S44" i="4"/>
  <c r="T44" i="4"/>
  <c r="U44" i="4" s="1"/>
  <c r="R45" i="4"/>
  <c r="S45" i="4"/>
  <c r="T45" i="4"/>
  <c r="U45" i="4"/>
  <c r="R46" i="4"/>
  <c r="S46" i="4"/>
  <c r="T46" i="4"/>
  <c r="U46" i="4"/>
  <c r="R47" i="4"/>
  <c r="S47" i="4"/>
  <c r="T47" i="4"/>
  <c r="U47" i="4" s="1"/>
  <c r="R48" i="4"/>
  <c r="S48" i="4"/>
  <c r="T48" i="4"/>
  <c r="U48" i="4" s="1"/>
  <c r="R49" i="4"/>
  <c r="S49" i="4"/>
  <c r="T49" i="4"/>
  <c r="U49" i="4"/>
  <c r="R50" i="4"/>
  <c r="S50" i="4"/>
  <c r="T50" i="4"/>
  <c r="U50" i="4" s="1"/>
  <c r="R51" i="4"/>
  <c r="S51" i="4"/>
  <c r="T51" i="4"/>
  <c r="U51" i="4" s="1"/>
  <c r="R52" i="4"/>
  <c r="S52" i="4"/>
  <c r="T52" i="4"/>
  <c r="U52" i="4"/>
  <c r="R53" i="4"/>
  <c r="S53" i="4"/>
  <c r="T53" i="4"/>
  <c r="U53" i="4" s="1"/>
  <c r="R54" i="4"/>
  <c r="S54" i="4"/>
  <c r="T54" i="4"/>
  <c r="U54" i="4" s="1"/>
  <c r="R55" i="4"/>
  <c r="S55" i="4"/>
  <c r="T55" i="4"/>
  <c r="U55" i="4"/>
  <c r="R56" i="4"/>
  <c r="S56" i="4"/>
  <c r="T56" i="4"/>
  <c r="U56" i="4" s="1"/>
  <c r="R57" i="4"/>
  <c r="S57" i="4"/>
  <c r="T57" i="4"/>
  <c r="U57" i="4"/>
  <c r="R58" i="4"/>
  <c r="S58" i="4"/>
  <c r="T58" i="4"/>
  <c r="U58" i="4" s="1"/>
  <c r="R59" i="4"/>
  <c r="S59" i="4"/>
  <c r="T59" i="4"/>
  <c r="U59" i="4" s="1"/>
  <c r="R60" i="4"/>
  <c r="S60" i="4"/>
  <c r="T60" i="4"/>
  <c r="U60" i="4"/>
  <c r="R61" i="4"/>
  <c r="S61" i="4"/>
  <c r="T61" i="4"/>
  <c r="U61" i="4" s="1"/>
  <c r="R62" i="4"/>
  <c r="S62" i="4"/>
  <c r="T62" i="4"/>
  <c r="U62" i="4" s="1"/>
  <c r="R63" i="4"/>
  <c r="S63" i="4"/>
  <c r="T63" i="4"/>
  <c r="U63" i="4" s="1"/>
  <c r="R64" i="4"/>
  <c r="S64" i="4"/>
  <c r="T64" i="4"/>
  <c r="U64" i="4"/>
  <c r="R65" i="4"/>
  <c r="S65" i="4"/>
  <c r="T65" i="4"/>
  <c r="U65" i="4" s="1"/>
  <c r="R66" i="4"/>
  <c r="S66" i="4"/>
  <c r="T66" i="4"/>
  <c r="U66" i="4"/>
  <c r="R67" i="4"/>
  <c r="S67" i="4"/>
  <c r="T67" i="4"/>
  <c r="U67" i="4" s="1"/>
  <c r="R68" i="4"/>
  <c r="S68" i="4"/>
  <c r="T68" i="4"/>
  <c r="U68" i="4" s="1"/>
  <c r="R69" i="4"/>
  <c r="S69" i="4"/>
  <c r="T69" i="4"/>
  <c r="U69" i="4"/>
  <c r="R70" i="4"/>
  <c r="S70" i="4"/>
  <c r="T70" i="4"/>
  <c r="U70" i="4"/>
  <c r="R71" i="4"/>
  <c r="S71" i="4"/>
  <c r="T71" i="4"/>
  <c r="U71" i="4" s="1"/>
  <c r="R72" i="4"/>
  <c r="S72" i="4"/>
  <c r="T72" i="4"/>
  <c r="U72" i="4"/>
  <c r="R73" i="4"/>
  <c r="S73" i="4"/>
  <c r="T73" i="4"/>
  <c r="U73" i="4" s="1"/>
  <c r="R74" i="4"/>
  <c r="S74" i="4"/>
  <c r="T74" i="4"/>
  <c r="U74" i="4" s="1"/>
  <c r="R75" i="4"/>
  <c r="S75" i="4"/>
  <c r="T75" i="4"/>
  <c r="U75" i="4"/>
  <c r="R76" i="4"/>
  <c r="S76" i="4"/>
  <c r="T76" i="4"/>
  <c r="U76" i="4"/>
  <c r="R77" i="4"/>
  <c r="S77" i="4"/>
  <c r="T77" i="4"/>
  <c r="U77" i="4" s="1"/>
  <c r="R78" i="4"/>
  <c r="S78" i="4"/>
  <c r="T78" i="4"/>
  <c r="U78" i="4" s="1"/>
  <c r="R79" i="4"/>
  <c r="S79" i="4"/>
  <c r="T79" i="4"/>
  <c r="U79" i="4"/>
  <c r="R80" i="4"/>
  <c r="S80" i="4"/>
  <c r="T80" i="4"/>
  <c r="U80" i="4" s="1"/>
  <c r="R81" i="4"/>
  <c r="S81" i="4"/>
  <c r="T81" i="4"/>
  <c r="U81" i="4" s="1"/>
  <c r="R82" i="4"/>
  <c r="S82" i="4"/>
  <c r="T82" i="4"/>
  <c r="U82" i="4"/>
  <c r="R83" i="4"/>
  <c r="S83" i="4"/>
  <c r="T83" i="4"/>
  <c r="U83" i="4" s="1"/>
  <c r="R84" i="4"/>
  <c r="S84" i="4"/>
  <c r="T84" i="4"/>
  <c r="U84" i="4" s="1"/>
  <c r="R85" i="4"/>
  <c r="S85" i="4"/>
  <c r="T85" i="4"/>
  <c r="U85" i="4"/>
  <c r="R86" i="4"/>
  <c r="S86" i="4"/>
  <c r="T86" i="4"/>
  <c r="U86" i="4" s="1"/>
  <c r="R87" i="4"/>
  <c r="S87" i="4"/>
  <c r="T87" i="4"/>
  <c r="U87" i="4"/>
  <c r="R88" i="4"/>
  <c r="S88" i="4"/>
  <c r="T88" i="4"/>
  <c r="U88" i="4"/>
  <c r="R89" i="4"/>
  <c r="S89" i="4"/>
  <c r="T89" i="4"/>
  <c r="U89" i="4" s="1"/>
  <c r="R90" i="4"/>
  <c r="S90" i="4"/>
  <c r="T90" i="4"/>
  <c r="U90" i="4" s="1"/>
  <c r="R91" i="4"/>
  <c r="S91" i="4"/>
  <c r="T91" i="4"/>
  <c r="U91" i="4" s="1"/>
  <c r="R92" i="4"/>
  <c r="S92" i="4"/>
  <c r="T92" i="4"/>
  <c r="U92" i="4" s="1"/>
  <c r="R93" i="4"/>
  <c r="S93" i="4"/>
  <c r="T93" i="4"/>
  <c r="U93" i="4"/>
  <c r="R94" i="4"/>
  <c r="S94" i="4"/>
  <c r="T94" i="4"/>
  <c r="U94" i="4"/>
  <c r="R95" i="4"/>
  <c r="S95" i="4"/>
  <c r="T95" i="4"/>
  <c r="U95" i="4" s="1"/>
  <c r="R96" i="4"/>
  <c r="S96" i="4"/>
  <c r="T96" i="4"/>
  <c r="U96" i="4"/>
  <c r="R97" i="4"/>
  <c r="S97" i="4"/>
  <c r="T97" i="4"/>
  <c r="U97" i="4" s="1"/>
  <c r="R98" i="4"/>
  <c r="S98" i="4"/>
  <c r="T98" i="4"/>
  <c r="U98" i="4" s="1"/>
  <c r="R99" i="4"/>
  <c r="S99" i="4"/>
  <c r="T99" i="4"/>
  <c r="U99" i="4"/>
  <c r="R100" i="4"/>
  <c r="S100" i="4"/>
  <c r="T100" i="4"/>
  <c r="U100" i="4"/>
  <c r="R101" i="4"/>
  <c r="S101" i="4"/>
  <c r="T101" i="4"/>
  <c r="U101" i="4" s="1"/>
  <c r="R102" i="4"/>
  <c r="S102" i="4"/>
  <c r="T102" i="4"/>
  <c r="U102" i="4"/>
  <c r="R103" i="4"/>
  <c r="S103" i="4"/>
  <c r="T103" i="4"/>
  <c r="U103" i="4" s="1"/>
  <c r="R104" i="4"/>
  <c r="S104" i="4"/>
  <c r="T104" i="4"/>
  <c r="U104" i="4" s="1"/>
  <c r="R105" i="4"/>
  <c r="S105" i="4"/>
  <c r="T105" i="4"/>
  <c r="U105" i="4"/>
  <c r="R106" i="4"/>
  <c r="S106" i="4"/>
  <c r="T106" i="4"/>
  <c r="U106" i="4"/>
  <c r="R107" i="4"/>
  <c r="S107" i="4"/>
  <c r="T107" i="4"/>
  <c r="U107" i="4" s="1"/>
  <c r="R108" i="4"/>
  <c r="S108" i="4"/>
  <c r="T108" i="4"/>
  <c r="U108" i="4" s="1"/>
  <c r="R109" i="4"/>
  <c r="S109" i="4"/>
  <c r="T109" i="4"/>
  <c r="U109" i="4"/>
  <c r="R110" i="4"/>
  <c r="S110" i="4"/>
  <c r="T110" i="4"/>
  <c r="U110" i="4" s="1"/>
  <c r="R111" i="4"/>
  <c r="S111" i="4"/>
  <c r="T111" i="4"/>
  <c r="U111" i="4" s="1"/>
  <c r="R112" i="4"/>
  <c r="S112" i="4"/>
  <c r="T112" i="4"/>
  <c r="U112" i="4"/>
  <c r="R113" i="4"/>
  <c r="S113" i="4"/>
  <c r="T113" i="4"/>
  <c r="U113" i="4" s="1"/>
  <c r="R114" i="4"/>
  <c r="S114" i="4"/>
  <c r="T114" i="4"/>
  <c r="U114" i="4"/>
  <c r="R115" i="4"/>
  <c r="S115" i="4"/>
  <c r="T115" i="4"/>
  <c r="U115" i="4"/>
  <c r="R116" i="4"/>
  <c r="S116" i="4"/>
  <c r="T116" i="4"/>
  <c r="U116" i="4" s="1"/>
  <c r="R117" i="4"/>
  <c r="S117" i="4"/>
  <c r="T117" i="4"/>
  <c r="U117" i="4" s="1"/>
  <c r="R118" i="4"/>
  <c r="S118" i="4"/>
  <c r="T118" i="4"/>
  <c r="U118" i="4"/>
  <c r="R119" i="4"/>
  <c r="S119" i="4"/>
  <c r="T119" i="4"/>
  <c r="U119" i="4" s="1"/>
  <c r="R120" i="4"/>
  <c r="S120" i="4"/>
  <c r="T120" i="4"/>
  <c r="U120" i="4"/>
  <c r="R121" i="4"/>
  <c r="S121" i="4"/>
  <c r="T121" i="4"/>
  <c r="U121" i="4" s="1"/>
  <c r="R122" i="4"/>
  <c r="S122" i="4"/>
  <c r="T122" i="4"/>
  <c r="U122" i="4" s="1"/>
  <c r="R123" i="4"/>
  <c r="S123" i="4"/>
  <c r="T123" i="4"/>
  <c r="U123" i="4"/>
  <c r="R124" i="4"/>
  <c r="S124" i="4"/>
  <c r="T124" i="4"/>
  <c r="U124" i="4" s="1"/>
  <c r="R125" i="4"/>
  <c r="S125" i="4"/>
  <c r="T125" i="4"/>
  <c r="U125" i="4" s="1"/>
  <c r="R126" i="4"/>
  <c r="S126" i="4"/>
  <c r="T126" i="4"/>
  <c r="U126" i="4" s="1"/>
  <c r="R127" i="4"/>
  <c r="S127" i="4"/>
  <c r="T127" i="4"/>
  <c r="U127" i="4"/>
  <c r="R128" i="4"/>
  <c r="S128" i="4"/>
  <c r="T128" i="4"/>
  <c r="U128" i="4" s="1"/>
  <c r="R129" i="4"/>
  <c r="S129" i="4"/>
  <c r="T129" i="4"/>
  <c r="U129" i="4"/>
  <c r="R130" i="4"/>
  <c r="S130" i="4"/>
  <c r="T130" i="4"/>
  <c r="U130" i="4"/>
  <c r="R131" i="4"/>
  <c r="S131" i="4"/>
  <c r="T131" i="4"/>
  <c r="U131" i="4" s="1"/>
  <c r="R132" i="4"/>
  <c r="S132" i="4"/>
  <c r="T132" i="4"/>
  <c r="U132" i="4" s="1"/>
  <c r="R133" i="4"/>
  <c r="S133" i="4"/>
  <c r="T133" i="4"/>
  <c r="U133" i="4"/>
  <c r="R134" i="4"/>
  <c r="S134" i="4"/>
  <c r="T134" i="4"/>
  <c r="U134" i="4" s="1"/>
  <c r="R135" i="4"/>
  <c r="S135" i="4"/>
  <c r="T135" i="4"/>
  <c r="U135" i="4"/>
  <c r="R136" i="4"/>
  <c r="S136" i="4"/>
  <c r="T136" i="4"/>
  <c r="U136" i="4"/>
  <c r="R137" i="4"/>
  <c r="S137" i="4"/>
  <c r="T137" i="4"/>
  <c r="U137" i="4" s="1"/>
  <c r="R138" i="4"/>
  <c r="S138" i="4"/>
  <c r="T138" i="4"/>
  <c r="U138" i="4"/>
  <c r="R139" i="4"/>
  <c r="S139" i="4"/>
  <c r="T139" i="4"/>
  <c r="U139" i="4" s="1"/>
  <c r="R140" i="4"/>
  <c r="S140" i="4"/>
  <c r="T140" i="4"/>
  <c r="U140" i="4" s="1"/>
  <c r="R141" i="4"/>
  <c r="S141" i="4"/>
  <c r="T141" i="4"/>
  <c r="U141" i="4" s="1"/>
  <c r="R142" i="4"/>
  <c r="S142" i="4"/>
  <c r="T142" i="4"/>
  <c r="U142" i="4"/>
  <c r="R143" i="4"/>
  <c r="S143" i="4"/>
  <c r="T143" i="4"/>
  <c r="U143" i="4" s="1"/>
  <c r="R144" i="4"/>
  <c r="S144" i="4"/>
  <c r="T144" i="4"/>
  <c r="U144" i="4"/>
  <c r="R145" i="4"/>
  <c r="S145" i="4"/>
  <c r="T145" i="4"/>
  <c r="U145" i="4"/>
  <c r="R146" i="4"/>
  <c r="S146" i="4"/>
  <c r="T146" i="4"/>
  <c r="U146" i="4" s="1"/>
  <c r="R147" i="4"/>
  <c r="S147" i="4"/>
  <c r="T147" i="4"/>
  <c r="U147" i="4"/>
  <c r="R148" i="4"/>
  <c r="S148" i="4"/>
  <c r="T148" i="4"/>
  <c r="U148" i="4"/>
  <c r="R149" i="4"/>
  <c r="S149" i="4"/>
  <c r="T149" i="4"/>
  <c r="U149" i="4" s="1"/>
  <c r="R150" i="4"/>
  <c r="S150" i="4"/>
  <c r="T150" i="4"/>
  <c r="U150" i="4"/>
  <c r="R151" i="4"/>
  <c r="S151" i="4"/>
  <c r="T151" i="4"/>
  <c r="U151" i="4" s="1"/>
  <c r="R152" i="4"/>
  <c r="S152" i="4"/>
  <c r="T152" i="4"/>
  <c r="U152" i="4" s="1"/>
  <c r="R153" i="4"/>
  <c r="S153" i="4"/>
  <c r="T153" i="4"/>
  <c r="U153" i="4" s="1"/>
  <c r="R154" i="4"/>
  <c r="S154" i="4"/>
  <c r="T154" i="4"/>
  <c r="U154" i="4" s="1"/>
  <c r="R155" i="4"/>
  <c r="S155" i="4"/>
  <c r="T155" i="4"/>
  <c r="U155" i="4" s="1"/>
  <c r="R156" i="4"/>
  <c r="S156" i="4"/>
  <c r="T156" i="4"/>
  <c r="U156" i="4" s="1"/>
  <c r="R157" i="4"/>
  <c r="S157" i="4"/>
  <c r="T157" i="4"/>
  <c r="U157" i="4"/>
  <c r="R158" i="4"/>
  <c r="S158" i="4"/>
  <c r="T158" i="4"/>
  <c r="U158" i="4" s="1"/>
  <c r="R159" i="4"/>
  <c r="S159" i="4"/>
  <c r="T159" i="4"/>
  <c r="U159" i="4"/>
  <c r="R160" i="4"/>
  <c r="S160" i="4"/>
  <c r="T160" i="4"/>
  <c r="U160" i="4"/>
  <c r="R161" i="4"/>
  <c r="S161" i="4"/>
  <c r="T161" i="4"/>
  <c r="U161" i="4" s="1"/>
  <c r="R162" i="4"/>
  <c r="S162" i="4"/>
  <c r="T162" i="4"/>
  <c r="U162" i="4" s="1"/>
  <c r="R163" i="4"/>
  <c r="S163" i="4"/>
  <c r="T163" i="4"/>
  <c r="U163" i="4"/>
  <c r="R164" i="4"/>
  <c r="S164" i="4"/>
  <c r="T164" i="4"/>
  <c r="U164" i="4" s="1"/>
  <c r="R165" i="4"/>
  <c r="S165" i="4"/>
  <c r="T165" i="4"/>
  <c r="U165" i="4"/>
  <c r="R166" i="4"/>
  <c r="S166" i="4"/>
  <c r="T166" i="4"/>
  <c r="U166" i="4" s="1"/>
  <c r="R167" i="4"/>
  <c r="S167" i="4"/>
  <c r="T167" i="4"/>
  <c r="U167" i="4" s="1"/>
  <c r="R168" i="4"/>
  <c r="S168" i="4"/>
  <c r="T168" i="4"/>
  <c r="U168" i="4"/>
  <c r="R169" i="4"/>
  <c r="S169" i="4"/>
  <c r="T169" i="4"/>
  <c r="U169" i="4"/>
  <c r="R170" i="4"/>
  <c r="S170" i="4"/>
  <c r="T170" i="4"/>
  <c r="U170" i="4" s="1"/>
  <c r="R171" i="4"/>
  <c r="S171" i="4"/>
  <c r="T171" i="4"/>
  <c r="U171" i="4" s="1"/>
  <c r="R172" i="4"/>
  <c r="S172" i="4"/>
  <c r="T172" i="4"/>
  <c r="U172" i="4"/>
  <c r="R173" i="4"/>
  <c r="S173" i="4"/>
  <c r="T173" i="4"/>
  <c r="U173" i="4" s="1"/>
  <c r="R174" i="4"/>
  <c r="S174" i="4"/>
  <c r="T174" i="4"/>
  <c r="U174" i="4" s="1"/>
  <c r="R175" i="4"/>
  <c r="S175" i="4"/>
  <c r="T175" i="4"/>
  <c r="U175" i="4" s="1"/>
  <c r="R176" i="4"/>
  <c r="S176" i="4"/>
  <c r="T176" i="4"/>
  <c r="U176" i="4" s="1"/>
  <c r="R177" i="4"/>
  <c r="S177" i="4"/>
  <c r="T177" i="4"/>
  <c r="U177" i="4"/>
  <c r="R178" i="4"/>
  <c r="S178" i="4"/>
  <c r="T178" i="4"/>
  <c r="U178" i="4"/>
  <c r="R179" i="4"/>
  <c r="S179" i="4"/>
  <c r="T179" i="4"/>
  <c r="U179" i="4" s="1"/>
  <c r="R180" i="4"/>
  <c r="S180" i="4"/>
  <c r="T180" i="4"/>
  <c r="U180" i="4" s="1"/>
  <c r="R181" i="4"/>
  <c r="S181" i="4"/>
  <c r="T181" i="4"/>
  <c r="U181" i="4" s="1"/>
  <c r="R182" i="4"/>
  <c r="S182" i="4"/>
  <c r="T182" i="4"/>
  <c r="U182" i="4" s="1"/>
  <c r="R183" i="4"/>
  <c r="S183" i="4"/>
  <c r="T183" i="4"/>
  <c r="U183" i="4" s="1"/>
  <c r="R184" i="4"/>
  <c r="S184" i="4"/>
  <c r="T184" i="4"/>
  <c r="U184" i="4" s="1"/>
  <c r="R185" i="4"/>
  <c r="S185" i="4"/>
  <c r="T185" i="4"/>
  <c r="U185" i="4" s="1"/>
  <c r="R186" i="4"/>
  <c r="S186" i="4"/>
  <c r="T186" i="4"/>
  <c r="U186" i="4" s="1"/>
  <c r="R187" i="4"/>
  <c r="S187" i="4"/>
  <c r="T187" i="4"/>
  <c r="U187" i="4"/>
  <c r="R188" i="4"/>
  <c r="S188" i="4"/>
  <c r="T188" i="4"/>
  <c r="U188" i="4" s="1"/>
  <c r="R189" i="4"/>
  <c r="S189" i="4"/>
  <c r="T189" i="4"/>
  <c r="U189" i="4"/>
  <c r="R190" i="4"/>
  <c r="S190" i="4"/>
  <c r="T190" i="4"/>
  <c r="U190" i="4"/>
  <c r="R191" i="4"/>
  <c r="S191" i="4"/>
  <c r="T191" i="4"/>
  <c r="U191" i="4" s="1"/>
  <c r="R192" i="4"/>
  <c r="S192" i="4"/>
  <c r="T192" i="4"/>
  <c r="U192" i="4"/>
  <c r="R193" i="4"/>
  <c r="S193" i="4"/>
  <c r="T193" i="4"/>
  <c r="U193" i="4" s="1"/>
  <c r="R194" i="4"/>
  <c r="S194" i="4"/>
  <c r="T194" i="4"/>
  <c r="U194" i="4" s="1"/>
  <c r="R195" i="4"/>
  <c r="S195" i="4"/>
  <c r="T195" i="4"/>
  <c r="U195" i="4" s="1"/>
  <c r="R196" i="4"/>
  <c r="S196" i="4"/>
  <c r="T196" i="4"/>
  <c r="U196" i="4"/>
  <c r="R197" i="4"/>
  <c r="S197" i="4"/>
  <c r="T197" i="4"/>
  <c r="U197" i="4" s="1"/>
  <c r="R198" i="4"/>
  <c r="S198" i="4"/>
  <c r="T198" i="4"/>
  <c r="U198" i="4" s="1"/>
  <c r="R199" i="4"/>
  <c r="S199" i="4"/>
  <c r="T199" i="4"/>
  <c r="U199" i="4"/>
  <c r="R200" i="4"/>
  <c r="S200" i="4"/>
  <c r="T200" i="4"/>
  <c r="U200" i="4" s="1"/>
  <c r="R201" i="4"/>
  <c r="S201" i="4"/>
  <c r="T201" i="4"/>
  <c r="U201" i="4" s="1"/>
  <c r="R202" i="4"/>
  <c r="S202" i="4"/>
  <c r="T202" i="4"/>
  <c r="U202" i="4" s="1"/>
  <c r="R203" i="4"/>
  <c r="S203" i="4"/>
  <c r="T203" i="4"/>
  <c r="U203" i="4" s="1"/>
  <c r="R204" i="4"/>
  <c r="S204" i="4"/>
  <c r="T204" i="4"/>
  <c r="U204" i="4" s="1"/>
  <c r="R205" i="4"/>
  <c r="S205" i="4"/>
  <c r="T205" i="4"/>
  <c r="U205" i="4" s="1"/>
  <c r="R206" i="4"/>
  <c r="S206" i="4"/>
  <c r="T206" i="4"/>
  <c r="U206" i="4" s="1"/>
  <c r="R207" i="4"/>
  <c r="S207" i="4"/>
  <c r="T207" i="4"/>
  <c r="U207" i="4" s="1"/>
  <c r="R208" i="4"/>
  <c r="S208" i="4"/>
  <c r="T208" i="4"/>
  <c r="U208" i="4"/>
  <c r="R209" i="4"/>
  <c r="S209" i="4"/>
  <c r="T209" i="4"/>
  <c r="U209" i="4" s="1"/>
  <c r="R210" i="4"/>
  <c r="S210" i="4"/>
  <c r="T210" i="4"/>
  <c r="U210" i="4"/>
  <c r="R211" i="4"/>
  <c r="S211" i="4"/>
  <c r="T211" i="4"/>
  <c r="U211" i="4" s="1"/>
  <c r="R212" i="4"/>
  <c r="S212" i="4"/>
  <c r="T212" i="4"/>
  <c r="U212" i="4" s="1"/>
  <c r="R213" i="4"/>
  <c r="S213" i="4"/>
  <c r="T213" i="4"/>
  <c r="U213" i="4"/>
  <c r="R214" i="4"/>
  <c r="S214" i="4"/>
  <c r="T214" i="4"/>
  <c r="U214" i="4" s="1"/>
  <c r="R215" i="4"/>
  <c r="S215" i="4"/>
  <c r="T215" i="4"/>
  <c r="U215" i="4" s="1"/>
  <c r="R216" i="4"/>
  <c r="S216" i="4"/>
  <c r="T216" i="4"/>
  <c r="U216" i="4"/>
  <c r="R217" i="4"/>
  <c r="S217" i="4"/>
  <c r="T217" i="4"/>
  <c r="U217" i="4"/>
  <c r="R218" i="4"/>
  <c r="S218" i="4"/>
  <c r="T218" i="4"/>
  <c r="U218" i="4" s="1"/>
  <c r="R219" i="4"/>
  <c r="S219" i="4"/>
  <c r="T219" i="4"/>
  <c r="U219" i="4" s="1"/>
  <c r="R220" i="4"/>
  <c r="S220" i="4"/>
  <c r="T220" i="4"/>
  <c r="U220" i="4" s="1"/>
  <c r="R221" i="4"/>
  <c r="S221" i="4"/>
  <c r="T221" i="4"/>
  <c r="U221" i="4" s="1"/>
  <c r="R222" i="4"/>
  <c r="S222" i="4"/>
  <c r="T222" i="4"/>
  <c r="U222" i="4"/>
  <c r="R223" i="4"/>
  <c r="S223" i="4"/>
  <c r="T223" i="4"/>
  <c r="U223" i="4" s="1"/>
  <c r="R224" i="4"/>
  <c r="S224" i="4"/>
  <c r="T224" i="4"/>
  <c r="U224" i="4" s="1"/>
  <c r="R225" i="4"/>
  <c r="S225" i="4"/>
  <c r="T225" i="4"/>
  <c r="U225" i="4"/>
  <c r="R226" i="4"/>
  <c r="S226" i="4"/>
  <c r="T226" i="4"/>
  <c r="U226" i="4"/>
  <c r="R227" i="4"/>
  <c r="S227" i="4"/>
  <c r="T227" i="4"/>
  <c r="U227" i="4" s="1"/>
  <c r="R228" i="4"/>
  <c r="S228" i="4"/>
  <c r="T228" i="4"/>
  <c r="U228" i="4"/>
  <c r="R229" i="4"/>
  <c r="S229" i="4"/>
  <c r="T229" i="4"/>
  <c r="U229" i="4" s="1"/>
  <c r="R230" i="4"/>
  <c r="S230" i="4"/>
  <c r="T230" i="4"/>
  <c r="U230" i="4" s="1"/>
  <c r="R231" i="4"/>
  <c r="S231" i="4"/>
  <c r="T231" i="4"/>
  <c r="U231" i="4"/>
  <c r="R232" i="4"/>
  <c r="S232" i="4"/>
  <c r="T232" i="4"/>
  <c r="U232" i="4"/>
  <c r="R233" i="4"/>
  <c r="S233" i="4"/>
  <c r="T233" i="4"/>
  <c r="U233" i="4" s="1"/>
  <c r="R234" i="4"/>
  <c r="S234" i="4"/>
  <c r="T234" i="4"/>
  <c r="U234" i="4" s="1"/>
  <c r="R235" i="4"/>
  <c r="S235" i="4"/>
  <c r="T235" i="4"/>
  <c r="U235" i="4"/>
  <c r="R236" i="4"/>
  <c r="S236" i="4"/>
  <c r="T236" i="4"/>
  <c r="U236" i="4" s="1"/>
  <c r="R237" i="4"/>
  <c r="S237" i="4"/>
  <c r="T237" i="4"/>
  <c r="U237" i="4"/>
  <c r="R238" i="4"/>
  <c r="S238" i="4"/>
  <c r="T238" i="4"/>
  <c r="U238" i="4"/>
  <c r="R239" i="4"/>
  <c r="S239" i="4"/>
  <c r="T239" i="4"/>
  <c r="U239" i="4" s="1"/>
  <c r="R240" i="4"/>
  <c r="S240" i="4"/>
  <c r="T240" i="4"/>
  <c r="U240" i="4" s="1"/>
  <c r="R241" i="4"/>
  <c r="S241" i="4"/>
  <c r="T241" i="4"/>
  <c r="U241" i="4"/>
  <c r="R242" i="4"/>
  <c r="S242" i="4"/>
  <c r="T242" i="4"/>
  <c r="U242" i="4" s="1"/>
  <c r="R243" i="4"/>
  <c r="S243" i="4"/>
  <c r="T243" i="4"/>
  <c r="U243" i="4"/>
  <c r="R244" i="4"/>
  <c r="S244" i="4"/>
  <c r="T244" i="4"/>
  <c r="U244" i="4" s="1"/>
  <c r="R245" i="4"/>
  <c r="S245" i="4"/>
  <c r="T245" i="4"/>
  <c r="U245" i="4" s="1"/>
  <c r="R246" i="4"/>
  <c r="S246" i="4"/>
  <c r="T246" i="4"/>
  <c r="U246" i="4"/>
  <c r="R247" i="4"/>
  <c r="S247" i="4"/>
  <c r="T247" i="4"/>
  <c r="U247" i="4" s="1"/>
  <c r="R248" i="4"/>
  <c r="S248" i="4"/>
  <c r="T248" i="4"/>
  <c r="U248" i="4" s="1"/>
  <c r="R249" i="4"/>
  <c r="S249" i="4"/>
  <c r="T249" i="4"/>
  <c r="U249" i="4"/>
  <c r="R250" i="4"/>
  <c r="S250" i="4"/>
  <c r="T250" i="4"/>
  <c r="U250" i="4"/>
  <c r="R251" i="4"/>
  <c r="S251" i="4"/>
  <c r="T251" i="4"/>
  <c r="U251" i="4" s="1"/>
  <c r="R252" i="4"/>
  <c r="S252" i="4"/>
  <c r="T252" i="4"/>
  <c r="U252" i="4"/>
  <c r="R253" i="4"/>
  <c r="S253" i="4"/>
  <c r="T253" i="4"/>
  <c r="U253" i="4" s="1"/>
  <c r="R254" i="4"/>
  <c r="S254" i="4"/>
  <c r="T254" i="4"/>
  <c r="U254" i="4" s="1"/>
  <c r="R255" i="4"/>
  <c r="S255" i="4"/>
  <c r="T255" i="4"/>
  <c r="U255" i="4"/>
  <c r="R256" i="4"/>
  <c r="S256" i="4"/>
  <c r="T256" i="4"/>
  <c r="U256" i="4"/>
  <c r="R257" i="4"/>
  <c r="S257" i="4"/>
  <c r="T257" i="4"/>
  <c r="U257" i="4" s="1"/>
  <c r="R258" i="4"/>
  <c r="S258" i="4"/>
  <c r="T258" i="4"/>
  <c r="U258" i="4"/>
  <c r="R259" i="4"/>
  <c r="S259" i="4"/>
  <c r="T259" i="4"/>
  <c r="U259" i="4"/>
  <c r="R260" i="4"/>
  <c r="S260" i="4"/>
  <c r="T260" i="4"/>
  <c r="U260" i="4" s="1"/>
  <c r="R261" i="4"/>
  <c r="S261" i="4"/>
  <c r="T261" i="4"/>
  <c r="U261" i="4"/>
  <c r="R262" i="4"/>
  <c r="S262" i="4"/>
  <c r="T262" i="4"/>
  <c r="U262" i="4"/>
  <c r="R263" i="4"/>
  <c r="S263" i="4"/>
  <c r="T263" i="4"/>
  <c r="U263" i="4" s="1"/>
  <c r="R264" i="4"/>
  <c r="S264" i="4"/>
  <c r="T264" i="4"/>
  <c r="U264" i="4" s="1"/>
  <c r="R265" i="4"/>
  <c r="S265" i="4"/>
  <c r="T265" i="4"/>
  <c r="U265" i="4"/>
  <c r="R266" i="4"/>
  <c r="S266" i="4"/>
  <c r="T266" i="4"/>
  <c r="U266" i="4" s="1"/>
  <c r="R267" i="4"/>
  <c r="S267" i="4"/>
  <c r="T267" i="4"/>
  <c r="U267" i="4"/>
  <c r="R268" i="4"/>
  <c r="S268" i="4"/>
  <c r="T268" i="4"/>
  <c r="U268" i="4"/>
  <c r="R269" i="4"/>
  <c r="S269" i="4"/>
  <c r="T269" i="4"/>
  <c r="U269" i="4" s="1"/>
  <c r="R270" i="4"/>
  <c r="S270" i="4"/>
  <c r="T270" i="4"/>
  <c r="U270" i="4" s="1"/>
  <c r="R271" i="4"/>
  <c r="S271" i="4"/>
  <c r="T271" i="4"/>
  <c r="U271" i="4"/>
  <c r="R272" i="4"/>
  <c r="S272" i="4"/>
  <c r="T272" i="4"/>
  <c r="U272" i="4" s="1"/>
  <c r="R273" i="4"/>
  <c r="S273" i="4"/>
  <c r="T273" i="4"/>
  <c r="U273" i="4"/>
  <c r="R274" i="4"/>
  <c r="S274" i="4"/>
  <c r="T274" i="4"/>
  <c r="U274" i="4"/>
  <c r="R275" i="4"/>
  <c r="S275" i="4"/>
  <c r="T275" i="4"/>
  <c r="U275" i="4" s="1"/>
  <c r="R276" i="4"/>
  <c r="S276" i="4"/>
  <c r="T276" i="4"/>
  <c r="U276" i="4"/>
  <c r="R277" i="4"/>
  <c r="S277" i="4"/>
  <c r="T277" i="4"/>
  <c r="U277" i="4" s="1"/>
  <c r="R278" i="4"/>
  <c r="S278" i="4"/>
  <c r="T278" i="4"/>
  <c r="U278" i="4" s="1"/>
  <c r="R279" i="4"/>
  <c r="S279" i="4"/>
  <c r="T279" i="4"/>
  <c r="U279" i="4"/>
  <c r="R280" i="4"/>
  <c r="S280" i="4"/>
  <c r="T280" i="4"/>
  <c r="U280" i="4"/>
  <c r="R281" i="4"/>
  <c r="S281" i="4"/>
  <c r="T281" i="4"/>
  <c r="U281" i="4" s="1"/>
  <c r="R282" i="4"/>
  <c r="S282" i="4"/>
  <c r="T282" i="4"/>
  <c r="U282" i="4"/>
  <c r="R283" i="4"/>
  <c r="S283" i="4"/>
  <c r="T283" i="4"/>
  <c r="U283" i="4" s="1"/>
  <c r="R284" i="4"/>
  <c r="S284" i="4"/>
  <c r="T284" i="4"/>
  <c r="U284" i="4" s="1"/>
  <c r="R285" i="4"/>
  <c r="S285" i="4"/>
  <c r="T285" i="4"/>
  <c r="U285" i="4"/>
  <c r="R286" i="4"/>
  <c r="S286" i="4"/>
  <c r="T286" i="4"/>
  <c r="U286" i="4"/>
  <c r="R287" i="4"/>
  <c r="S287" i="4"/>
  <c r="T287" i="4"/>
  <c r="U287" i="4" s="1"/>
  <c r="R288" i="4"/>
  <c r="S288" i="4"/>
  <c r="T288" i="4"/>
  <c r="U288" i="4"/>
  <c r="R289" i="4"/>
  <c r="S289" i="4"/>
  <c r="T289" i="4"/>
  <c r="U289" i="4"/>
  <c r="R290" i="4"/>
  <c r="S290" i="4"/>
  <c r="T290" i="4"/>
  <c r="U290" i="4" s="1"/>
  <c r="R291" i="4"/>
  <c r="S291" i="4"/>
  <c r="T291" i="4"/>
  <c r="U291" i="4"/>
  <c r="R292" i="4"/>
  <c r="S292" i="4"/>
  <c r="T292" i="4"/>
  <c r="U292" i="4"/>
  <c r="R293" i="4"/>
  <c r="S293" i="4"/>
  <c r="T293" i="4"/>
  <c r="U293" i="4" s="1"/>
  <c r="R294" i="4"/>
  <c r="S294" i="4"/>
  <c r="T294" i="4"/>
  <c r="U294" i="4" s="1"/>
  <c r="R295" i="4"/>
  <c r="S295" i="4"/>
  <c r="T295" i="4"/>
  <c r="U295" i="4"/>
  <c r="R296" i="4"/>
  <c r="S296" i="4"/>
  <c r="T296" i="4"/>
  <c r="U296" i="4" s="1"/>
  <c r="R297" i="4"/>
  <c r="S297" i="4"/>
  <c r="T297" i="4"/>
  <c r="U297" i="4"/>
  <c r="R298" i="4"/>
  <c r="S298" i="4"/>
  <c r="T298" i="4"/>
  <c r="U298" i="4"/>
  <c r="R299" i="4"/>
  <c r="S299" i="4"/>
  <c r="T299" i="4"/>
  <c r="U299" i="4" s="1"/>
  <c r="R300" i="4"/>
  <c r="S300" i="4"/>
  <c r="T300" i="4"/>
  <c r="U300" i="4" s="1"/>
  <c r="R301" i="4"/>
  <c r="S301" i="4"/>
  <c r="T301" i="4"/>
  <c r="U301" i="4"/>
  <c r="R302" i="4"/>
  <c r="S302" i="4"/>
  <c r="T302" i="4"/>
  <c r="U302" i="4" s="1"/>
  <c r="R303" i="4"/>
  <c r="S303" i="4"/>
  <c r="T303" i="4"/>
  <c r="U303" i="4"/>
  <c r="R304" i="4"/>
  <c r="S304" i="4"/>
  <c r="T304" i="4"/>
  <c r="U304" i="4" s="1"/>
  <c r="R305" i="4"/>
  <c r="S305" i="4"/>
  <c r="T305" i="4"/>
  <c r="U305" i="4" s="1"/>
  <c r="R306" i="4"/>
  <c r="S306" i="4"/>
  <c r="T306" i="4"/>
  <c r="U306" i="4" s="1"/>
  <c r="R307" i="4"/>
  <c r="S307" i="4"/>
  <c r="T307" i="4"/>
  <c r="U307" i="4" s="1"/>
  <c r="R308" i="4"/>
  <c r="S308" i="4"/>
  <c r="T308" i="4"/>
  <c r="U308" i="4" s="1"/>
  <c r="R309" i="4"/>
  <c r="S309" i="4"/>
  <c r="T309" i="4"/>
  <c r="U309" i="4"/>
  <c r="R310" i="4"/>
  <c r="S310" i="4"/>
  <c r="T310" i="4"/>
  <c r="U310" i="4"/>
  <c r="R311" i="4"/>
  <c r="S311" i="4"/>
  <c r="T311" i="4"/>
  <c r="U311" i="4" s="1"/>
  <c r="R312" i="4"/>
  <c r="S312" i="4"/>
  <c r="T312" i="4"/>
  <c r="U312" i="4"/>
  <c r="R313" i="4"/>
  <c r="S313" i="4"/>
  <c r="T313" i="4"/>
  <c r="U313" i="4" s="1"/>
  <c r="R314" i="4"/>
  <c r="S314" i="4"/>
  <c r="T314" i="4"/>
  <c r="U314" i="4" s="1"/>
  <c r="R315" i="4"/>
  <c r="S315" i="4"/>
  <c r="T315" i="4"/>
  <c r="U315" i="4"/>
  <c r="R316" i="4"/>
  <c r="S316" i="4"/>
  <c r="T316" i="4"/>
  <c r="U316" i="4"/>
  <c r="R317" i="4"/>
  <c r="S317" i="4"/>
  <c r="T317" i="4"/>
  <c r="U317" i="4" s="1"/>
  <c r="R318" i="4"/>
  <c r="S318" i="4"/>
  <c r="T318" i="4"/>
  <c r="U318" i="4"/>
  <c r="R319" i="4"/>
  <c r="S319" i="4"/>
  <c r="T319" i="4"/>
  <c r="U319" i="4" s="1"/>
  <c r="R320" i="4"/>
  <c r="S320" i="4"/>
  <c r="T320" i="4"/>
  <c r="U320" i="4" s="1"/>
  <c r="R321" i="4"/>
  <c r="S321" i="4"/>
  <c r="T321" i="4"/>
  <c r="U321" i="4"/>
  <c r="R322" i="4"/>
  <c r="S322" i="4"/>
  <c r="T322" i="4"/>
  <c r="U322" i="4"/>
  <c r="R323" i="4"/>
  <c r="S323" i="4"/>
  <c r="T323" i="4"/>
  <c r="U323" i="4" s="1"/>
  <c r="R324" i="4"/>
  <c r="S324" i="4"/>
  <c r="T324" i="4"/>
  <c r="U324" i="4" s="1"/>
  <c r="R325" i="4"/>
  <c r="S325" i="4"/>
  <c r="T325" i="4"/>
  <c r="U325" i="4"/>
  <c r="R326" i="4"/>
  <c r="S326" i="4"/>
  <c r="T326" i="4"/>
  <c r="U326" i="4" s="1"/>
  <c r="R327" i="4"/>
  <c r="S327" i="4"/>
  <c r="T327" i="4"/>
  <c r="U327" i="4"/>
  <c r="R328" i="4"/>
  <c r="S328" i="4"/>
  <c r="T328" i="4"/>
  <c r="U328" i="4"/>
  <c r="R329" i="4"/>
  <c r="S329" i="4"/>
  <c r="T329" i="4"/>
  <c r="U329" i="4" s="1"/>
  <c r="R330" i="4"/>
  <c r="S330" i="4"/>
  <c r="T330" i="4"/>
  <c r="U330" i="4"/>
  <c r="R331" i="4"/>
  <c r="S331" i="4"/>
  <c r="T331" i="4"/>
  <c r="U331" i="4" s="1"/>
  <c r="R332" i="4"/>
  <c r="S332" i="4"/>
  <c r="T332" i="4"/>
  <c r="U332" i="4" s="1"/>
  <c r="R333" i="4"/>
  <c r="S333" i="4"/>
  <c r="T333" i="4"/>
  <c r="U333" i="4"/>
  <c r="R334" i="4"/>
  <c r="S334" i="4"/>
  <c r="T334" i="4"/>
  <c r="U334" i="4"/>
  <c r="R335" i="4"/>
  <c r="S335" i="4"/>
  <c r="T335" i="4"/>
  <c r="U335" i="4" s="1"/>
  <c r="R336" i="4"/>
  <c r="S336" i="4"/>
  <c r="T336" i="4"/>
  <c r="U336" i="4" s="1"/>
  <c r="R337" i="4"/>
  <c r="S337" i="4"/>
  <c r="T337" i="4"/>
  <c r="U337" i="4"/>
  <c r="R338" i="4"/>
  <c r="S338" i="4"/>
  <c r="T338" i="4"/>
  <c r="U338" i="4" s="1"/>
  <c r="R339" i="4"/>
  <c r="S339" i="4"/>
  <c r="T339" i="4"/>
  <c r="U339" i="4"/>
  <c r="R340" i="4"/>
  <c r="S340" i="4"/>
  <c r="T340" i="4"/>
  <c r="U340" i="4"/>
  <c r="R341" i="4"/>
  <c r="S341" i="4"/>
  <c r="T341" i="4"/>
  <c r="U341" i="4" s="1"/>
  <c r="R342" i="4"/>
  <c r="S342" i="4"/>
  <c r="T342" i="4"/>
  <c r="U342" i="4" s="1"/>
  <c r="R343" i="4"/>
  <c r="S343" i="4"/>
  <c r="T343" i="4"/>
  <c r="U343" i="4"/>
  <c r="R344" i="4"/>
  <c r="S344" i="4"/>
  <c r="T344" i="4"/>
  <c r="U344" i="4" s="1"/>
  <c r="R345" i="4"/>
  <c r="S345" i="4"/>
  <c r="T345" i="4"/>
  <c r="U345" i="4"/>
  <c r="R346" i="4"/>
  <c r="S346" i="4"/>
  <c r="T346" i="4"/>
  <c r="U346" i="4"/>
  <c r="R347" i="4"/>
  <c r="S347" i="4"/>
  <c r="T347" i="4"/>
  <c r="U347" i="4" s="1"/>
  <c r="R348" i="4"/>
  <c r="S348" i="4"/>
  <c r="T348" i="4"/>
  <c r="U348" i="4" s="1"/>
  <c r="R349" i="4"/>
  <c r="S349" i="4"/>
  <c r="T349" i="4"/>
  <c r="U349" i="4" s="1"/>
  <c r="R350" i="4"/>
  <c r="S350" i="4"/>
  <c r="T350" i="4"/>
  <c r="U350" i="4" s="1"/>
  <c r="R351" i="4"/>
  <c r="S351" i="4"/>
  <c r="T351" i="4"/>
  <c r="U351" i="4" s="1"/>
  <c r="R352" i="4"/>
  <c r="S352" i="4"/>
  <c r="T352" i="4"/>
  <c r="U352" i="4"/>
  <c r="R353" i="4"/>
  <c r="S353" i="4"/>
  <c r="T353" i="4"/>
  <c r="U353" i="4" s="1"/>
  <c r="R354" i="4"/>
  <c r="S354" i="4"/>
  <c r="T354" i="4"/>
  <c r="U354" i="4"/>
  <c r="R355" i="4"/>
  <c r="S355" i="4"/>
  <c r="T355" i="4"/>
  <c r="U355" i="4" s="1"/>
  <c r="R356" i="4"/>
  <c r="S356" i="4"/>
  <c r="T356" i="4"/>
  <c r="U356" i="4" s="1"/>
  <c r="R357" i="4"/>
  <c r="S357" i="4"/>
  <c r="T357" i="4"/>
  <c r="U357" i="4"/>
  <c r="R358" i="4"/>
  <c r="S358" i="4"/>
  <c r="T358" i="4"/>
  <c r="U358" i="4"/>
  <c r="R359" i="4"/>
  <c r="S359" i="4"/>
  <c r="T359" i="4"/>
  <c r="U359" i="4" s="1"/>
  <c r="R360" i="4"/>
  <c r="S360" i="4"/>
  <c r="T360" i="4"/>
  <c r="U360" i="4"/>
  <c r="R361" i="4"/>
  <c r="S361" i="4"/>
  <c r="T361" i="4"/>
  <c r="U361" i="4" s="1"/>
  <c r="R362" i="4"/>
  <c r="S362" i="4"/>
  <c r="T362" i="4"/>
  <c r="U362" i="4" s="1"/>
  <c r="R363" i="4"/>
  <c r="S363" i="4"/>
  <c r="T363" i="4"/>
  <c r="U363" i="4"/>
  <c r="R364" i="4"/>
  <c r="S364" i="4"/>
  <c r="T364" i="4"/>
  <c r="U364" i="4"/>
  <c r="R365" i="4"/>
  <c r="S365" i="4"/>
  <c r="T365" i="4"/>
  <c r="U365" i="4" s="1"/>
  <c r="R366" i="4"/>
  <c r="S366" i="4"/>
  <c r="T366" i="4"/>
  <c r="U366" i="4"/>
  <c r="R367" i="4"/>
  <c r="S367" i="4"/>
  <c r="T367" i="4"/>
  <c r="U367" i="4"/>
  <c r="R368" i="4"/>
  <c r="S368" i="4"/>
  <c r="T368" i="4"/>
  <c r="U368" i="4" s="1"/>
  <c r="R369" i="4"/>
  <c r="S369" i="4"/>
  <c r="T369" i="4"/>
  <c r="U369" i="4"/>
  <c r="R370" i="4"/>
  <c r="S370" i="4"/>
  <c r="T370" i="4"/>
  <c r="U370" i="4"/>
  <c r="R371" i="4"/>
  <c r="S371" i="4"/>
  <c r="T371" i="4"/>
  <c r="U371" i="4" s="1"/>
  <c r="R372" i="4"/>
  <c r="S372" i="4"/>
  <c r="T372" i="4"/>
  <c r="U372" i="4" s="1"/>
  <c r="R373" i="4"/>
  <c r="S373" i="4"/>
  <c r="T373" i="4"/>
  <c r="U373" i="4"/>
  <c r="R374" i="4"/>
  <c r="S374" i="4"/>
  <c r="T374" i="4"/>
  <c r="U374" i="4" s="1"/>
  <c r="R375" i="4"/>
  <c r="S375" i="4"/>
  <c r="T375" i="4"/>
  <c r="U375" i="4"/>
  <c r="R376" i="4"/>
  <c r="S376" i="4"/>
  <c r="T376" i="4"/>
  <c r="U376" i="4"/>
  <c r="R377" i="4"/>
  <c r="S377" i="4"/>
  <c r="T377" i="4"/>
  <c r="U377" i="4" s="1"/>
  <c r="R378" i="4"/>
  <c r="S378" i="4"/>
  <c r="T378" i="4"/>
  <c r="U378" i="4" s="1"/>
  <c r="R379" i="4"/>
  <c r="S379" i="4"/>
  <c r="T379" i="4"/>
  <c r="U379" i="4"/>
  <c r="R380" i="4"/>
  <c r="S380" i="4"/>
  <c r="T380" i="4"/>
  <c r="U380" i="4" s="1"/>
  <c r="R381" i="4"/>
  <c r="S381" i="4"/>
  <c r="T381" i="4"/>
  <c r="U381" i="4"/>
  <c r="R382" i="4"/>
  <c r="S382" i="4"/>
  <c r="T382" i="4"/>
  <c r="U382" i="4"/>
  <c r="R383" i="4"/>
  <c r="S383" i="4"/>
  <c r="T383" i="4"/>
  <c r="U383" i="4" s="1"/>
  <c r="R384" i="4"/>
  <c r="S384" i="4"/>
  <c r="T384" i="4"/>
  <c r="U384" i="4"/>
  <c r="R385" i="4"/>
  <c r="S385" i="4"/>
  <c r="T385" i="4"/>
  <c r="U385" i="4" s="1"/>
  <c r="R386" i="4"/>
  <c r="S386" i="4"/>
  <c r="T386" i="4"/>
  <c r="U386" i="4" s="1"/>
  <c r="R387" i="4"/>
  <c r="S387" i="4"/>
  <c r="T387" i="4"/>
  <c r="U387" i="4"/>
  <c r="R388" i="4"/>
  <c r="S388" i="4"/>
  <c r="T388" i="4"/>
  <c r="U388" i="4"/>
  <c r="R389" i="4"/>
  <c r="S389" i="4"/>
  <c r="T389" i="4"/>
  <c r="U389" i="4" s="1"/>
  <c r="R390" i="4"/>
  <c r="S390" i="4"/>
  <c r="T390" i="4"/>
  <c r="U390" i="4"/>
  <c r="R391" i="4"/>
  <c r="S391" i="4"/>
  <c r="T391" i="4"/>
  <c r="U391" i="4" s="1"/>
  <c r="R392" i="4"/>
  <c r="S392" i="4"/>
  <c r="T392" i="4"/>
  <c r="U392" i="4" s="1"/>
  <c r="R393" i="4"/>
  <c r="S393" i="4"/>
  <c r="T393" i="4"/>
  <c r="U393" i="4"/>
  <c r="R394" i="4"/>
  <c r="S394" i="4"/>
  <c r="T394" i="4"/>
  <c r="U394" i="4"/>
  <c r="R395" i="4"/>
  <c r="S395" i="4"/>
  <c r="T395" i="4"/>
  <c r="U395" i="4" s="1"/>
  <c r="R396" i="4"/>
  <c r="S396" i="4"/>
  <c r="T396" i="4"/>
  <c r="U396" i="4"/>
  <c r="R397" i="4"/>
  <c r="S397" i="4"/>
  <c r="T397" i="4"/>
  <c r="U397" i="4"/>
  <c r="R398" i="4"/>
  <c r="S398" i="4"/>
  <c r="T398" i="4"/>
  <c r="U398" i="4" s="1"/>
  <c r="R399" i="4"/>
  <c r="S399" i="4"/>
  <c r="T399" i="4"/>
  <c r="U399" i="4"/>
  <c r="R400" i="4"/>
  <c r="S400" i="4"/>
  <c r="T400" i="4"/>
  <c r="U400" i="4"/>
  <c r="R401" i="4"/>
  <c r="S401" i="4"/>
  <c r="T401" i="4"/>
  <c r="U401" i="4" s="1"/>
  <c r="R402" i="4"/>
  <c r="S402" i="4"/>
  <c r="T402" i="4"/>
  <c r="U402" i="4" s="1"/>
  <c r="R403" i="4"/>
  <c r="S403" i="4"/>
  <c r="T403" i="4"/>
  <c r="U403" i="4"/>
  <c r="R404" i="4"/>
  <c r="S404" i="4"/>
  <c r="T404" i="4"/>
  <c r="U404" i="4" s="1"/>
  <c r="R405" i="4"/>
  <c r="S405" i="4"/>
  <c r="T405" i="4"/>
  <c r="U405" i="4"/>
  <c r="R406" i="4"/>
  <c r="S406" i="4"/>
  <c r="T406" i="4"/>
  <c r="U406" i="4"/>
  <c r="R407" i="4"/>
  <c r="S407" i="4"/>
  <c r="T407" i="4"/>
  <c r="U407" i="4" s="1"/>
  <c r="R408" i="4"/>
  <c r="S408" i="4"/>
  <c r="T408" i="4"/>
  <c r="U408" i="4" s="1"/>
  <c r="R409" i="4"/>
  <c r="S409" i="4"/>
  <c r="T409" i="4"/>
  <c r="U409" i="4"/>
  <c r="R410" i="4"/>
  <c r="S410" i="4"/>
  <c r="T410" i="4"/>
  <c r="U410" i="4" s="1"/>
  <c r="R411" i="4"/>
  <c r="S411" i="4"/>
  <c r="T411" i="4"/>
  <c r="U411" i="4"/>
  <c r="R412" i="4"/>
  <c r="S412" i="4"/>
  <c r="T412" i="4"/>
  <c r="U412" i="4" s="1"/>
  <c r="R413" i="4"/>
  <c r="S413" i="4"/>
  <c r="T413" i="4"/>
  <c r="U413" i="4" s="1"/>
  <c r="R414" i="4"/>
  <c r="S414" i="4"/>
  <c r="T414" i="4"/>
  <c r="U414" i="4" s="1"/>
  <c r="R415" i="4"/>
  <c r="S415" i="4"/>
  <c r="T415" i="4"/>
  <c r="U415" i="4" s="1"/>
  <c r="R416" i="4"/>
  <c r="S416" i="4"/>
  <c r="T416" i="4"/>
  <c r="U416" i="4" s="1"/>
  <c r="R417" i="4"/>
  <c r="S417" i="4"/>
  <c r="T417" i="4"/>
  <c r="U417" i="4"/>
  <c r="R418" i="4"/>
  <c r="S418" i="4"/>
  <c r="T418" i="4"/>
  <c r="U418" i="4"/>
  <c r="R419" i="4"/>
  <c r="S419" i="4"/>
  <c r="T419" i="4"/>
  <c r="U419" i="4" s="1"/>
  <c r="R420" i="4"/>
  <c r="S420" i="4"/>
  <c r="T420" i="4"/>
  <c r="U420" i="4"/>
  <c r="R421" i="4"/>
  <c r="S421" i="4"/>
  <c r="T421" i="4"/>
  <c r="U421" i="4" s="1"/>
  <c r="R422" i="4"/>
  <c r="S422" i="4"/>
  <c r="T422" i="4"/>
  <c r="U422" i="4" s="1"/>
  <c r="R423" i="4"/>
  <c r="S423" i="4"/>
  <c r="T423" i="4"/>
  <c r="U423" i="4"/>
  <c r="R424" i="4"/>
  <c r="S424" i="4"/>
  <c r="T424" i="4"/>
  <c r="U424" i="4"/>
  <c r="R425" i="4"/>
  <c r="S425" i="4"/>
  <c r="T425" i="4"/>
  <c r="U425" i="4" s="1"/>
  <c r="R426" i="4"/>
  <c r="S426" i="4"/>
  <c r="T426" i="4"/>
  <c r="U426" i="4"/>
  <c r="R427" i="4"/>
  <c r="S427" i="4"/>
  <c r="T427" i="4"/>
  <c r="U427" i="4" s="1"/>
  <c r="R428" i="4"/>
  <c r="S428" i="4"/>
  <c r="T428" i="4"/>
  <c r="U428" i="4" s="1"/>
  <c r="R429" i="4"/>
  <c r="S429" i="4"/>
  <c r="T429" i="4"/>
  <c r="U429" i="4"/>
  <c r="R430" i="4"/>
  <c r="S430" i="4"/>
  <c r="T430" i="4"/>
  <c r="U430" i="4"/>
  <c r="R431" i="4"/>
  <c r="S431" i="4"/>
  <c r="T431" i="4"/>
  <c r="U431" i="4" s="1"/>
  <c r="R432" i="4"/>
  <c r="S432" i="4"/>
  <c r="T432" i="4"/>
  <c r="U432" i="4" s="1"/>
  <c r="R433" i="4"/>
  <c r="S433" i="4"/>
  <c r="T433" i="4"/>
  <c r="U433" i="4"/>
  <c r="R434" i="4"/>
  <c r="S434" i="4"/>
  <c r="T434" i="4"/>
  <c r="U434" i="4" s="1"/>
  <c r="R435" i="4"/>
  <c r="S435" i="4"/>
  <c r="T435" i="4"/>
  <c r="U435" i="4"/>
  <c r="R436" i="4"/>
  <c r="S436" i="4"/>
  <c r="T436" i="4"/>
  <c r="U436" i="4"/>
  <c r="R437" i="4"/>
  <c r="S437" i="4"/>
  <c r="T437" i="4"/>
  <c r="U437" i="4" s="1"/>
  <c r="R438" i="4"/>
  <c r="S438" i="4"/>
  <c r="T438" i="4"/>
  <c r="U438" i="4"/>
  <c r="R439" i="4"/>
  <c r="S439" i="4"/>
  <c r="T439" i="4"/>
  <c r="U439" i="4" s="1"/>
  <c r="R440" i="4"/>
  <c r="S440" i="4"/>
  <c r="T440" i="4"/>
  <c r="U440" i="4" s="1"/>
  <c r="R441" i="4"/>
  <c r="S441" i="4"/>
  <c r="T441" i="4"/>
  <c r="U441" i="4"/>
  <c r="R442" i="4"/>
  <c r="S442" i="4"/>
  <c r="T442" i="4"/>
  <c r="U442" i="4"/>
  <c r="R443" i="4"/>
  <c r="S443" i="4"/>
  <c r="T443" i="4"/>
  <c r="U443" i="4" s="1"/>
  <c r="R444" i="4"/>
  <c r="S444" i="4"/>
  <c r="T444" i="4"/>
  <c r="U444" i="4" s="1"/>
  <c r="R445" i="4"/>
  <c r="S445" i="4"/>
  <c r="T445" i="4"/>
  <c r="U445" i="4"/>
  <c r="R446" i="4"/>
  <c r="S446" i="4"/>
  <c r="T446" i="4"/>
  <c r="U446" i="4" s="1"/>
  <c r="R447" i="4"/>
  <c r="S447" i="4"/>
  <c r="T447" i="4"/>
  <c r="U447" i="4"/>
  <c r="R448" i="4"/>
  <c r="S448" i="4"/>
  <c r="T448" i="4"/>
  <c r="U448" i="4"/>
  <c r="R449" i="4"/>
  <c r="S449" i="4"/>
  <c r="T449" i="4"/>
  <c r="U449" i="4" s="1"/>
  <c r="R450" i="4"/>
  <c r="S450" i="4"/>
  <c r="T450" i="4"/>
  <c r="U450" i="4" s="1"/>
  <c r="R451" i="4"/>
  <c r="S451" i="4"/>
  <c r="T451" i="4"/>
  <c r="U451" i="4"/>
  <c r="R452" i="4"/>
  <c r="S452" i="4"/>
  <c r="T452" i="4"/>
  <c r="U452" i="4" s="1"/>
  <c r="R453" i="4"/>
  <c r="S453" i="4"/>
  <c r="T453" i="4"/>
  <c r="U453" i="4"/>
  <c r="R454" i="4"/>
  <c r="S454" i="4"/>
  <c r="T454" i="4"/>
  <c r="U454" i="4"/>
  <c r="R455" i="4"/>
  <c r="S455" i="4"/>
  <c r="T455" i="4"/>
  <c r="U455" i="4" s="1"/>
  <c r="R456" i="4"/>
  <c r="S456" i="4"/>
  <c r="T456" i="4"/>
  <c r="U456" i="4" s="1"/>
  <c r="R457" i="4"/>
  <c r="S457" i="4"/>
  <c r="T457" i="4"/>
  <c r="U457" i="4" s="1"/>
  <c r="R458" i="4"/>
  <c r="S458" i="4"/>
  <c r="T458" i="4"/>
  <c r="U458" i="4" s="1"/>
  <c r="R459" i="4"/>
  <c r="S459" i="4"/>
  <c r="T459" i="4"/>
  <c r="U459" i="4" s="1"/>
  <c r="R460" i="4"/>
  <c r="S460" i="4"/>
  <c r="T460" i="4"/>
  <c r="U460" i="4"/>
  <c r="R461" i="4"/>
  <c r="S461" i="4"/>
  <c r="T461" i="4"/>
  <c r="U461" i="4" s="1"/>
  <c r="R462" i="4"/>
  <c r="S462" i="4"/>
  <c r="T462" i="4"/>
  <c r="U462" i="4"/>
  <c r="R463" i="4"/>
  <c r="S463" i="4"/>
  <c r="T463" i="4"/>
  <c r="U463" i="4" s="1"/>
  <c r="R464" i="4"/>
  <c r="S464" i="4"/>
  <c r="T464" i="4"/>
  <c r="U464" i="4" s="1"/>
  <c r="R465" i="4"/>
  <c r="S465" i="4"/>
  <c r="T465" i="4"/>
  <c r="U465" i="4"/>
  <c r="R466" i="4"/>
  <c r="S466" i="4"/>
  <c r="T466" i="4"/>
  <c r="U466" i="4"/>
  <c r="R467" i="4"/>
  <c r="S467" i="4"/>
  <c r="T467" i="4"/>
  <c r="U467" i="4" s="1"/>
  <c r="R468" i="4"/>
  <c r="S468" i="4"/>
  <c r="T468" i="4"/>
  <c r="U468" i="4"/>
  <c r="R469" i="4"/>
  <c r="S469" i="4"/>
  <c r="T469" i="4"/>
  <c r="U469" i="4" s="1"/>
  <c r="R470" i="4"/>
  <c r="S470" i="4"/>
  <c r="T470" i="4"/>
  <c r="U470" i="4" s="1"/>
  <c r="R471" i="4"/>
  <c r="S471" i="4"/>
  <c r="T471" i="4"/>
  <c r="U471" i="4"/>
  <c r="R472" i="4"/>
  <c r="S472" i="4"/>
  <c r="T472" i="4"/>
  <c r="U472" i="4"/>
  <c r="R473" i="4"/>
  <c r="S473" i="4"/>
  <c r="T473" i="4"/>
  <c r="U473" i="4" s="1"/>
  <c r="R474" i="4"/>
  <c r="S474" i="4"/>
  <c r="T474" i="4"/>
  <c r="U474" i="4"/>
  <c r="R475" i="4"/>
  <c r="S475" i="4"/>
  <c r="T475" i="4"/>
  <c r="U475" i="4"/>
  <c r="R476" i="4"/>
  <c r="S476" i="4"/>
  <c r="T476" i="4"/>
  <c r="U476" i="4" s="1"/>
  <c r="R477" i="4"/>
  <c r="S477" i="4"/>
  <c r="T477" i="4"/>
  <c r="U477" i="4"/>
  <c r="R478" i="4"/>
  <c r="S478" i="4"/>
  <c r="T478" i="4"/>
  <c r="U478" i="4"/>
  <c r="R479" i="4"/>
  <c r="S479" i="4"/>
  <c r="T479" i="4"/>
  <c r="U479" i="4" s="1"/>
  <c r="R480" i="4"/>
  <c r="S480" i="4"/>
  <c r="T480" i="4"/>
  <c r="U480" i="4"/>
  <c r="R481" i="4"/>
  <c r="S481" i="4"/>
  <c r="T481" i="4"/>
  <c r="U481" i="4"/>
  <c r="R482" i="4"/>
  <c r="S482" i="4"/>
  <c r="T482" i="4"/>
  <c r="U482" i="4" s="1"/>
  <c r="R483" i="4"/>
  <c r="S483" i="4"/>
  <c r="T483" i="4"/>
  <c r="U483" i="4"/>
  <c r="R484" i="4"/>
  <c r="S484" i="4"/>
  <c r="T484" i="4"/>
  <c r="U484" i="4"/>
  <c r="R485" i="4"/>
  <c r="S485" i="4"/>
  <c r="T485" i="4"/>
  <c r="U485" i="4" s="1"/>
  <c r="R486" i="4"/>
  <c r="S486" i="4"/>
  <c r="T486" i="4"/>
  <c r="U486" i="4" s="1"/>
  <c r="R487" i="4"/>
  <c r="S487" i="4"/>
  <c r="T487" i="4"/>
  <c r="U487" i="4"/>
  <c r="R488" i="4"/>
  <c r="S488" i="4"/>
  <c r="T488" i="4"/>
  <c r="U488" i="4" s="1"/>
  <c r="R489" i="4"/>
  <c r="S489" i="4"/>
  <c r="T489" i="4"/>
  <c r="U489" i="4"/>
  <c r="R490" i="4"/>
  <c r="S490" i="4"/>
  <c r="T490" i="4"/>
  <c r="U490" i="4"/>
  <c r="R491" i="4"/>
  <c r="S491" i="4"/>
  <c r="T491" i="4"/>
  <c r="U491" i="4" s="1"/>
  <c r="R492" i="4"/>
  <c r="S492" i="4"/>
  <c r="T492" i="4"/>
  <c r="U492" i="4" s="1"/>
  <c r="R493" i="4"/>
  <c r="S493" i="4"/>
  <c r="T493" i="4"/>
  <c r="U493" i="4"/>
  <c r="R494" i="4"/>
  <c r="S494" i="4"/>
  <c r="T494" i="4"/>
  <c r="U494" i="4" s="1"/>
  <c r="R495" i="4"/>
  <c r="S495" i="4"/>
  <c r="T495" i="4"/>
  <c r="U495" i="4"/>
  <c r="R496" i="4"/>
  <c r="S496" i="4"/>
  <c r="T496" i="4"/>
  <c r="U496" i="4"/>
  <c r="R497" i="4"/>
  <c r="S497" i="4"/>
  <c r="T497" i="4"/>
  <c r="U497" i="4" s="1"/>
  <c r="R498" i="4"/>
  <c r="S498" i="4"/>
  <c r="T498" i="4"/>
  <c r="U498" i="4"/>
  <c r="R499" i="4"/>
  <c r="S499" i="4"/>
  <c r="T499" i="4"/>
  <c r="U499" i="4" s="1"/>
  <c r="R500" i="4"/>
  <c r="S500" i="4"/>
  <c r="T500" i="4"/>
  <c r="U500" i="4" s="1"/>
  <c r="R501" i="4"/>
  <c r="S501" i="4"/>
  <c r="T501" i="4"/>
  <c r="U501" i="4"/>
  <c r="R502" i="4"/>
  <c r="S502" i="4"/>
  <c r="T502" i="4"/>
  <c r="U502" i="4"/>
  <c r="R503" i="4"/>
  <c r="S503" i="4"/>
  <c r="T503" i="4"/>
  <c r="U503" i="4" s="1"/>
  <c r="R504" i="4"/>
  <c r="S504" i="4"/>
  <c r="T504" i="4"/>
  <c r="U504" i="4"/>
  <c r="R505" i="4"/>
  <c r="S505" i="4"/>
  <c r="T505" i="4"/>
  <c r="U505" i="4" s="1"/>
  <c r="R506" i="4"/>
  <c r="S506" i="4"/>
  <c r="T506" i="4"/>
  <c r="U506" i="4" s="1"/>
  <c r="R507" i="4"/>
  <c r="S507" i="4"/>
  <c r="T507" i="4"/>
  <c r="U507" i="4"/>
  <c r="R508" i="4"/>
  <c r="S508" i="4"/>
  <c r="T508" i="4"/>
  <c r="U508" i="4"/>
  <c r="R509" i="4"/>
  <c r="S509" i="4"/>
  <c r="T509" i="4"/>
  <c r="U509" i="4" s="1"/>
  <c r="R510" i="4"/>
  <c r="S510" i="4"/>
  <c r="T510" i="4"/>
  <c r="U510" i="4"/>
  <c r="R511" i="4"/>
  <c r="S511" i="4"/>
  <c r="T511" i="4"/>
  <c r="U511" i="4"/>
  <c r="R512" i="4"/>
  <c r="S512" i="4"/>
  <c r="T512" i="4"/>
  <c r="U512" i="4" s="1"/>
  <c r="R513" i="4"/>
  <c r="S513" i="4"/>
  <c r="T513" i="4"/>
  <c r="U513" i="4"/>
  <c r="R514" i="4"/>
  <c r="S514" i="4"/>
  <c r="T514" i="4"/>
  <c r="U514" i="4"/>
  <c r="R515" i="4"/>
  <c r="S515" i="4"/>
  <c r="T515" i="4"/>
  <c r="U515" i="4" s="1"/>
  <c r="R516" i="4"/>
  <c r="S516" i="4"/>
  <c r="T516" i="4"/>
  <c r="U516" i="4"/>
  <c r="R517" i="4"/>
  <c r="S517" i="4"/>
  <c r="T517" i="4"/>
  <c r="U517" i="4"/>
  <c r="R518" i="4"/>
  <c r="S518" i="4"/>
  <c r="T518" i="4"/>
  <c r="U518" i="4" s="1"/>
  <c r="R519" i="4"/>
  <c r="S519" i="4"/>
  <c r="T519" i="4"/>
  <c r="U519" i="4"/>
  <c r="R520" i="4"/>
  <c r="S520" i="4"/>
  <c r="T520" i="4"/>
  <c r="U520" i="4"/>
  <c r="R521" i="4"/>
  <c r="S521" i="4"/>
  <c r="T521" i="4"/>
  <c r="U521" i="4" s="1"/>
  <c r="R522" i="4"/>
  <c r="S522" i="4"/>
  <c r="T522" i="4"/>
  <c r="U522" i="4" s="1"/>
  <c r="R523" i="4"/>
  <c r="S523" i="4"/>
  <c r="T523" i="4"/>
  <c r="U523" i="4"/>
  <c r="R524" i="4"/>
  <c r="S524" i="4"/>
  <c r="T524" i="4"/>
  <c r="U524" i="4" s="1"/>
  <c r="R525" i="4"/>
  <c r="S525" i="4"/>
  <c r="T525" i="4"/>
  <c r="U525" i="4"/>
  <c r="R526" i="4"/>
  <c r="S526" i="4"/>
  <c r="T526" i="4"/>
  <c r="U526" i="4"/>
  <c r="R527" i="4"/>
  <c r="S527" i="4"/>
  <c r="T527" i="4"/>
  <c r="U527" i="4" s="1"/>
  <c r="R528" i="4"/>
  <c r="S528" i="4"/>
  <c r="T528" i="4"/>
  <c r="U528" i="4" s="1"/>
  <c r="R529" i="4"/>
  <c r="S529" i="4"/>
  <c r="T529" i="4"/>
  <c r="U529" i="4"/>
  <c r="R530" i="4"/>
  <c r="S530" i="4"/>
  <c r="T530" i="4"/>
  <c r="U530" i="4" s="1"/>
  <c r="R531" i="4"/>
  <c r="S531" i="4"/>
  <c r="T531" i="4"/>
  <c r="U531" i="4"/>
  <c r="R532" i="4"/>
  <c r="S532" i="4"/>
  <c r="T532" i="4"/>
  <c r="U532" i="4"/>
  <c r="R533" i="4"/>
  <c r="S533" i="4"/>
  <c r="T533" i="4"/>
  <c r="U533" i="4" s="1"/>
  <c r="R534" i="4"/>
  <c r="S534" i="4"/>
  <c r="T534" i="4"/>
  <c r="U534" i="4"/>
  <c r="R535" i="4"/>
  <c r="S535" i="4"/>
  <c r="T535" i="4"/>
  <c r="U535" i="4" s="1"/>
  <c r="R536" i="4"/>
  <c r="S536" i="4"/>
  <c r="T536" i="4"/>
  <c r="U536" i="4" s="1"/>
  <c r="R537" i="4"/>
  <c r="S537" i="4"/>
  <c r="T537" i="4"/>
  <c r="U537" i="4"/>
  <c r="R538" i="4"/>
  <c r="S538" i="4"/>
  <c r="T538" i="4"/>
  <c r="U538" i="4" s="1"/>
  <c r="R539" i="4"/>
  <c r="S539" i="4"/>
  <c r="T539" i="4"/>
  <c r="U539" i="4" s="1"/>
  <c r="R540" i="4"/>
  <c r="S540" i="4"/>
  <c r="T540" i="4"/>
  <c r="U540" i="4"/>
  <c r="R541" i="4"/>
  <c r="S541" i="4"/>
  <c r="T541" i="4"/>
  <c r="U541" i="4" s="1"/>
  <c r="R542" i="4"/>
  <c r="S542" i="4"/>
  <c r="T542" i="4"/>
  <c r="U542" i="4" s="1"/>
  <c r="R543" i="4"/>
  <c r="S543" i="4"/>
  <c r="T543" i="4"/>
  <c r="U543" i="4"/>
  <c r="R544" i="4"/>
  <c r="S544" i="4"/>
  <c r="T544" i="4"/>
  <c r="U544" i="4"/>
  <c r="R545" i="4"/>
  <c r="S545" i="4"/>
  <c r="T545" i="4"/>
  <c r="U545" i="4" s="1"/>
  <c r="R546" i="4"/>
  <c r="S546" i="4"/>
  <c r="T546" i="4"/>
  <c r="U546" i="4"/>
  <c r="R547" i="4"/>
  <c r="S547" i="4"/>
  <c r="T547" i="4"/>
  <c r="U547" i="4"/>
  <c r="R548" i="4"/>
  <c r="S548" i="4"/>
  <c r="T548" i="4"/>
  <c r="U548" i="4" s="1"/>
  <c r="R549" i="4"/>
  <c r="S549" i="4"/>
  <c r="T549" i="4"/>
  <c r="U549" i="4"/>
  <c r="R550" i="4"/>
  <c r="S550" i="4"/>
  <c r="T550" i="4"/>
  <c r="U550" i="4"/>
  <c r="R551" i="4"/>
  <c r="S551" i="4"/>
  <c r="T551" i="4"/>
  <c r="U551" i="4" s="1"/>
  <c r="R552" i="4"/>
  <c r="S552" i="4"/>
  <c r="T552" i="4"/>
  <c r="U552" i="4"/>
  <c r="R553" i="4"/>
  <c r="S553" i="4"/>
  <c r="T553" i="4"/>
  <c r="U553" i="4"/>
  <c r="R554" i="4"/>
  <c r="S554" i="4"/>
  <c r="T554" i="4"/>
  <c r="U554" i="4" s="1"/>
  <c r="R555" i="4"/>
  <c r="S555" i="4"/>
  <c r="T555" i="4"/>
  <c r="U555" i="4"/>
  <c r="R556" i="4"/>
  <c r="S556" i="4"/>
  <c r="T556" i="4"/>
  <c r="U556" i="4"/>
  <c r="R557" i="4"/>
  <c r="S557" i="4"/>
  <c r="T557" i="4"/>
  <c r="U557" i="4" s="1"/>
  <c r="R558" i="4"/>
  <c r="S558" i="4"/>
  <c r="T558" i="4"/>
  <c r="U558" i="4" s="1"/>
  <c r="R559" i="4"/>
  <c r="S559" i="4"/>
  <c r="T559" i="4"/>
  <c r="U559" i="4"/>
  <c r="R560" i="4"/>
  <c r="S560" i="4"/>
  <c r="T560" i="4"/>
  <c r="U560" i="4" s="1"/>
  <c r="R561" i="4"/>
  <c r="S561" i="4"/>
  <c r="T561" i="4"/>
  <c r="U561" i="4" s="1"/>
  <c r="R562" i="4"/>
  <c r="S562" i="4"/>
  <c r="T562" i="4"/>
  <c r="U562" i="4"/>
  <c r="R563" i="4"/>
  <c r="S563" i="4"/>
  <c r="T563" i="4"/>
  <c r="U563" i="4" s="1"/>
  <c r="R564" i="4"/>
  <c r="S564" i="4"/>
  <c r="T564" i="4"/>
  <c r="U564" i="4" s="1"/>
  <c r="R565" i="4"/>
  <c r="S565" i="4"/>
  <c r="T565" i="4"/>
  <c r="U565" i="4"/>
  <c r="R566" i="4"/>
  <c r="S566" i="4"/>
  <c r="T566" i="4"/>
  <c r="U566" i="4" s="1"/>
  <c r="R567" i="4"/>
  <c r="S567" i="4"/>
  <c r="T567" i="4"/>
  <c r="U567" i="4"/>
  <c r="R568" i="4"/>
  <c r="S568" i="4"/>
  <c r="T568" i="4"/>
  <c r="U568" i="4"/>
  <c r="R569" i="4"/>
  <c r="S569" i="4"/>
  <c r="T569" i="4"/>
  <c r="U569" i="4" s="1"/>
  <c r="R570" i="4"/>
  <c r="S570" i="4"/>
  <c r="T570" i="4"/>
  <c r="U570" i="4"/>
  <c r="R571" i="4"/>
  <c r="S571" i="4"/>
  <c r="T571" i="4"/>
  <c r="U571" i="4" s="1"/>
  <c r="R572" i="4"/>
  <c r="S572" i="4"/>
  <c r="T572" i="4"/>
  <c r="U572" i="4" s="1"/>
  <c r="R573" i="4"/>
  <c r="S573" i="4"/>
  <c r="T573" i="4"/>
  <c r="U573" i="4"/>
  <c r="R574" i="4"/>
  <c r="S574" i="4"/>
  <c r="T574" i="4"/>
  <c r="U574" i="4" s="1"/>
  <c r="R575" i="4"/>
  <c r="S575" i="4"/>
  <c r="T575" i="4"/>
  <c r="U575" i="4" s="1"/>
  <c r="R576" i="4"/>
  <c r="S576" i="4"/>
  <c r="T576" i="4"/>
  <c r="U576" i="4"/>
  <c r="R577" i="4"/>
  <c r="S577" i="4"/>
  <c r="T577" i="4"/>
  <c r="U577" i="4" s="1"/>
  <c r="R578" i="4"/>
  <c r="S578" i="4"/>
  <c r="T578" i="4"/>
  <c r="U578" i="4" s="1"/>
  <c r="R579" i="4"/>
  <c r="S579" i="4"/>
  <c r="T579" i="4"/>
  <c r="U579" i="4"/>
  <c r="R580" i="4"/>
  <c r="S580" i="4"/>
  <c r="T580" i="4"/>
  <c r="U580" i="4"/>
  <c r="R581" i="4"/>
  <c r="S581" i="4"/>
  <c r="T581" i="4"/>
  <c r="U581" i="4" s="1"/>
  <c r="R582" i="4"/>
  <c r="S582" i="4"/>
  <c r="T582" i="4"/>
  <c r="U582" i="4"/>
  <c r="R583" i="4"/>
  <c r="S583" i="4"/>
  <c r="T583" i="4"/>
  <c r="U583" i="4"/>
  <c r="R584" i="4"/>
  <c r="S584" i="4"/>
  <c r="T584" i="4"/>
  <c r="U584" i="4" s="1"/>
  <c r="R585" i="4"/>
  <c r="S585" i="4"/>
  <c r="T585" i="4"/>
  <c r="U585" i="4"/>
  <c r="R586" i="4"/>
  <c r="S586" i="4"/>
  <c r="T586" i="4"/>
  <c r="U586" i="4"/>
  <c r="R587" i="4"/>
  <c r="S587" i="4"/>
  <c r="T587" i="4"/>
  <c r="U587" i="4" s="1"/>
  <c r="R588" i="4"/>
  <c r="S588" i="4"/>
  <c r="T588" i="4"/>
  <c r="U588" i="4"/>
  <c r="R589" i="4"/>
  <c r="S589" i="4"/>
  <c r="T589" i="4"/>
  <c r="U589" i="4"/>
  <c r="R590" i="4"/>
  <c r="S590" i="4"/>
  <c r="T590" i="4"/>
  <c r="U590" i="4" s="1"/>
  <c r="R591" i="4"/>
  <c r="S591" i="4"/>
  <c r="T591" i="4"/>
  <c r="U591" i="4"/>
  <c r="R592" i="4"/>
  <c r="S592" i="4"/>
  <c r="T592" i="4"/>
  <c r="U592" i="4"/>
  <c r="R593" i="4"/>
  <c r="S593" i="4"/>
  <c r="T593" i="4"/>
  <c r="U593" i="4" s="1"/>
  <c r="R594" i="4"/>
  <c r="S594" i="4"/>
  <c r="T594" i="4"/>
  <c r="U594" i="4" s="1"/>
  <c r="R595" i="4"/>
  <c r="S595" i="4"/>
  <c r="T595" i="4"/>
  <c r="U595" i="4"/>
  <c r="R596" i="4"/>
  <c r="S596" i="4"/>
  <c r="T596" i="4"/>
  <c r="U596" i="4" s="1"/>
  <c r="R597" i="4"/>
  <c r="S597" i="4"/>
  <c r="T597" i="4"/>
  <c r="U597" i="4" s="1"/>
  <c r="R598" i="4"/>
  <c r="S598" i="4"/>
  <c r="T598" i="4"/>
  <c r="U598" i="4"/>
  <c r="R599" i="4"/>
  <c r="S599" i="4"/>
  <c r="T599" i="4"/>
  <c r="U599" i="4" s="1"/>
  <c r="R600" i="4"/>
  <c r="S600" i="4"/>
  <c r="T600" i="4"/>
  <c r="U600" i="4" s="1"/>
  <c r="R601" i="4"/>
  <c r="S601" i="4"/>
  <c r="T601" i="4"/>
  <c r="U601" i="4"/>
  <c r="R602" i="4"/>
  <c r="S602" i="4"/>
  <c r="T602" i="4"/>
  <c r="U602" i="4" s="1"/>
  <c r="R603" i="4"/>
  <c r="S603" i="4"/>
  <c r="T603" i="4"/>
  <c r="U603" i="4"/>
  <c r="R604" i="4"/>
  <c r="S604" i="4"/>
  <c r="T604" i="4"/>
  <c r="U604" i="4"/>
  <c r="R605" i="4"/>
  <c r="S605" i="4"/>
  <c r="T605" i="4"/>
  <c r="U605" i="4" s="1"/>
  <c r="R606" i="4"/>
  <c r="S606" i="4"/>
  <c r="T606" i="4"/>
  <c r="U606" i="4"/>
  <c r="R607" i="4"/>
  <c r="S607" i="4"/>
  <c r="T607" i="4"/>
  <c r="U607" i="4" s="1"/>
  <c r="R608" i="4"/>
  <c r="S608" i="4"/>
  <c r="T608" i="4"/>
  <c r="U608" i="4" s="1"/>
  <c r="R609" i="4"/>
  <c r="S609" i="4"/>
  <c r="T609" i="4"/>
  <c r="U609" i="4"/>
  <c r="R610" i="4"/>
  <c r="S610" i="4"/>
  <c r="T610" i="4"/>
  <c r="U610" i="4" s="1"/>
  <c r="R611" i="4"/>
  <c r="S611" i="4"/>
  <c r="T611" i="4"/>
  <c r="U611" i="4" s="1"/>
  <c r="R612" i="4"/>
  <c r="S612" i="4"/>
  <c r="T612" i="4"/>
  <c r="U612" i="4"/>
  <c r="R613" i="4"/>
  <c r="S613" i="4"/>
  <c r="T613" i="4"/>
  <c r="U613" i="4" s="1"/>
  <c r="R614" i="4"/>
  <c r="S614" i="4"/>
  <c r="T614" i="4"/>
  <c r="U614" i="4" s="1"/>
  <c r="R615" i="4"/>
  <c r="S615" i="4"/>
  <c r="T615" i="4"/>
  <c r="U615" i="4"/>
  <c r="R616" i="4"/>
  <c r="S616" i="4"/>
  <c r="T616" i="4"/>
  <c r="U616" i="4"/>
  <c r="R617" i="4"/>
  <c r="S617" i="4"/>
  <c r="T617" i="4"/>
  <c r="U617" i="4" s="1"/>
  <c r="R618" i="4"/>
  <c r="S618" i="4"/>
  <c r="T618" i="4"/>
  <c r="U618" i="4"/>
  <c r="R619" i="4"/>
  <c r="S619" i="4"/>
  <c r="T619" i="4"/>
  <c r="U619" i="4"/>
  <c r="R620" i="4"/>
  <c r="S620" i="4"/>
  <c r="T620" i="4"/>
  <c r="U620" i="4" s="1"/>
  <c r="R621" i="4"/>
  <c r="S621" i="4"/>
  <c r="T621" i="4"/>
  <c r="U621" i="4"/>
  <c r="R622" i="4"/>
  <c r="S622" i="4"/>
  <c r="T622" i="4"/>
  <c r="U622" i="4"/>
  <c r="R623" i="4"/>
  <c r="S623" i="4"/>
  <c r="T623" i="4"/>
  <c r="U623" i="4" s="1"/>
  <c r="R624" i="4"/>
  <c r="S624" i="4"/>
  <c r="T624" i="4"/>
  <c r="U624" i="4"/>
  <c r="R625" i="4"/>
  <c r="S625" i="4"/>
  <c r="T625" i="4"/>
  <c r="U625" i="4"/>
  <c r="R626" i="4"/>
  <c r="S626" i="4"/>
  <c r="T626" i="4"/>
  <c r="U626" i="4" s="1"/>
  <c r="R627" i="4"/>
  <c r="S627" i="4"/>
  <c r="T627" i="4"/>
  <c r="U627" i="4"/>
  <c r="R628" i="4"/>
  <c r="S628" i="4"/>
  <c r="T628" i="4"/>
  <c r="U628" i="4"/>
  <c r="R629" i="4"/>
  <c r="S629" i="4"/>
  <c r="T629" i="4"/>
  <c r="U629" i="4" s="1"/>
  <c r="R630" i="4"/>
  <c r="S630" i="4"/>
  <c r="T630" i="4"/>
  <c r="U630" i="4" s="1"/>
  <c r="R631" i="4"/>
  <c r="S631" i="4"/>
  <c r="T631" i="4"/>
  <c r="U631" i="4"/>
  <c r="R632" i="4"/>
  <c r="S632" i="4"/>
  <c r="T632" i="4"/>
  <c r="U632" i="4" s="1"/>
  <c r="R633" i="4"/>
  <c r="S633" i="4"/>
  <c r="T633" i="4"/>
  <c r="U633" i="4" s="1"/>
  <c r="R634" i="4"/>
  <c r="S634" i="4"/>
  <c r="T634" i="4"/>
  <c r="U634" i="4"/>
  <c r="R635" i="4"/>
  <c r="S635" i="4"/>
  <c r="T635" i="4"/>
  <c r="U635" i="4" s="1"/>
  <c r="R636" i="4"/>
  <c r="S636" i="4"/>
  <c r="T636" i="4"/>
  <c r="U636" i="4" s="1"/>
  <c r="R637" i="4"/>
  <c r="S637" i="4"/>
  <c r="T637" i="4"/>
  <c r="U637" i="4"/>
  <c r="R638" i="4"/>
  <c r="S638" i="4"/>
  <c r="T638" i="4"/>
  <c r="U638" i="4" s="1"/>
  <c r="R639" i="4"/>
  <c r="S639" i="4"/>
  <c r="T639" i="4"/>
  <c r="U639" i="4"/>
  <c r="R640" i="4"/>
  <c r="S640" i="4"/>
  <c r="T640" i="4"/>
  <c r="U640" i="4"/>
  <c r="R641" i="4"/>
  <c r="S641" i="4"/>
  <c r="T641" i="4"/>
  <c r="U641" i="4" s="1"/>
  <c r="R642" i="4"/>
  <c r="S642" i="4"/>
  <c r="T642" i="4"/>
  <c r="U642" i="4"/>
  <c r="R643" i="4"/>
  <c r="S643" i="4"/>
  <c r="T643" i="4"/>
  <c r="U643" i="4" s="1"/>
  <c r="R644" i="4"/>
  <c r="S644" i="4"/>
  <c r="T644" i="4"/>
  <c r="U644" i="4" s="1"/>
  <c r="R645" i="4"/>
  <c r="S645" i="4"/>
  <c r="T645" i="4"/>
  <c r="U645" i="4"/>
  <c r="R646" i="4"/>
  <c r="S646" i="4"/>
  <c r="T646" i="4"/>
  <c r="U646" i="4" s="1"/>
  <c r="R647" i="4"/>
  <c r="S647" i="4"/>
  <c r="T647" i="4"/>
  <c r="U647" i="4" s="1"/>
  <c r="R648" i="4"/>
  <c r="S648" i="4"/>
  <c r="T648" i="4"/>
  <c r="U648" i="4"/>
  <c r="R649" i="4"/>
  <c r="S649" i="4"/>
  <c r="T649" i="4"/>
  <c r="U649" i="4" s="1"/>
  <c r="R650" i="4"/>
  <c r="S650" i="4"/>
  <c r="T650" i="4"/>
  <c r="U650" i="4" s="1"/>
  <c r="R651" i="4"/>
  <c r="S651" i="4"/>
  <c r="T651" i="4"/>
  <c r="U651" i="4"/>
  <c r="R652" i="4"/>
  <c r="S652" i="4"/>
  <c r="T652" i="4"/>
  <c r="U652" i="4"/>
  <c r="R653" i="4"/>
  <c r="S653" i="4"/>
  <c r="T653" i="4"/>
  <c r="U653" i="4" s="1"/>
  <c r="R654" i="4"/>
  <c r="S654" i="4"/>
  <c r="T654" i="4"/>
  <c r="U654" i="4"/>
  <c r="R655" i="4"/>
  <c r="S655" i="4"/>
  <c r="T655" i="4"/>
  <c r="U655" i="4"/>
  <c r="R656" i="4"/>
  <c r="S656" i="4"/>
  <c r="T656" i="4"/>
  <c r="U656" i="4" s="1"/>
  <c r="R657" i="4"/>
  <c r="S657" i="4"/>
  <c r="T657" i="4"/>
  <c r="U657" i="4"/>
  <c r="R658" i="4"/>
  <c r="S658" i="4"/>
  <c r="T658" i="4"/>
  <c r="U658" i="4"/>
  <c r="R659" i="4"/>
  <c r="S659" i="4"/>
  <c r="T659" i="4"/>
  <c r="U659" i="4" s="1"/>
  <c r="R660" i="4"/>
  <c r="S660" i="4"/>
  <c r="T660" i="4"/>
  <c r="U660" i="4"/>
  <c r="R661" i="4"/>
  <c r="S661" i="4"/>
  <c r="T661" i="4"/>
  <c r="U661" i="4"/>
  <c r="R662" i="4"/>
  <c r="S662" i="4"/>
  <c r="T662" i="4"/>
  <c r="U662" i="4" s="1"/>
  <c r="R663" i="4"/>
  <c r="S663" i="4"/>
  <c r="T663" i="4"/>
  <c r="U663" i="4"/>
  <c r="R664" i="4"/>
  <c r="S664" i="4"/>
  <c r="T664" i="4"/>
  <c r="U664" i="4"/>
  <c r="R665" i="4"/>
  <c r="S665" i="4"/>
  <c r="T665" i="4"/>
  <c r="U665" i="4" s="1"/>
  <c r="R666" i="4"/>
  <c r="S666" i="4"/>
  <c r="T666" i="4"/>
  <c r="U666" i="4" s="1"/>
  <c r="R667" i="4"/>
  <c r="S667" i="4"/>
  <c r="T667" i="4"/>
  <c r="U667" i="4"/>
  <c r="R668" i="4"/>
  <c r="S668" i="4"/>
  <c r="T668" i="4"/>
  <c r="U668" i="4" s="1"/>
  <c r="R669" i="4"/>
  <c r="S669" i="4"/>
  <c r="T669" i="4"/>
  <c r="U669" i="4" s="1"/>
  <c r="R670" i="4"/>
  <c r="S670" i="4"/>
  <c r="T670" i="4"/>
  <c r="U670" i="4"/>
  <c r="R671" i="4"/>
  <c r="S671" i="4"/>
  <c r="T671" i="4"/>
  <c r="U671" i="4" s="1"/>
  <c r="R672" i="4"/>
  <c r="S672" i="4"/>
  <c r="T672" i="4"/>
  <c r="U672" i="4" s="1"/>
  <c r="R673" i="4"/>
  <c r="S673" i="4"/>
  <c r="T673" i="4"/>
  <c r="U673" i="4"/>
  <c r="R674" i="4"/>
  <c r="S674" i="4"/>
  <c r="T674" i="4"/>
  <c r="U674" i="4" s="1"/>
  <c r="R675" i="4"/>
  <c r="S675" i="4"/>
  <c r="T675" i="4"/>
  <c r="U675" i="4"/>
  <c r="R676" i="4"/>
  <c r="S676" i="4"/>
  <c r="T676" i="4"/>
  <c r="U676" i="4"/>
  <c r="R677" i="4"/>
  <c r="S677" i="4"/>
  <c r="T677" i="4"/>
  <c r="U677" i="4" s="1"/>
  <c r="R678" i="4"/>
  <c r="S678" i="4"/>
  <c r="T678" i="4"/>
  <c r="U678" i="4"/>
  <c r="R679" i="4"/>
  <c r="S679" i="4"/>
  <c r="T679" i="4"/>
  <c r="U679" i="4" s="1"/>
  <c r="R680" i="4"/>
  <c r="S680" i="4"/>
  <c r="T680" i="4"/>
  <c r="U680" i="4" s="1"/>
  <c r="R681" i="4"/>
  <c r="S681" i="4"/>
  <c r="T681" i="4"/>
  <c r="U681" i="4"/>
  <c r="R682" i="4"/>
  <c r="S682" i="4"/>
  <c r="T682" i="4"/>
  <c r="U682" i="4" s="1"/>
  <c r="R683" i="4"/>
  <c r="S683" i="4"/>
  <c r="T683" i="4"/>
  <c r="U683" i="4" s="1"/>
  <c r="R684" i="4"/>
  <c r="S684" i="4"/>
  <c r="T684" i="4"/>
  <c r="U684" i="4"/>
  <c r="R685" i="4"/>
  <c r="S685" i="4"/>
  <c r="T685" i="4"/>
  <c r="U685" i="4" s="1"/>
  <c r="R686" i="4"/>
  <c r="S686" i="4"/>
  <c r="T686" i="4"/>
  <c r="U686" i="4" s="1"/>
  <c r="R687" i="4"/>
  <c r="S687" i="4"/>
  <c r="T687" i="4"/>
  <c r="U687" i="4"/>
  <c r="R688" i="4"/>
  <c r="S688" i="4"/>
  <c r="T688" i="4"/>
  <c r="U688" i="4"/>
  <c r="R689" i="4"/>
  <c r="S689" i="4"/>
  <c r="T689" i="4"/>
  <c r="U689" i="4" s="1"/>
  <c r="R690" i="4"/>
  <c r="S690" i="4"/>
  <c r="T690" i="4"/>
  <c r="U690" i="4"/>
  <c r="R691" i="4"/>
  <c r="S691" i="4"/>
  <c r="T691" i="4"/>
  <c r="U691" i="4"/>
  <c r="R692" i="4"/>
  <c r="S692" i="4"/>
  <c r="T692" i="4"/>
  <c r="U692" i="4" s="1"/>
  <c r="R693" i="4"/>
  <c r="S693" i="4"/>
  <c r="T693" i="4"/>
  <c r="U693" i="4"/>
  <c r="R694" i="4"/>
  <c r="S694" i="4"/>
  <c r="T694" i="4"/>
  <c r="U694" i="4"/>
  <c r="R695" i="4"/>
  <c r="S695" i="4"/>
  <c r="T695" i="4"/>
  <c r="U695" i="4" s="1"/>
  <c r="R696" i="4"/>
  <c r="S696" i="4"/>
  <c r="T696" i="4"/>
  <c r="U696" i="4"/>
  <c r="R697" i="4"/>
  <c r="S697" i="4"/>
  <c r="T697" i="4"/>
  <c r="U697" i="4"/>
  <c r="R698" i="4"/>
  <c r="S698" i="4"/>
  <c r="T698" i="4"/>
  <c r="U698" i="4" s="1"/>
  <c r="R699" i="4"/>
  <c r="S699" i="4"/>
  <c r="T699" i="4"/>
  <c r="U699" i="4"/>
  <c r="R700" i="4"/>
  <c r="S700" i="4"/>
  <c r="T700" i="4"/>
  <c r="U700" i="4"/>
  <c r="R701" i="4"/>
  <c r="S701" i="4"/>
  <c r="T701" i="4"/>
  <c r="U701" i="4" s="1"/>
  <c r="R702" i="4"/>
  <c r="S702" i="4"/>
  <c r="T702" i="4"/>
  <c r="U702" i="4" s="1"/>
  <c r="R703" i="4"/>
  <c r="S703" i="4"/>
  <c r="T703" i="4"/>
  <c r="U703" i="4"/>
  <c r="R704" i="4"/>
  <c r="S704" i="4"/>
  <c r="T704" i="4"/>
  <c r="U704" i="4" s="1"/>
  <c r="R705" i="4"/>
  <c r="S705" i="4"/>
  <c r="T705" i="4"/>
  <c r="U705" i="4" s="1"/>
  <c r="R706" i="4"/>
  <c r="S706" i="4"/>
  <c r="T706" i="4"/>
  <c r="U706" i="4"/>
  <c r="R707" i="4"/>
  <c r="S707" i="4"/>
  <c r="T707" i="4"/>
  <c r="U707" i="4" s="1"/>
  <c r="R708" i="4"/>
  <c r="S708" i="4"/>
  <c r="T708" i="4"/>
  <c r="U708" i="4" s="1"/>
  <c r="R709" i="4"/>
  <c r="S709" i="4"/>
  <c r="T709" i="4"/>
  <c r="U709" i="4"/>
  <c r="R710" i="4"/>
  <c r="S710" i="4"/>
  <c r="T710" i="4"/>
  <c r="U710" i="4" s="1"/>
  <c r="R711" i="4"/>
  <c r="S711" i="4"/>
  <c r="T711" i="4"/>
  <c r="U711" i="4"/>
  <c r="R712" i="4"/>
  <c r="S712" i="4"/>
  <c r="T712" i="4"/>
  <c r="U712" i="4"/>
  <c r="R713" i="4"/>
  <c r="S713" i="4"/>
  <c r="T713" i="4"/>
  <c r="U713" i="4" s="1"/>
  <c r="R714" i="4"/>
  <c r="S714" i="4"/>
  <c r="T714" i="4"/>
  <c r="U714" i="4"/>
  <c r="R715" i="4"/>
  <c r="S715" i="4"/>
  <c r="T715" i="4"/>
  <c r="U715" i="4" s="1"/>
  <c r="R716" i="4"/>
  <c r="S716" i="4"/>
  <c r="T716" i="4"/>
  <c r="U716" i="4" s="1"/>
  <c r="R717" i="4"/>
  <c r="S717" i="4"/>
  <c r="T717" i="4"/>
  <c r="U717" i="4"/>
  <c r="R718" i="4"/>
  <c r="S718" i="4"/>
  <c r="T718" i="4"/>
  <c r="U718" i="4" s="1"/>
  <c r="R719" i="4"/>
  <c r="S719" i="4"/>
  <c r="T719" i="4"/>
  <c r="U719" i="4" s="1"/>
  <c r="R720" i="4"/>
  <c r="S720" i="4"/>
  <c r="T720" i="4"/>
  <c r="U720" i="4"/>
  <c r="R721" i="4"/>
  <c r="S721" i="4"/>
  <c r="T721" i="4"/>
  <c r="U721" i="4" s="1"/>
  <c r="R722" i="4"/>
  <c r="S722" i="4"/>
  <c r="T722" i="4"/>
  <c r="U722" i="4" s="1"/>
  <c r="R723" i="4"/>
  <c r="S723" i="4"/>
  <c r="T723" i="4"/>
  <c r="U723" i="4"/>
  <c r="R724" i="4"/>
  <c r="S724" i="4"/>
  <c r="T724" i="4"/>
  <c r="U724" i="4"/>
  <c r="R725" i="4"/>
  <c r="S725" i="4"/>
  <c r="T725" i="4"/>
  <c r="U725" i="4" s="1"/>
  <c r="R726" i="4"/>
  <c r="S726" i="4"/>
  <c r="T726" i="4"/>
  <c r="U726" i="4"/>
  <c r="R727" i="4"/>
  <c r="S727" i="4"/>
  <c r="T727" i="4"/>
  <c r="U727" i="4"/>
  <c r="R728" i="4"/>
  <c r="S728" i="4"/>
  <c r="T728" i="4"/>
  <c r="U728" i="4" s="1"/>
  <c r="R729" i="4"/>
  <c r="S729" i="4"/>
  <c r="T729" i="4"/>
  <c r="U729" i="4"/>
  <c r="R730" i="4"/>
  <c r="S730" i="4"/>
  <c r="T730" i="4"/>
  <c r="U730" i="4"/>
  <c r="R731" i="4"/>
  <c r="S731" i="4"/>
  <c r="T731" i="4"/>
  <c r="U731" i="4" s="1"/>
  <c r="R732" i="4"/>
  <c r="S732" i="4"/>
  <c r="T732" i="4"/>
  <c r="U732" i="4"/>
  <c r="R733" i="4"/>
  <c r="S733" i="4"/>
  <c r="T733" i="4"/>
  <c r="U733" i="4"/>
  <c r="R734" i="4"/>
  <c r="S734" i="4"/>
  <c r="T734" i="4"/>
  <c r="U734" i="4" s="1"/>
  <c r="R735" i="4"/>
  <c r="S735" i="4"/>
  <c r="T735" i="4"/>
  <c r="U735" i="4"/>
  <c r="R736" i="4"/>
  <c r="S736" i="4"/>
  <c r="T736" i="4"/>
  <c r="U736" i="4"/>
  <c r="R737" i="4"/>
  <c r="S737" i="4"/>
  <c r="T737" i="4"/>
  <c r="U737" i="4" s="1"/>
  <c r="R738" i="4"/>
  <c r="S738" i="4"/>
  <c r="T738" i="4"/>
  <c r="U738" i="4" s="1"/>
  <c r="R739" i="4"/>
  <c r="S739" i="4"/>
  <c r="T739" i="4"/>
  <c r="U739" i="4"/>
  <c r="R740" i="4"/>
  <c r="S740" i="4"/>
  <c r="T740" i="4"/>
  <c r="U740" i="4" s="1"/>
  <c r="R741" i="4"/>
  <c r="S741" i="4"/>
  <c r="T741" i="4"/>
  <c r="U741" i="4" s="1"/>
  <c r="R742" i="4"/>
  <c r="S742" i="4"/>
  <c r="T742" i="4"/>
  <c r="U742" i="4"/>
  <c r="R743" i="4"/>
  <c r="S743" i="4"/>
  <c r="T743" i="4"/>
  <c r="U743" i="4" s="1"/>
  <c r="R744" i="4"/>
  <c r="S744" i="4"/>
  <c r="T744" i="4"/>
  <c r="U744" i="4" s="1"/>
  <c r="R745" i="4"/>
  <c r="S745" i="4"/>
  <c r="T745" i="4"/>
  <c r="U745" i="4"/>
  <c r="R746" i="4"/>
  <c r="S746" i="4"/>
  <c r="T746" i="4"/>
  <c r="U746" i="4" s="1"/>
  <c r="R747" i="4"/>
  <c r="S747" i="4"/>
  <c r="T747" i="4"/>
  <c r="U747" i="4"/>
  <c r="R748" i="4"/>
  <c r="S748" i="4"/>
  <c r="T748" i="4"/>
  <c r="U748" i="4"/>
  <c r="R749" i="4"/>
  <c r="S749" i="4"/>
  <c r="T749" i="4"/>
  <c r="U749" i="4" s="1"/>
  <c r="R750" i="4"/>
  <c r="S750" i="4"/>
  <c r="T750" i="4"/>
  <c r="U750" i="4"/>
  <c r="R751" i="4"/>
  <c r="S751" i="4"/>
  <c r="T751" i="4"/>
  <c r="U751" i="4" s="1"/>
  <c r="R752" i="4"/>
  <c r="S752" i="4"/>
  <c r="T752" i="4"/>
  <c r="U752" i="4" s="1"/>
  <c r="R753" i="4"/>
  <c r="S753" i="4"/>
  <c r="T753" i="4"/>
  <c r="U753" i="4"/>
  <c r="R754" i="4"/>
  <c r="S754" i="4"/>
  <c r="T754" i="4"/>
  <c r="U754" i="4" s="1"/>
  <c r="R755" i="4"/>
  <c r="S755" i="4"/>
  <c r="T755" i="4"/>
  <c r="U755" i="4" s="1"/>
  <c r="R756" i="4"/>
  <c r="S756" i="4"/>
  <c r="T756" i="4"/>
  <c r="U756" i="4"/>
  <c r="R757" i="4"/>
  <c r="S757" i="4"/>
  <c r="T757" i="4"/>
  <c r="U757" i="4" s="1"/>
  <c r="R758" i="4"/>
  <c r="S758" i="4"/>
  <c r="T758" i="4"/>
  <c r="U758" i="4" s="1"/>
  <c r="R759" i="4"/>
  <c r="S759" i="4"/>
  <c r="T759" i="4"/>
  <c r="U759" i="4"/>
  <c r="R760" i="4"/>
  <c r="S760" i="4"/>
  <c r="T760" i="4"/>
  <c r="U760" i="4"/>
  <c r="R761" i="4"/>
  <c r="S761" i="4"/>
  <c r="T761" i="4"/>
  <c r="U761" i="4" s="1"/>
  <c r="R762" i="4"/>
  <c r="S762" i="4"/>
  <c r="T762" i="4"/>
  <c r="U762" i="4"/>
  <c r="R763" i="4"/>
  <c r="S763" i="4"/>
  <c r="T763" i="4"/>
  <c r="U763" i="4"/>
  <c r="R764" i="4"/>
  <c r="S764" i="4"/>
  <c r="T764" i="4"/>
  <c r="U764" i="4" s="1"/>
  <c r="R765" i="4"/>
  <c r="S765" i="4"/>
  <c r="T765" i="4"/>
  <c r="U765" i="4"/>
  <c r="R766" i="4"/>
  <c r="S766" i="4"/>
  <c r="T766" i="4"/>
  <c r="U766" i="4"/>
  <c r="R767" i="4"/>
  <c r="S767" i="4"/>
  <c r="T767" i="4"/>
  <c r="U767" i="4" s="1"/>
  <c r="R768" i="4"/>
  <c r="S768" i="4"/>
  <c r="T768" i="4"/>
  <c r="U768" i="4"/>
  <c r="R769" i="4"/>
  <c r="S769" i="4"/>
  <c r="T769" i="4"/>
  <c r="U769" i="4"/>
  <c r="R770" i="4"/>
  <c r="S770" i="4"/>
  <c r="T770" i="4"/>
  <c r="U770" i="4" s="1"/>
  <c r="R771" i="4"/>
  <c r="S771" i="4"/>
  <c r="T771" i="4"/>
  <c r="U771" i="4"/>
  <c r="R772" i="4"/>
  <c r="S772" i="4"/>
  <c r="T772" i="4"/>
  <c r="U772" i="4"/>
  <c r="R773" i="4"/>
  <c r="S773" i="4"/>
  <c r="T773" i="4"/>
  <c r="U773" i="4" s="1"/>
  <c r="R774" i="4"/>
  <c r="S774" i="4"/>
  <c r="T774" i="4"/>
  <c r="U774" i="4" s="1"/>
  <c r="R775" i="4"/>
  <c r="S775" i="4"/>
  <c r="T775" i="4"/>
  <c r="U775" i="4"/>
  <c r="R776" i="4"/>
  <c r="S776" i="4"/>
  <c r="T776" i="4"/>
  <c r="U776" i="4" s="1"/>
  <c r="R777" i="4"/>
  <c r="S777" i="4"/>
  <c r="T777" i="4"/>
  <c r="U777" i="4" s="1"/>
  <c r="R778" i="4"/>
  <c r="S778" i="4"/>
  <c r="T778" i="4"/>
  <c r="U778" i="4"/>
  <c r="R779" i="4"/>
  <c r="S779" i="4"/>
  <c r="T779" i="4"/>
  <c r="U779" i="4" s="1"/>
  <c r="R780" i="4"/>
  <c r="S780" i="4"/>
  <c r="T780" i="4"/>
  <c r="U780" i="4" s="1"/>
  <c r="R781" i="4"/>
  <c r="S781" i="4"/>
  <c r="T781" i="4"/>
  <c r="U781" i="4"/>
  <c r="R782" i="4"/>
  <c r="S782" i="4"/>
  <c r="T782" i="4"/>
  <c r="U782" i="4" s="1"/>
  <c r="R783" i="4"/>
  <c r="S783" i="4"/>
  <c r="T783" i="4"/>
  <c r="U783" i="4"/>
  <c r="R784" i="4"/>
  <c r="S784" i="4"/>
  <c r="T784" i="4"/>
  <c r="U784" i="4"/>
  <c r="R785" i="4"/>
  <c r="S785" i="4"/>
  <c r="T785" i="4"/>
  <c r="U785" i="4" s="1"/>
  <c r="R786" i="4"/>
  <c r="S786" i="4"/>
  <c r="T786" i="4"/>
  <c r="U786" i="4"/>
  <c r="R787" i="4"/>
  <c r="S787" i="4"/>
  <c r="T787" i="4"/>
  <c r="U787" i="4" s="1"/>
  <c r="R788" i="4"/>
  <c r="S788" i="4"/>
  <c r="T788" i="4"/>
  <c r="U788" i="4" s="1"/>
  <c r="R789" i="4"/>
  <c r="S789" i="4"/>
  <c r="T789" i="4"/>
  <c r="U789" i="4"/>
  <c r="R790" i="4"/>
  <c r="S790" i="4"/>
  <c r="T790" i="4"/>
  <c r="U790" i="4" s="1"/>
  <c r="R791" i="4"/>
  <c r="S791" i="4"/>
  <c r="T791" i="4"/>
  <c r="U791" i="4" s="1"/>
  <c r="R792" i="4"/>
  <c r="S792" i="4"/>
  <c r="T792" i="4"/>
  <c r="U792" i="4"/>
  <c r="R793" i="4"/>
  <c r="S793" i="4"/>
  <c r="T793" i="4"/>
  <c r="U793" i="4" s="1"/>
  <c r="R794" i="4"/>
  <c r="S794" i="4"/>
  <c r="T794" i="4"/>
  <c r="U794" i="4" s="1"/>
  <c r="R795" i="4"/>
  <c r="S795" i="4"/>
  <c r="T795" i="4"/>
  <c r="U795" i="4"/>
  <c r="R796" i="4"/>
  <c r="S796" i="4"/>
  <c r="T796" i="4"/>
  <c r="U796" i="4"/>
  <c r="R797" i="4"/>
  <c r="S797" i="4"/>
  <c r="T797" i="4"/>
  <c r="U797" i="4" s="1"/>
  <c r="R798" i="4"/>
  <c r="S798" i="4"/>
  <c r="T798" i="4"/>
  <c r="U798" i="4"/>
  <c r="R799" i="4"/>
  <c r="S799" i="4"/>
  <c r="T799" i="4"/>
  <c r="U799" i="4"/>
  <c r="R800" i="4"/>
  <c r="S800" i="4"/>
  <c r="T800" i="4"/>
  <c r="U800" i="4" s="1"/>
  <c r="R801" i="4"/>
  <c r="S801" i="4"/>
  <c r="T801" i="4"/>
  <c r="U801" i="4"/>
  <c r="R802" i="4"/>
  <c r="S802" i="4"/>
  <c r="T802" i="4"/>
  <c r="U802" i="4"/>
  <c r="R803" i="4"/>
  <c r="S803" i="4"/>
  <c r="T803" i="4"/>
  <c r="U803" i="4" s="1"/>
  <c r="R804" i="4"/>
  <c r="S804" i="4"/>
  <c r="T804" i="4"/>
  <c r="U804" i="4"/>
  <c r="R805" i="4"/>
  <c r="S805" i="4"/>
  <c r="T805" i="4"/>
  <c r="U805" i="4"/>
  <c r="R806" i="4"/>
  <c r="S806" i="4"/>
  <c r="T806" i="4"/>
  <c r="U806" i="4" s="1"/>
  <c r="R807" i="4"/>
  <c r="S807" i="4"/>
  <c r="T807" i="4"/>
  <c r="U807" i="4"/>
  <c r="R808" i="4"/>
  <c r="S808" i="4"/>
  <c r="T808" i="4"/>
  <c r="U808" i="4"/>
  <c r="R809" i="4"/>
  <c r="S809" i="4"/>
  <c r="T809" i="4"/>
  <c r="U809" i="4" s="1"/>
  <c r="R810" i="4"/>
  <c r="S810" i="4"/>
  <c r="T810" i="4"/>
  <c r="U810" i="4" s="1"/>
  <c r="R811" i="4"/>
  <c r="S811" i="4"/>
  <c r="T811" i="4"/>
  <c r="U811" i="4"/>
  <c r="R812" i="4"/>
  <c r="S812" i="4"/>
  <c r="T812" i="4"/>
  <c r="U812" i="4" s="1"/>
  <c r="R813" i="4"/>
  <c r="S813" i="4"/>
  <c r="T813" i="4"/>
  <c r="U813" i="4" s="1"/>
  <c r="R814" i="4"/>
  <c r="S814" i="4"/>
  <c r="T814" i="4"/>
  <c r="U814" i="4"/>
  <c r="R815" i="4"/>
  <c r="S815" i="4"/>
  <c r="T815" i="4"/>
  <c r="U815" i="4" s="1"/>
  <c r="R816" i="4"/>
  <c r="S816" i="4"/>
  <c r="T816" i="4"/>
  <c r="U816" i="4" s="1"/>
  <c r="R817" i="4"/>
  <c r="S817" i="4"/>
  <c r="T817" i="4"/>
  <c r="U817" i="4"/>
  <c r="R818" i="4"/>
  <c r="S818" i="4"/>
  <c r="T818" i="4"/>
  <c r="U818" i="4" s="1"/>
  <c r="R819" i="4"/>
  <c r="S819" i="4"/>
  <c r="T819" i="4"/>
  <c r="U819" i="4"/>
  <c r="R820" i="4"/>
  <c r="S820" i="4"/>
  <c r="T820" i="4"/>
  <c r="U820" i="4"/>
  <c r="R821" i="4"/>
  <c r="S821" i="4"/>
  <c r="T821" i="4"/>
  <c r="U821" i="4" s="1"/>
  <c r="R822" i="4"/>
  <c r="S822" i="4"/>
  <c r="T822" i="4"/>
  <c r="U822" i="4"/>
  <c r="R823" i="4"/>
  <c r="S823" i="4"/>
  <c r="T823" i="4"/>
  <c r="U823" i="4" s="1"/>
  <c r="R824" i="4"/>
  <c r="S824" i="4"/>
  <c r="T824" i="4"/>
  <c r="U824" i="4" s="1"/>
  <c r="R825" i="4"/>
  <c r="S825" i="4"/>
  <c r="T825" i="4"/>
  <c r="U825" i="4"/>
  <c r="R826" i="4"/>
  <c r="S826" i="4"/>
  <c r="T826" i="4"/>
  <c r="U826" i="4" s="1"/>
  <c r="R827" i="4"/>
  <c r="S827" i="4"/>
  <c r="T827" i="4"/>
  <c r="U827" i="4" s="1"/>
  <c r="R828" i="4"/>
  <c r="S828" i="4"/>
  <c r="T828" i="4"/>
  <c r="U828" i="4"/>
  <c r="R829" i="4"/>
  <c r="S829" i="4"/>
  <c r="T829" i="4"/>
  <c r="U829" i="4" s="1"/>
  <c r="R830" i="4"/>
  <c r="S830" i="4"/>
  <c r="T830" i="4"/>
  <c r="U830" i="4" s="1"/>
  <c r="R831" i="4"/>
  <c r="S831" i="4"/>
  <c r="T831" i="4"/>
  <c r="U831" i="4"/>
  <c r="R832" i="4"/>
  <c r="S832" i="4"/>
  <c r="T832" i="4"/>
  <c r="U832" i="4"/>
  <c r="R833" i="4"/>
  <c r="S833" i="4"/>
  <c r="T833" i="4"/>
  <c r="U833" i="4" s="1"/>
  <c r="R834" i="4"/>
  <c r="S834" i="4"/>
  <c r="T834" i="4"/>
  <c r="U834" i="4"/>
  <c r="R835" i="4"/>
  <c r="S835" i="4"/>
  <c r="T835" i="4"/>
  <c r="U835" i="4"/>
  <c r="R836" i="4"/>
  <c r="S836" i="4"/>
  <c r="T836" i="4"/>
  <c r="U836" i="4" s="1"/>
  <c r="R837" i="4"/>
  <c r="S837" i="4"/>
  <c r="T837" i="4"/>
  <c r="U837" i="4"/>
  <c r="R838" i="4"/>
  <c r="S838" i="4"/>
  <c r="T838" i="4"/>
  <c r="U838" i="4"/>
  <c r="R839" i="4"/>
  <c r="S839" i="4"/>
  <c r="T839" i="4"/>
  <c r="U839" i="4" s="1"/>
  <c r="R840" i="4"/>
  <c r="S840" i="4"/>
  <c r="T840" i="4"/>
  <c r="U840" i="4"/>
  <c r="R841" i="4"/>
  <c r="S841" i="4"/>
  <c r="T841" i="4"/>
  <c r="U841" i="4"/>
  <c r="R842" i="4"/>
  <c r="S842" i="4"/>
  <c r="T842" i="4"/>
  <c r="U842" i="4" s="1"/>
  <c r="R843" i="4"/>
  <c r="S843" i="4"/>
  <c r="T843" i="4"/>
  <c r="U843" i="4"/>
  <c r="R844" i="4"/>
  <c r="S844" i="4"/>
  <c r="T844" i="4"/>
  <c r="U844" i="4"/>
  <c r="R845" i="4"/>
  <c r="S845" i="4"/>
  <c r="T845" i="4"/>
  <c r="U845" i="4" s="1"/>
  <c r="R846" i="4"/>
  <c r="S846" i="4"/>
  <c r="T846" i="4"/>
  <c r="U846" i="4" s="1"/>
  <c r="R847" i="4"/>
  <c r="S847" i="4"/>
  <c r="T847" i="4"/>
  <c r="U847" i="4"/>
  <c r="R848" i="4"/>
  <c r="S848" i="4"/>
  <c r="T848" i="4"/>
  <c r="U848" i="4" s="1"/>
  <c r="R849" i="4"/>
  <c r="S849" i="4"/>
  <c r="T849" i="4"/>
  <c r="U849" i="4" s="1"/>
  <c r="R850" i="4"/>
  <c r="S850" i="4"/>
  <c r="T850" i="4"/>
  <c r="U850" i="4"/>
  <c r="R851" i="4"/>
  <c r="S851" i="4"/>
  <c r="T851" i="4"/>
  <c r="U851" i="4" s="1"/>
  <c r="R852" i="4"/>
  <c r="S852" i="4"/>
  <c r="T852" i="4"/>
  <c r="U852" i="4" s="1"/>
  <c r="R853" i="4"/>
  <c r="S853" i="4"/>
  <c r="T853" i="4"/>
  <c r="U853" i="4"/>
  <c r="R854" i="4"/>
  <c r="S854" i="4"/>
  <c r="T854" i="4"/>
  <c r="U854" i="4" s="1"/>
  <c r="R855" i="4"/>
  <c r="S855" i="4"/>
  <c r="T855" i="4"/>
  <c r="U855" i="4"/>
  <c r="R856" i="4"/>
  <c r="S856" i="4"/>
  <c r="T856" i="4"/>
  <c r="U856" i="4"/>
  <c r="R857" i="4"/>
  <c r="S857" i="4"/>
  <c r="T857" i="4"/>
  <c r="U857" i="4" s="1"/>
  <c r="R858" i="4"/>
  <c r="S858" i="4"/>
  <c r="T858" i="4"/>
  <c r="U858" i="4"/>
  <c r="R859" i="4"/>
  <c r="S859" i="4"/>
  <c r="T859" i="4"/>
  <c r="U859" i="4" s="1"/>
  <c r="R860" i="4"/>
  <c r="S860" i="4"/>
  <c r="T860" i="4"/>
  <c r="U860" i="4" s="1"/>
  <c r="R861" i="4"/>
  <c r="S861" i="4"/>
  <c r="T861" i="4"/>
  <c r="U861" i="4"/>
  <c r="R862" i="4"/>
  <c r="S862" i="4"/>
  <c r="T862" i="4"/>
  <c r="U862" i="4" s="1"/>
  <c r="R863" i="4"/>
  <c r="S863" i="4"/>
  <c r="T863" i="4"/>
  <c r="U863" i="4" s="1"/>
  <c r="R864" i="4"/>
  <c r="S864" i="4"/>
  <c r="T864" i="4"/>
  <c r="U864" i="4"/>
  <c r="R865" i="4"/>
  <c r="S865" i="4"/>
  <c r="T865" i="4"/>
  <c r="U865" i="4" s="1"/>
  <c r="R866" i="4"/>
  <c r="S866" i="4"/>
  <c r="T866" i="4"/>
  <c r="U866" i="4" s="1"/>
  <c r="R867" i="4"/>
  <c r="S867" i="4"/>
  <c r="T867" i="4"/>
  <c r="U867" i="4"/>
  <c r="R868" i="4"/>
  <c r="S868" i="4"/>
  <c r="T868" i="4"/>
  <c r="U868" i="4"/>
  <c r="R869" i="4"/>
  <c r="S869" i="4"/>
  <c r="T869" i="4"/>
  <c r="U869" i="4" s="1"/>
  <c r="R870" i="4"/>
  <c r="S870" i="4"/>
  <c r="T870" i="4"/>
  <c r="U870" i="4"/>
  <c r="R871" i="4"/>
  <c r="S871" i="4"/>
  <c r="T871" i="4"/>
  <c r="U871" i="4"/>
  <c r="R872" i="4"/>
  <c r="S872" i="4"/>
  <c r="T872" i="4"/>
  <c r="U872" i="4" s="1"/>
  <c r="R873" i="4"/>
  <c r="S873" i="4"/>
  <c r="T873" i="4"/>
  <c r="U873" i="4"/>
  <c r="R874" i="4"/>
  <c r="S874" i="4"/>
  <c r="T874" i="4"/>
  <c r="U874" i="4"/>
  <c r="R875" i="4"/>
  <c r="S875" i="4"/>
  <c r="T875" i="4"/>
  <c r="U875" i="4" s="1"/>
  <c r="R876" i="4"/>
  <c r="S876" i="4"/>
  <c r="T876" i="4"/>
  <c r="U876" i="4"/>
  <c r="R877" i="4"/>
  <c r="S877" i="4"/>
  <c r="T877" i="4"/>
  <c r="U877" i="4"/>
  <c r="R878" i="4"/>
  <c r="S878" i="4"/>
  <c r="T878" i="4"/>
  <c r="U878" i="4" s="1"/>
  <c r="R879" i="4"/>
  <c r="S879" i="4"/>
  <c r="T879" i="4"/>
  <c r="U879" i="4"/>
  <c r="R880" i="4"/>
  <c r="S880" i="4"/>
  <c r="T880" i="4"/>
  <c r="U880" i="4"/>
  <c r="R881" i="4"/>
  <c r="S881" i="4"/>
  <c r="T881" i="4"/>
  <c r="U881" i="4" s="1"/>
  <c r="R882" i="4"/>
  <c r="S882" i="4"/>
  <c r="T882" i="4"/>
  <c r="U882" i="4" s="1"/>
  <c r="R883" i="4"/>
  <c r="S883" i="4"/>
  <c r="T883" i="4"/>
  <c r="U883" i="4"/>
  <c r="R884" i="4"/>
  <c r="S884" i="4"/>
  <c r="T884" i="4"/>
  <c r="U884" i="4" s="1"/>
  <c r="R885" i="4"/>
  <c r="S885" i="4"/>
  <c r="T885" i="4"/>
  <c r="U885" i="4" s="1"/>
  <c r="R886" i="4"/>
  <c r="S886" i="4"/>
  <c r="T886" i="4"/>
  <c r="U886" i="4"/>
  <c r="R887" i="4"/>
  <c r="S887" i="4"/>
  <c r="T887" i="4"/>
  <c r="U887" i="4" s="1"/>
  <c r="R888" i="4"/>
  <c r="S888" i="4"/>
  <c r="T888" i="4"/>
  <c r="U888" i="4" s="1"/>
  <c r="R889" i="4"/>
  <c r="S889" i="4"/>
  <c r="T889" i="4"/>
  <c r="U889" i="4"/>
  <c r="R890" i="4"/>
  <c r="S890" i="4"/>
  <c r="T890" i="4"/>
  <c r="U890" i="4" s="1"/>
  <c r="R891" i="4"/>
  <c r="S891" i="4"/>
  <c r="T891" i="4"/>
  <c r="U891" i="4"/>
  <c r="R892" i="4"/>
  <c r="S892" i="4"/>
  <c r="T892" i="4"/>
  <c r="U892" i="4"/>
  <c r="R893" i="4"/>
  <c r="S893" i="4"/>
  <c r="T893" i="4"/>
  <c r="U893" i="4" s="1"/>
  <c r="R894" i="4"/>
  <c r="S894" i="4"/>
  <c r="T894" i="4"/>
  <c r="U894" i="4"/>
  <c r="R895" i="4"/>
  <c r="S895" i="4"/>
  <c r="T895" i="4"/>
  <c r="U895" i="4" s="1"/>
  <c r="R896" i="4"/>
  <c r="S896" i="4"/>
  <c r="T896" i="4"/>
  <c r="U896" i="4" s="1"/>
  <c r="R897" i="4"/>
  <c r="S897" i="4"/>
  <c r="T897" i="4"/>
  <c r="U897" i="4"/>
  <c r="R898" i="4"/>
  <c r="S898" i="4"/>
  <c r="T898" i="4"/>
  <c r="U898" i="4" s="1"/>
  <c r="R899" i="4"/>
  <c r="S899" i="4"/>
  <c r="T899" i="4"/>
  <c r="U899" i="4" s="1"/>
  <c r="R900" i="4"/>
  <c r="S900" i="4"/>
  <c r="T900" i="4"/>
  <c r="U900" i="4"/>
  <c r="R901" i="4"/>
  <c r="S901" i="4"/>
  <c r="T901" i="4"/>
  <c r="U901" i="4" s="1"/>
  <c r="R902" i="4"/>
  <c r="S902" i="4"/>
  <c r="T902" i="4"/>
  <c r="U902" i="4" s="1"/>
  <c r="R903" i="4"/>
  <c r="S903" i="4"/>
  <c r="T903" i="4"/>
  <c r="U903" i="4"/>
  <c r="R904" i="4"/>
  <c r="S904" i="4"/>
  <c r="T904" i="4"/>
  <c r="U904" i="4"/>
  <c r="R905" i="4"/>
  <c r="S905" i="4"/>
  <c r="T905" i="4"/>
  <c r="U905" i="4" s="1"/>
  <c r="R906" i="4"/>
  <c r="S906" i="4"/>
  <c r="T906" i="4"/>
  <c r="U906" i="4"/>
  <c r="R907" i="4"/>
  <c r="S907" i="4"/>
  <c r="T907" i="4"/>
  <c r="U907" i="4"/>
  <c r="R908" i="4"/>
  <c r="S908" i="4"/>
  <c r="T908" i="4"/>
  <c r="U908" i="4" s="1"/>
  <c r="R909" i="4"/>
  <c r="S909" i="4"/>
  <c r="T909" i="4"/>
  <c r="U909" i="4"/>
  <c r="R910" i="4"/>
  <c r="S910" i="4"/>
  <c r="T910" i="4"/>
  <c r="U910" i="4"/>
  <c r="R911" i="4"/>
  <c r="S911" i="4"/>
  <c r="T911" i="4"/>
  <c r="U911" i="4" s="1"/>
  <c r="R912" i="4"/>
  <c r="S912" i="4"/>
  <c r="T912" i="4"/>
  <c r="U912" i="4"/>
  <c r="R913" i="4"/>
  <c r="S913" i="4"/>
  <c r="T913" i="4"/>
  <c r="U913" i="4"/>
  <c r="R914" i="4"/>
  <c r="S914" i="4"/>
  <c r="T914" i="4"/>
  <c r="U914" i="4" s="1"/>
  <c r="R915" i="4"/>
  <c r="S915" i="4"/>
  <c r="T915" i="4"/>
  <c r="U915" i="4"/>
  <c r="R916" i="4"/>
  <c r="S916" i="4"/>
  <c r="T916" i="4"/>
  <c r="U916" i="4"/>
  <c r="R917" i="4"/>
  <c r="S917" i="4"/>
  <c r="T917" i="4"/>
  <c r="U917" i="4" s="1"/>
  <c r="R918" i="4"/>
  <c r="S918" i="4"/>
  <c r="T918" i="4"/>
  <c r="U918" i="4" s="1"/>
  <c r="R919" i="4"/>
  <c r="S919" i="4"/>
  <c r="T919" i="4"/>
  <c r="U919" i="4"/>
  <c r="R920" i="4"/>
  <c r="S920" i="4"/>
  <c r="T920" i="4"/>
  <c r="U920" i="4" s="1"/>
  <c r="R921" i="4"/>
  <c r="S921" i="4"/>
  <c r="T921" i="4"/>
  <c r="U921" i="4" s="1"/>
  <c r="R922" i="4"/>
  <c r="S922" i="4"/>
  <c r="T922" i="4"/>
  <c r="U922" i="4"/>
  <c r="R923" i="4"/>
  <c r="S923" i="4"/>
  <c r="T923" i="4"/>
  <c r="U923" i="4" s="1"/>
  <c r="R924" i="4"/>
  <c r="S924" i="4"/>
  <c r="T924" i="4"/>
  <c r="U924" i="4" s="1"/>
  <c r="R925" i="4"/>
  <c r="S925" i="4"/>
  <c r="T925" i="4"/>
  <c r="U925" i="4"/>
  <c r="R926" i="4"/>
  <c r="S926" i="4"/>
  <c r="T926" i="4"/>
  <c r="U926" i="4" s="1"/>
  <c r="R927" i="4"/>
  <c r="S927" i="4"/>
  <c r="T927" i="4"/>
  <c r="U927" i="4"/>
  <c r="R928" i="4"/>
  <c r="S928" i="4"/>
  <c r="T928" i="4"/>
  <c r="U928" i="4"/>
  <c r="R929" i="4"/>
  <c r="S929" i="4"/>
  <c r="T929" i="4"/>
  <c r="U929" i="4" s="1"/>
  <c r="R930" i="4"/>
  <c r="S930" i="4"/>
  <c r="T930" i="4"/>
  <c r="U930" i="4"/>
  <c r="R931" i="4"/>
  <c r="S931" i="4"/>
  <c r="T931" i="4"/>
  <c r="U931" i="4" s="1"/>
  <c r="R932" i="4"/>
  <c r="S932" i="4"/>
  <c r="T932" i="4"/>
  <c r="U932" i="4" s="1"/>
  <c r="R933" i="4"/>
  <c r="S933" i="4"/>
  <c r="T933" i="4"/>
  <c r="U933" i="4"/>
  <c r="R934" i="4"/>
  <c r="S934" i="4"/>
  <c r="T934" i="4"/>
  <c r="U934" i="4" s="1"/>
  <c r="R935" i="4"/>
  <c r="S935" i="4"/>
  <c r="T935" i="4"/>
  <c r="U935" i="4" s="1"/>
  <c r="R936" i="4"/>
  <c r="S936" i="4"/>
  <c r="T936" i="4"/>
  <c r="U936" i="4"/>
  <c r="R937" i="4"/>
  <c r="S937" i="4"/>
  <c r="T937" i="4"/>
  <c r="U937" i="4" s="1"/>
  <c r="R938" i="4"/>
  <c r="S938" i="4"/>
  <c r="T938" i="4"/>
  <c r="U938" i="4"/>
  <c r="R939" i="4"/>
  <c r="S939" i="4"/>
  <c r="T939" i="4"/>
  <c r="U939" i="4"/>
  <c r="R940" i="4"/>
  <c r="S940" i="4"/>
  <c r="T940" i="4"/>
  <c r="U940" i="4" s="1"/>
  <c r="R941" i="4"/>
  <c r="S941" i="4"/>
  <c r="T941" i="4"/>
  <c r="U941" i="4"/>
  <c r="R942" i="4"/>
  <c r="S942" i="4"/>
  <c r="T942" i="4"/>
  <c r="U942" i="4"/>
  <c r="R943" i="4"/>
  <c r="S943" i="4"/>
  <c r="T943" i="4"/>
  <c r="U943" i="4" s="1"/>
  <c r="R944" i="4"/>
  <c r="S944" i="4"/>
  <c r="T944" i="4"/>
  <c r="U944" i="4"/>
  <c r="R945" i="4"/>
  <c r="S945" i="4"/>
  <c r="T945" i="4"/>
  <c r="U945" i="4"/>
  <c r="R946" i="4"/>
  <c r="S946" i="4"/>
  <c r="T946" i="4"/>
  <c r="U946" i="4" s="1"/>
  <c r="R947" i="4"/>
  <c r="S947" i="4"/>
  <c r="T947" i="4"/>
  <c r="U947" i="4"/>
  <c r="R948" i="4"/>
  <c r="S948" i="4"/>
  <c r="T948" i="4"/>
  <c r="U948" i="4"/>
  <c r="R949" i="4"/>
  <c r="S949" i="4"/>
  <c r="T949" i="4"/>
  <c r="U949" i="4" s="1"/>
  <c r="R950" i="4"/>
  <c r="S950" i="4"/>
  <c r="T950" i="4"/>
  <c r="U950" i="4"/>
  <c r="R951" i="4"/>
  <c r="S951" i="4"/>
  <c r="T951" i="4"/>
  <c r="U951" i="4"/>
  <c r="R952" i="4"/>
  <c r="S952" i="4"/>
  <c r="T952" i="4"/>
  <c r="U952" i="4" s="1"/>
  <c r="R953" i="4"/>
  <c r="S953" i="4"/>
  <c r="T953" i="4"/>
  <c r="U953" i="4"/>
  <c r="R954" i="4"/>
  <c r="S954" i="4"/>
  <c r="T954" i="4"/>
  <c r="U954" i="4"/>
  <c r="R955" i="4"/>
  <c r="S955" i="4"/>
  <c r="T955" i="4"/>
  <c r="U955" i="4" s="1"/>
  <c r="R956" i="4"/>
  <c r="S956" i="4"/>
  <c r="T956" i="4"/>
  <c r="U956" i="4"/>
  <c r="R957" i="4"/>
  <c r="S957" i="4"/>
  <c r="T957" i="4"/>
  <c r="U957" i="4"/>
  <c r="R958" i="4"/>
  <c r="S958" i="4"/>
  <c r="T958" i="4"/>
  <c r="U958" i="4" s="1"/>
  <c r="R959" i="4"/>
  <c r="S959" i="4"/>
  <c r="T959" i="4"/>
  <c r="U959" i="4"/>
  <c r="R960" i="4"/>
  <c r="S960" i="4"/>
  <c r="T960" i="4"/>
  <c r="U960" i="4"/>
  <c r="R961" i="4"/>
  <c r="S961" i="4"/>
  <c r="T961" i="4"/>
  <c r="U961" i="4" s="1"/>
  <c r="R962" i="4"/>
  <c r="S962" i="4"/>
  <c r="T962" i="4"/>
  <c r="U962" i="4"/>
  <c r="R963" i="4"/>
  <c r="S963" i="4"/>
  <c r="T963" i="4"/>
  <c r="U963" i="4"/>
  <c r="R964" i="4"/>
  <c r="S964" i="4"/>
  <c r="T964" i="4"/>
  <c r="U964" i="4" s="1"/>
  <c r="R965" i="4"/>
  <c r="S965" i="4"/>
  <c r="T965" i="4"/>
  <c r="U965" i="4"/>
  <c r="R966" i="4"/>
  <c r="S966" i="4"/>
  <c r="T966" i="4"/>
  <c r="U966" i="4"/>
  <c r="R967" i="4"/>
  <c r="S967" i="4"/>
  <c r="T967" i="4"/>
  <c r="U967" i="4" s="1"/>
  <c r="R968" i="4"/>
  <c r="S968" i="4"/>
  <c r="T968" i="4"/>
  <c r="U968" i="4"/>
  <c r="R969" i="4"/>
  <c r="S969" i="4"/>
  <c r="T969" i="4"/>
  <c r="U969" i="4"/>
  <c r="R970" i="4"/>
  <c r="S970" i="4"/>
  <c r="T970" i="4"/>
  <c r="U970" i="4" s="1"/>
  <c r="R971" i="4"/>
  <c r="S971" i="4"/>
  <c r="T971" i="4"/>
  <c r="U971" i="4"/>
  <c r="R972" i="4"/>
  <c r="S972" i="4"/>
  <c r="T972" i="4"/>
  <c r="U972" i="4"/>
  <c r="R973" i="4"/>
  <c r="S973" i="4"/>
  <c r="T973" i="4"/>
  <c r="U973" i="4" s="1"/>
  <c r="R974" i="4"/>
  <c r="S974" i="4"/>
  <c r="T974" i="4"/>
  <c r="U974" i="4"/>
  <c r="R975" i="4"/>
  <c r="S975" i="4"/>
  <c r="T975" i="4"/>
  <c r="U975" i="4"/>
  <c r="R976" i="4"/>
  <c r="S976" i="4"/>
  <c r="T976" i="4"/>
  <c r="U976" i="4" s="1"/>
  <c r="R977" i="4"/>
  <c r="S977" i="4"/>
  <c r="T977" i="4"/>
  <c r="U977" i="4"/>
  <c r="R978" i="4"/>
  <c r="S978" i="4"/>
  <c r="T978" i="4"/>
  <c r="U978" i="4"/>
  <c r="R979" i="4"/>
  <c r="S979" i="4"/>
  <c r="T979" i="4"/>
  <c r="U979" i="4" s="1"/>
  <c r="R980" i="4"/>
  <c r="S980" i="4"/>
  <c r="T980" i="4"/>
  <c r="U980" i="4"/>
  <c r="R981" i="4"/>
  <c r="S981" i="4"/>
  <c r="T981" i="4"/>
  <c r="U981" i="4"/>
  <c r="R982" i="4"/>
  <c r="S982" i="4"/>
  <c r="T982" i="4"/>
  <c r="U982" i="4" s="1"/>
  <c r="R983" i="4"/>
  <c r="S983" i="4"/>
  <c r="T983" i="4"/>
  <c r="U983" i="4"/>
  <c r="R984" i="4"/>
  <c r="S984" i="4"/>
  <c r="T984" i="4"/>
  <c r="U984" i="4"/>
  <c r="R985" i="4"/>
  <c r="S985" i="4"/>
  <c r="T985" i="4"/>
  <c r="U985" i="4" s="1"/>
  <c r="R986" i="4"/>
  <c r="S986" i="4"/>
  <c r="T986" i="4"/>
  <c r="U986" i="4"/>
  <c r="R987" i="4"/>
  <c r="S987" i="4"/>
  <c r="T987" i="4"/>
  <c r="U987" i="4"/>
  <c r="R988" i="4"/>
  <c r="S988" i="4"/>
  <c r="T988" i="4"/>
  <c r="U988" i="4" s="1"/>
  <c r="R989" i="4"/>
  <c r="S989" i="4"/>
  <c r="T989" i="4"/>
  <c r="U989" i="4"/>
  <c r="R990" i="4"/>
  <c r="S990" i="4"/>
  <c r="T990" i="4"/>
  <c r="U990" i="4"/>
  <c r="R991" i="4"/>
  <c r="S991" i="4"/>
  <c r="T991" i="4"/>
  <c r="U991" i="4" s="1"/>
  <c r="R992" i="4"/>
  <c r="S992" i="4"/>
  <c r="T992" i="4"/>
  <c r="U992" i="4"/>
  <c r="R993" i="4"/>
  <c r="S993" i="4"/>
  <c r="T993" i="4"/>
  <c r="U993" i="4"/>
  <c r="R994" i="4"/>
  <c r="S994" i="4"/>
  <c r="T994" i="4"/>
  <c r="U994" i="4" s="1"/>
  <c r="R995" i="4"/>
  <c r="S995" i="4"/>
  <c r="T995" i="4"/>
  <c r="U995" i="4"/>
  <c r="R996" i="4"/>
  <c r="S996" i="4"/>
  <c r="T996" i="4"/>
  <c r="U996" i="4"/>
  <c r="R997" i="4"/>
  <c r="S997" i="4"/>
  <c r="T997" i="4"/>
  <c r="U997" i="4" s="1"/>
  <c r="R998" i="4"/>
  <c r="S998" i="4"/>
  <c r="T998" i="4"/>
  <c r="U998" i="4"/>
  <c r="R999" i="4"/>
  <c r="S999" i="4"/>
  <c r="T999" i="4"/>
  <c r="U999" i="4"/>
  <c r="R1000" i="4"/>
  <c r="S1000" i="4"/>
  <c r="T1000" i="4"/>
  <c r="U1000" i="4" s="1"/>
  <c r="R1001" i="4"/>
  <c r="S1001" i="4"/>
  <c r="T1001" i="4"/>
  <c r="U1001" i="4"/>
  <c r="X56" i="4"/>
  <c r="X55" i="4"/>
  <c r="X54" i="4"/>
  <c r="X32" i="4"/>
  <c r="X31" i="4"/>
  <c r="X28" i="4"/>
  <c r="X27" i="4"/>
  <c r="X26" i="4"/>
  <c r="X25" i="4"/>
  <c r="X24" i="4"/>
  <c r="X23" i="4"/>
  <c r="X11" i="4"/>
  <c r="X61" i="4" s="1"/>
  <c r="X10" i="4"/>
  <c r="X60" i="4" s="1"/>
  <c r="X9" i="4"/>
  <c r="X59" i="4" s="1"/>
  <c r="X6" i="4"/>
  <c r="X5" i="4"/>
  <c r="X4" i="4"/>
  <c r="X3" i="4"/>
  <c r="X2" i="4"/>
  <c r="T1002" i="4"/>
  <c r="U1002" i="4" s="1"/>
  <c r="S1002" i="4"/>
  <c r="F3" i="1"/>
  <c r="D3" i="1"/>
  <c r="G3" i="1"/>
  <c r="E3" i="1"/>
  <c r="B3" i="1"/>
  <c r="C3" i="1" l="1"/>
  <c r="X16" i="4"/>
  <c r="X15" i="4"/>
  <c r="Y45" i="4"/>
  <c r="Y44" i="4"/>
  <c r="Y38" i="4"/>
  <c r="Y37" i="4"/>
  <c r="Y48" i="4"/>
  <c r="Y51" i="4"/>
  <c r="Y50" i="4"/>
  <c r="Y49" i="4"/>
  <c r="Y35" i="4"/>
  <c r="Y36" i="4"/>
  <c r="X20" i="4"/>
  <c r="Y43" i="4"/>
  <c r="X14" i="4"/>
  <c r="Y40" i="4"/>
  <c r="Y39" i="4"/>
  <c r="X19" i="4"/>
  <c r="Y47" i="4"/>
  <c r="Y4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7EBAD2-DE41-4CE2-B5CE-63EFB11E4B1C}" keepAlive="1" name="Query - SuperMarket Analysis" description="Connection to the 'SuperMarket Analysis' query in the workbook." type="5" refreshedVersion="8" background="1" saveData="1">
    <dbPr connection="Provider=Microsoft.Mashup.OleDb.1;Data Source=$Workbook$;Location=&quot;SuperMarket Analysis&quot;;Extended Properties=&quot;&quot;" command="SELECT * FROM [SuperMarket Analysis]"/>
  </connection>
</connections>
</file>

<file path=xl/sharedStrings.xml><?xml version="1.0" encoding="utf-8"?>
<sst xmlns="http://schemas.openxmlformats.org/spreadsheetml/2006/main" count="39769" uniqueCount="5513">
  <si>
    <t>Invoice ID</t>
  </si>
  <si>
    <t>Branch</t>
  </si>
  <si>
    <t>City</t>
  </si>
  <si>
    <t>Customer type</t>
  </si>
  <si>
    <t>Gender</t>
  </si>
  <si>
    <t>Product line</t>
  </si>
  <si>
    <t>Unit price</t>
  </si>
  <si>
    <t>Quantity</t>
  </si>
  <si>
    <t>Tax 5%</t>
  </si>
  <si>
    <t>Sales</t>
  </si>
  <si>
    <t>Date</t>
  </si>
  <si>
    <t>Time</t>
  </si>
  <si>
    <t>Payment</t>
  </si>
  <si>
    <t>cogs</t>
  </si>
  <si>
    <t>gross margin percentage</t>
  </si>
  <si>
    <t>gross income</t>
  </si>
  <si>
    <t>Rating</t>
  </si>
  <si>
    <t>Column1</t>
  </si>
  <si>
    <t>_1</t>
  </si>
  <si>
    <t>_2</t>
  </si>
  <si>
    <t>_3</t>
  </si>
  <si>
    <t>750-67-8428</t>
  </si>
  <si>
    <t>Alex</t>
  </si>
  <si>
    <t>Yangon</t>
  </si>
  <si>
    <t>Member</t>
  </si>
  <si>
    <t>Female</t>
  </si>
  <si>
    <t>Health and beauty</t>
  </si>
  <si>
    <t>74.69</t>
  </si>
  <si>
    <t>7</t>
  </si>
  <si>
    <t>26.1415</t>
  </si>
  <si>
    <t>548.9715</t>
  </si>
  <si>
    <t>1/5/2019</t>
  </si>
  <si>
    <t>1:08:00 PM</t>
  </si>
  <si>
    <t>Ewallet</t>
  </si>
  <si>
    <t>522.83</t>
  </si>
  <si>
    <t>4.761904762</t>
  </si>
  <si>
    <t>9.1</t>
  </si>
  <si>
    <t/>
  </si>
  <si>
    <t>226-31-3081</t>
  </si>
  <si>
    <t>Giza</t>
  </si>
  <si>
    <t>Naypyitaw</t>
  </si>
  <si>
    <t>Normal</t>
  </si>
  <si>
    <t>Electronic accessories</t>
  </si>
  <si>
    <t>15.28</t>
  </si>
  <si>
    <t>5</t>
  </si>
  <si>
    <t>3.82</t>
  </si>
  <si>
    <t>80.22</t>
  </si>
  <si>
    <t>3/8/2019</t>
  </si>
  <si>
    <t>10:29:00 AM</t>
  </si>
  <si>
    <t>Cash</t>
  </si>
  <si>
    <t>76.4</t>
  </si>
  <si>
    <t>9.6</t>
  </si>
  <si>
    <t>631-41-3108</t>
  </si>
  <si>
    <t>Home and lifestyle</t>
  </si>
  <si>
    <t>46.33</t>
  </si>
  <si>
    <t>16.2155</t>
  </si>
  <si>
    <t>340.5255</t>
  </si>
  <si>
    <t>3/3/2019</t>
  </si>
  <si>
    <t>1:23:00 PM</t>
  </si>
  <si>
    <t>Credit card</t>
  </si>
  <si>
    <t>324.31</t>
  </si>
  <si>
    <t>7.4</t>
  </si>
  <si>
    <t>123-19-1176</t>
  </si>
  <si>
    <t>58.22</t>
  </si>
  <si>
    <t>8</t>
  </si>
  <si>
    <t>23.288</t>
  </si>
  <si>
    <t>489.048</t>
  </si>
  <si>
    <t>1/27/2019</t>
  </si>
  <si>
    <t>8:33:00 PM</t>
  </si>
  <si>
    <t>465.76</t>
  </si>
  <si>
    <t>8.4</t>
  </si>
  <si>
    <t>373-73-7910</t>
  </si>
  <si>
    <t>Sports and travel</t>
  </si>
  <si>
    <t>86.31</t>
  </si>
  <si>
    <t>30.2085</t>
  </si>
  <si>
    <t>634.3785</t>
  </si>
  <si>
    <t>2/8/2019</t>
  </si>
  <si>
    <t>10:37:00 AM</t>
  </si>
  <si>
    <t>604.17</t>
  </si>
  <si>
    <t>5.3</t>
  </si>
  <si>
    <t>699-14-3026</t>
  </si>
  <si>
    <t>85.39</t>
  </si>
  <si>
    <t>29.8865</t>
  </si>
  <si>
    <t>627.6165</t>
  </si>
  <si>
    <t>3/25/2019</t>
  </si>
  <si>
    <t>6:30:00 PM</t>
  </si>
  <si>
    <t>597.73</t>
  </si>
  <si>
    <t>4.1</t>
  </si>
  <si>
    <t>355-53-5943</t>
  </si>
  <si>
    <t>68.84</t>
  </si>
  <si>
    <t>6</t>
  </si>
  <si>
    <t>20.652</t>
  </si>
  <si>
    <t>433.692</t>
  </si>
  <si>
    <t>2/25/2019</t>
  </si>
  <si>
    <t>2:36:00 PM</t>
  </si>
  <si>
    <t>413.04</t>
  </si>
  <si>
    <t>5.8</t>
  </si>
  <si>
    <t>315-22-5665</t>
  </si>
  <si>
    <t>73.56</t>
  </si>
  <si>
    <t>10</t>
  </si>
  <si>
    <t>36.78</t>
  </si>
  <si>
    <t>772.38</t>
  </si>
  <si>
    <t>2/24/2019</t>
  </si>
  <si>
    <t>11:38:00 AM</t>
  </si>
  <si>
    <t>735.6</t>
  </si>
  <si>
    <t>665-32-9167</t>
  </si>
  <si>
    <t>36.26</t>
  </si>
  <si>
    <t>2</t>
  </si>
  <si>
    <t>3.626</t>
  </si>
  <si>
    <t>76.146</t>
  </si>
  <si>
    <t>1/10/2019</t>
  </si>
  <si>
    <t>5:15:00 PM</t>
  </si>
  <si>
    <t>72.52</t>
  </si>
  <si>
    <t>7.2</t>
  </si>
  <si>
    <t>692-92-5582</t>
  </si>
  <si>
    <t>Cairo</t>
  </si>
  <si>
    <t>Mandalay</t>
  </si>
  <si>
    <t>Food and beverages</t>
  </si>
  <si>
    <t>54.84</t>
  </si>
  <si>
    <t>3</t>
  </si>
  <si>
    <t>8.226</t>
  </si>
  <si>
    <t>172.746</t>
  </si>
  <si>
    <t>2/20/2019</t>
  </si>
  <si>
    <t>1:27:00 PM</t>
  </si>
  <si>
    <t>164.52</t>
  </si>
  <si>
    <t>5.9</t>
  </si>
  <si>
    <t>351-62-0822</t>
  </si>
  <si>
    <t>Fashion accessories</t>
  </si>
  <si>
    <t>14.48</t>
  </si>
  <si>
    <t>4</t>
  </si>
  <si>
    <t>2.896</t>
  </si>
  <si>
    <t>60.816</t>
  </si>
  <si>
    <t>2/6/2019</t>
  </si>
  <si>
    <t>6:07:00 PM</t>
  </si>
  <si>
    <t>57.92</t>
  </si>
  <si>
    <t>4.5</t>
  </si>
  <si>
    <t>529-56-3974</t>
  </si>
  <si>
    <t>25.51</t>
  </si>
  <si>
    <t>5.102</t>
  </si>
  <si>
    <t>107.142</t>
  </si>
  <si>
    <t>3/9/2019</t>
  </si>
  <si>
    <t>5:03:00 PM</t>
  </si>
  <si>
    <t>102.04</t>
  </si>
  <si>
    <t>6.8</t>
  </si>
  <si>
    <t>365-64-0515</t>
  </si>
  <si>
    <t>46.95</t>
  </si>
  <si>
    <t>11.7375</t>
  </si>
  <si>
    <t>246.4875</t>
  </si>
  <si>
    <t>2/12/2019</t>
  </si>
  <si>
    <t>10:25:00 AM</t>
  </si>
  <si>
    <t>234.75</t>
  </si>
  <si>
    <t>7.1</t>
  </si>
  <si>
    <t>252-56-2699</t>
  </si>
  <si>
    <t>43.19</t>
  </si>
  <si>
    <t>21.595</t>
  </si>
  <si>
    <t>453.495</t>
  </si>
  <si>
    <t>2/7/2019</t>
  </si>
  <si>
    <t>4:48:00 PM</t>
  </si>
  <si>
    <t>431.9</t>
  </si>
  <si>
    <t>8.2</t>
  </si>
  <si>
    <t>829-34-3910</t>
  </si>
  <si>
    <t>71.38</t>
  </si>
  <si>
    <t>35.69</t>
  </si>
  <si>
    <t>749.49</t>
  </si>
  <si>
    <t>3/29/2019</t>
  </si>
  <si>
    <t>7:21:00 PM</t>
  </si>
  <si>
    <t>713.8</t>
  </si>
  <si>
    <t>5.7</t>
  </si>
  <si>
    <t>299-46-1805</t>
  </si>
  <si>
    <t>93.72</t>
  </si>
  <si>
    <t>28.116</t>
  </si>
  <si>
    <t>590.436</t>
  </si>
  <si>
    <t>1/15/2019</t>
  </si>
  <si>
    <t>4:19:00 PM</t>
  </si>
  <si>
    <t>562.32</t>
  </si>
  <si>
    <t>656-95-9349</t>
  </si>
  <si>
    <t>68.93</t>
  </si>
  <si>
    <t>24.1255</t>
  </si>
  <si>
    <t>506.6355</t>
  </si>
  <si>
    <t>3/11/2019</t>
  </si>
  <si>
    <t>11:03:00 AM</t>
  </si>
  <si>
    <t>482.51</t>
  </si>
  <si>
    <t>4.6</t>
  </si>
  <si>
    <t>765-26-6951</t>
  </si>
  <si>
    <t>72.61</t>
  </si>
  <si>
    <t>21.783</t>
  </si>
  <si>
    <t>457.443</t>
  </si>
  <si>
    <t>1/1/2019</t>
  </si>
  <si>
    <t>10:39:00 AM</t>
  </si>
  <si>
    <t>435.66</t>
  </si>
  <si>
    <t>6.9</t>
  </si>
  <si>
    <t>329-62-1586</t>
  </si>
  <si>
    <t>54.67</t>
  </si>
  <si>
    <t>8.2005</t>
  </si>
  <si>
    <t>172.2105</t>
  </si>
  <si>
    <t>1/21/2019</t>
  </si>
  <si>
    <t>6:00:00 PM</t>
  </si>
  <si>
    <t>164.01</t>
  </si>
  <si>
    <t>8.6</t>
  </si>
  <si>
    <t>319-50-3348</t>
  </si>
  <si>
    <t>40.3</t>
  </si>
  <si>
    <t>4.03</t>
  </si>
  <si>
    <t>84.63</t>
  </si>
  <si>
    <t>3:30:00 PM</t>
  </si>
  <si>
    <t>80.6</t>
  </si>
  <si>
    <t>4.4</t>
  </si>
  <si>
    <t>300-71-4605</t>
  </si>
  <si>
    <t>86.04</t>
  </si>
  <si>
    <t>21.51</t>
  </si>
  <si>
    <t>451.71</t>
  </si>
  <si>
    <t>11:24:00 AM</t>
  </si>
  <si>
    <t>430.2</t>
  </si>
  <si>
    <t>4.8</t>
  </si>
  <si>
    <t>371-85-5789</t>
  </si>
  <si>
    <t>87.98</t>
  </si>
  <si>
    <t>13.197</t>
  </si>
  <si>
    <t>277.137</t>
  </si>
  <si>
    <t>3/5/2019</t>
  </si>
  <si>
    <t>10:40:00 AM</t>
  </si>
  <si>
    <t>263.94</t>
  </si>
  <si>
    <t>5.1</t>
  </si>
  <si>
    <t>273-16-6619</t>
  </si>
  <si>
    <t>33.2</t>
  </si>
  <si>
    <t>3.32</t>
  </si>
  <si>
    <t>69.72</t>
  </si>
  <si>
    <t>3/15/2019</t>
  </si>
  <si>
    <t>12:20:00 PM</t>
  </si>
  <si>
    <t>66.4</t>
  </si>
  <si>
    <t>636-48-8204</t>
  </si>
  <si>
    <t>34.56</t>
  </si>
  <si>
    <t>8.64</t>
  </si>
  <si>
    <t>181.44</t>
  </si>
  <si>
    <t>2/17/2019</t>
  </si>
  <si>
    <t>11:15:00 AM</t>
  </si>
  <si>
    <t>172.8</t>
  </si>
  <si>
    <t>9.9</t>
  </si>
  <si>
    <t>549-59-1358</t>
  </si>
  <si>
    <t>88.63</t>
  </si>
  <si>
    <t>13.2945</t>
  </si>
  <si>
    <t>279.1845</t>
  </si>
  <si>
    <t>3/2/2019</t>
  </si>
  <si>
    <t>5:36:00 PM</t>
  </si>
  <si>
    <t>265.89</t>
  </si>
  <si>
    <t>227-03-5010</t>
  </si>
  <si>
    <t>52.59</t>
  </si>
  <si>
    <t>21.036</t>
  </si>
  <si>
    <t>441.756</t>
  </si>
  <si>
    <t>3/22/2019</t>
  </si>
  <si>
    <t>7:20:00 PM</t>
  </si>
  <si>
    <t>420.72</t>
  </si>
  <si>
    <t>8.5</t>
  </si>
  <si>
    <t>649-29-6775</t>
  </si>
  <si>
    <t>33.52</t>
  </si>
  <si>
    <t>1</t>
  </si>
  <si>
    <t>1.676</t>
  </si>
  <si>
    <t>35.196</t>
  </si>
  <si>
    <t>3:31:00 PM</t>
  </si>
  <si>
    <t>6.7</t>
  </si>
  <si>
    <t>189-17-4241</t>
  </si>
  <si>
    <t>87.67</t>
  </si>
  <si>
    <t>8.767</t>
  </si>
  <si>
    <t>184.107</t>
  </si>
  <si>
    <t>3/10/2019</t>
  </si>
  <si>
    <t>12:17:00 PM</t>
  </si>
  <si>
    <t>175.34</t>
  </si>
  <si>
    <t>7.7</t>
  </si>
  <si>
    <t>145-94-9061</t>
  </si>
  <si>
    <t>88.36</t>
  </si>
  <si>
    <t>22.09</t>
  </si>
  <si>
    <t>463.89</t>
  </si>
  <si>
    <t>1/25/2019</t>
  </si>
  <si>
    <t>7:48:00 PM</t>
  </si>
  <si>
    <t>441.8</t>
  </si>
  <si>
    <t>848-62-7243</t>
  </si>
  <si>
    <t>24.89</t>
  </si>
  <si>
    <t>9</t>
  </si>
  <si>
    <t>11.2005</t>
  </si>
  <si>
    <t>235.2105</t>
  </si>
  <si>
    <t>3:36:00 PM</t>
  </si>
  <si>
    <t>224.01</t>
  </si>
  <si>
    <t>871-79-8483</t>
  </si>
  <si>
    <t>94.13</t>
  </si>
  <si>
    <t>23.5325</t>
  </si>
  <si>
    <t>494.1825</t>
  </si>
  <si>
    <t>7:39:00 PM</t>
  </si>
  <si>
    <t>470.65</t>
  </si>
  <si>
    <t>149-71-6266</t>
  </si>
  <si>
    <t>78.07</t>
  </si>
  <si>
    <t>35.1315</t>
  </si>
  <si>
    <t>737.7615</t>
  </si>
  <si>
    <t>1/28/2019</t>
  </si>
  <si>
    <t>12:43:00 PM</t>
  </si>
  <si>
    <t>702.63</t>
  </si>
  <si>
    <t>640-49-2076</t>
  </si>
  <si>
    <t>83.78</t>
  </si>
  <si>
    <t>33.512</t>
  </si>
  <si>
    <t>703.752</t>
  </si>
  <si>
    <t>2:49:00 PM</t>
  </si>
  <si>
    <t>670.24</t>
  </si>
  <si>
    <t>595-11-5460</t>
  </si>
  <si>
    <t>96.58</t>
  </si>
  <si>
    <t>9.658</t>
  </si>
  <si>
    <t>202.818</t>
  </si>
  <si>
    <t>10:12:00 AM</t>
  </si>
  <si>
    <t>193.16</t>
  </si>
  <si>
    <t>183-56-6882</t>
  </si>
  <si>
    <t>99.42</t>
  </si>
  <si>
    <t>19.884</t>
  </si>
  <si>
    <t>417.564</t>
  </si>
  <si>
    <t>10:42:00 AM</t>
  </si>
  <si>
    <t>397.68</t>
  </si>
  <si>
    <t>7.5</t>
  </si>
  <si>
    <t>232-16-2483</t>
  </si>
  <si>
    <t>68.12</t>
  </si>
  <si>
    <t>3.406</t>
  </si>
  <si>
    <t>71.526</t>
  </si>
  <si>
    <t>1/7/2019</t>
  </si>
  <si>
    <t>12:28:00 PM</t>
  </si>
  <si>
    <t>129-29-8530</t>
  </si>
  <si>
    <t>62.62</t>
  </si>
  <si>
    <t>15.655</t>
  </si>
  <si>
    <t>328.755</t>
  </si>
  <si>
    <t>7:15:00 PM</t>
  </si>
  <si>
    <t>313.1</t>
  </si>
  <si>
    <t>272-65-1806</t>
  </si>
  <si>
    <t>60.88</t>
  </si>
  <si>
    <t>27.396</t>
  </si>
  <si>
    <t>575.316</t>
  </si>
  <si>
    <t>5:17:00 PM</t>
  </si>
  <si>
    <t>547.92</t>
  </si>
  <si>
    <t>4.7</t>
  </si>
  <si>
    <t>333-73-7901</t>
  </si>
  <si>
    <t>54.92</t>
  </si>
  <si>
    <t>21.968</t>
  </si>
  <si>
    <t>461.328</t>
  </si>
  <si>
    <t>3/23/2019</t>
  </si>
  <si>
    <t>1:24:00 PM</t>
  </si>
  <si>
    <t>439.36</t>
  </si>
  <si>
    <t>7.6</t>
  </si>
  <si>
    <t>777-82-7220</t>
  </si>
  <si>
    <t>30.12</t>
  </si>
  <si>
    <t>12.048</t>
  </si>
  <si>
    <t>253.008</t>
  </si>
  <si>
    <t>1:01:00 PM</t>
  </si>
  <si>
    <t>240.96</t>
  </si>
  <si>
    <t>280-35-5823</t>
  </si>
  <si>
    <t>86.72</t>
  </si>
  <si>
    <t>4.336</t>
  </si>
  <si>
    <t>91.056</t>
  </si>
  <si>
    <t>1/17/2019</t>
  </si>
  <si>
    <t>6:45:00 PM</t>
  </si>
  <si>
    <t>7.9</t>
  </si>
  <si>
    <t>554-53-8700</t>
  </si>
  <si>
    <t>56.11</t>
  </si>
  <si>
    <t>5.611</t>
  </si>
  <si>
    <t>117.831</t>
  </si>
  <si>
    <t>2/2/2019</t>
  </si>
  <si>
    <t>10:11:00 AM</t>
  </si>
  <si>
    <t>112.22</t>
  </si>
  <si>
    <t>6.3</t>
  </si>
  <si>
    <t>354-25-5821</t>
  </si>
  <si>
    <t>69.12</t>
  </si>
  <si>
    <t>20.736</t>
  </si>
  <si>
    <t>435.456</t>
  </si>
  <si>
    <t>1:03:00 PM</t>
  </si>
  <si>
    <t>414.72</t>
  </si>
  <si>
    <t>5.6</t>
  </si>
  <si>
    <t>228-96-1411</t>
  </si>
  <si>
    <t>98.7</t>
  </si>
  <si>
    <t>39.48</t>
  </si>
  <si>
    <t>829.08</t>
  </si>
  <si>
    <t>3/4/2019</t>
  </si>
  <si>
    <t>8:39:00 PM</t>
  </si>
  <si>
    <t>789.6</t>
  </si>
  <si>
    <t>617-15-4209</t>
  </si>
  <si>
    <t>15.37</t>
  </si>
  <si>
    <t>1.537</t>
  </si>
  <si>
    <t>32.277</t>
  </si>
  <si>
    <t>3/16/2019</t>
  </si>
  <si>
    <t>7:47:00 PM</t>
  </si>
  <si>
    <t>30.74</t>
  </si>
  <si>
    <t>132-32-9879</t>
  </si>
  <si>
    <t>93.96</t>
  </si>
  <si>
    <t>18.792</t>
  </si>
  <si>
    <t>394.632</t>
  </si>
  <si>
    <t>375.84</t>
  </si>
  <si>
    <t>9.5</t>
  </si>
  <si>
    <t>370-41-7321</t>
  </si>
  <si>
    <t>56.69</t>
  </si>
  <si>
    <t>25.5105</t>
  </si>
  <si>
    <t>535.7205</t>
  </si>
  <si>
    <t>2/27/2019</t>
  </si>
  <si>
    <t>5:24:00 PM</t>
  </si>
  <si>
    <t>510.21</t>
  </si>
  <si>
    <t>727-46-3608</t>
  </si>
  <si>
    <t>20.01</t>
  </si>
  <si>
    <t>9.0045</t>
  </si>
  <si>
    <t>189.0945</t>
  </si>
  <si>
    <t>3:47:00 PM</t>
  </si>
  <si>
    <t>180.09</t>
  </si>
  <si>
    <t>669-54-1719</t>
  </si>
  <si>
    <t>18.93</t>
  </si>
  <si>
    <t>5.679</t>
  </si>
  <si>
    <t>119.259</t>
  </si>
  <si>
    <t>2/10/2019</t>
  </si>
  <si>
    <t>12:45:00 PM</t>
  </si>
  <si>
    <t>113.58</t>
  </si>
  <si>
    <t>8.1</t>
  </si>
  <si>
    <t>574-22-5561</t>
  </si>
  <si>
    <t>82.63</t>
  </si>
  <si>
    <t>41.315</t>
  </si>
  <si>
    <t>867.615</t>
  </si>
  <si>
    <t>3/19/2019</t>
  </si>
  <si>
    <t>5:08:00 PM</t>
  </si>
  <si>
    <t>826.3</t>
  </si>
  <si>
    <t>326-78-5178</t>
  </si>
  <si>
    <t>91.4</t>
  </si>
  <si>
    <t>31.99</t>
  </si>
  <si>
    <t>671.79</t>
  </si>
  <si>
    <t>2/3/2019</t>
  </si>
  <si>
    <t>10:19:00 AM</t>
  </si>
  <si>
    <t>639.8</t>
  </si>
  <si>
    <t>162-48-8011</t>
  </si>
  <si>
    <t>44.59</t>
  </si>
  <si>
    <t>11.1475</t>
  </si>
  <si>
    <t>234.0975</t>
  </si>
  <si>
    <t>3:10:00 PM</t>
  </si>
  <si>
    <t>222.95</t>
  </si>
  <si>
    <t>616-24-2851</t>
  </si>
  <si>
    <t>17.87</t>
  </si>
  <si>
    <t>3.574</t>
  </si>
  <si>
    <t>75.054</t>
  </si>
  <si>
    <t>2:42:00 PM</t>
  </si>
  <si>
    <t>71.48</t>
  </si>
  <si>
    <t>6.5</t>
  </si>
  <si>
    <t>778-71-5554</t>
  </si>
  <si>
    <t>15.43</t>
  </si>
  <si>
    <t>0.7715</t>
  </si>
  <si>
    <t>16.2015</t>
  </si>
  <si>
    <t>3:46:00 PM</t>
  </si>
  <si>
    <t>6.1</t>
  </si>
  <si>
    <t>242-55-6721</t>
  </si>
  <si>
    <t>16.16</t>
  </si>
  <si>
    <t>1.616</t>
  </si>
  <si>
    <t>33.936</t>
  </si>
  <si>
    <t>3/7/2019</t>
  </si>
  <si>
    <t>11:49:00 AM</t>
  </si>
  <si>
    <t>32.32</t>
  </si>
  <si>
    <t>399-46-5918</t>
  </si>
  <si>
    <t>85.98</t>
  </si>
  <si>
    <t>34.392</t>
  </si>
  <si>
    <t>722.232</t>
  </si>
  <si>
    <t>2/28/2019</t>
  </si>
  <si>
    <t>7:01:00 PM</t>
  </si>
  <si>
    <t>687.84</t>
  </si>
  <si>
    <t>106-35-6779</t>
  </si>
  <si>
    <t>44.34</t>
  </si>
  <si>
    <t>4.434</t>
  </si>
  <si>
    <t>93.114</t>
  </si>
  <si>
    <t>3/27/2019</t>
  </si>
  <si>
    <t>11:26:00 AM</t>
  </si>
  <si>
    <t>88.68</t>
  </si>
  <si>
    <t>635-40-6220</t>
  </si>
  <si>
    <t>89.6</t>
  </si>
  <si>
    <t>35.84</t>
  </si>
  <si>
    <t>752.64</t>
  </si>
  <si>
    <t>11:28:00 AM</t>
  </si>
  <si>
    <t>716.8</t>
  </si>
  <si>
    <t>6.6</t>
  </si>
  <si>
    <t>817-48-8732</t>
  </si>
  <si>
    <t>72.35</t>
  </si>
  <si>
    <t>36.175</t>
  </si>
  <si>
    <t>759.675</t>
  </si>
  <si>
    <t>1/20/2019</t>
  </si>
  <si>
    <t>3:55:00 PM</t>
  </si>
  <si>
    <t>723.5</t>
  </si>
  <si>
    <t>5.4</t>
  </si>
  <si>
    <t>120-06-4233</t>
  </si>
  <si>
    <t>30.61</t>
  </si>
  <si>
    <t>9.183</t>
  </si>
  <si>
    <t>192.843</t>
  </si>
  <si>
    <t>3/12/2019</t>
  </si>
  <si>
    <t>8:36:00 PM</t>
  </si>
  <si>
    <t>183.66</t>
  </si>
  <si>
    <t>9.3</t>
  </si>
  <si>
    <t>285-68-5083</t>
  </si>
  <si>
    <t>24.74</t>
  </si>
  <si>
    <t>3.711</t>
  </si>
  <si>
    <t>77.931</t>
  </si>
  <si>
    <t>2/15/2019</t>
  </si>
  <si>
    <t>5:47:00 PM</t>
  </si>
  <si>
    <t>74.22</t>
  </si>
  <si>
    <t>803-83-5989</t>
  </si>
  <si>
    <t>55.73</t>
  </si>
  <si>
    <t>16.719</t>
  </si>
  <si>
    <t>351.099</t>
  </si>
  <si>
    <t>10:55:00 AM</t>
  </si>
  <si>
    <t>334.38</t>
  </si>
  <si>
    <t>347-34-2234</t>
  </si>
  <si>
    <t>55.07</t>
  </si>
  <si>
    <t>24.7815</t>
  </si>
  <si>
    <t>520.4115</t>
  </si>
  <si>
    <t>1:40:00 PM</t>
  </si>
  <si>
    <t>495.63</t>
  </si>
  <si>
    <t>199-75-8169</t>
  </si>
  <si>
    <t>15.81</t>
  </si>
  <si>
    <t>7.905</t>
  </si>
  <si>
    <t>166.005</t>
  </si>
  <si>
    <t>3/6/2019</t>
  </si>
  <si>
    <t>12:27:00 PM</t>
  </si>
  <si>
    <t>158.1</t>
  </si>
  <si>
    <t>853-23-2453</t>
  </si>
  <si>
    <t>75.74</t>
  </si>
  <si>
    <t>15.148</t>
  </si>
  <si>
    <t>318.108</t>
  </si>
  <si>
    <t>2/14/2019</t>
  </si>
  <si>
    <t>2:35:00 PM</t>
  </si>
  <si>
    <t>302.96</t>
  </si>
  <si>
    <t>877-22-3308</t>
  </si>
  <si>
    <t>15.87</t>
  </si>
  <si>
    <t>7.935</t>
  </si>
  <si>
    <t>166.635</t>
  </si>
  <si>
    <t>3/13/2019</t>
  </si>
  <si>
    <t>4:40:00 PM</t>
  </si>
  <si>
    <t>158.7</t>
  </si>
  <si>
    <t>838-78-4295</t>
  </si>
  <si>
    <t>33.47</t>
  </si>
  <si>
    <t>3.347</t>
  </si>
  <si>
    <t>70.287</t>
  </si>
  <si>
    <t>3:43:00 PM</t>
  </si>
  <si>
    <t>66.94</t>
  </si>
  <si>
    <t>109-28-2512</t>
  </si>
  <si>
    <t>97.61</t>
  </si>
  <si>
    <t>29.283</t>
  </si>
  <si>
    <t>614.943</t>
  </si>
  <si>
    <t>3:01:00 PM</t>
  </si>
  <si>
    <t>585.66</t>
  </si>
  <si>
    <t>232-11-3025</t>
  </si>
  <si>
    <t>78.77</t>
  </si>
  <si>
    <t>39.385</t>
  </si>
  <si>
    <t>827.085</t>
  </si>
  <si>
    <t>1/24/2019</t>
  </si>
  <si>
    <t>10:04:00 AM</t>
  </si>
  <si>
    <t>787.7</t>
  </si>
  <si>
    <t>6.4</t>
  </si>
  <si>
    <t>382-03-4532</t>
  </si>
  <si>
    <t>18.33</t>
  </si>
  <si>
    <t>0.9165</t>
  </si>
  <si>
    <t>19.2465</t>
  </si>
  <si>
    <t>6:50:00 PM</t>
  </si>
  <si>
    <t>4.3</t>
  </si>
  <si>
    <t>393-65-2792</t>
  </si>
  <si>
    <t>89.48</t>
  </si>
  <si>
    <t>44.74</t>
  </si>
  <si>
    <t>939.54</t>
  </si>
  <si>
    <t>1/6/2019</t>
  </si>
  <si>
    <t>12:46:00 PM</t>
  </si>
  <si>
    <t>894.8</t>
  </si>
  <si>
    <t>796-12-2025</t>
  </si>
  <si>
    <t>62.12</t>
  </si>
  <si>
    <t>31.06</t>
  </si>
  <si>
    <t>652.26</t>
  </si>
  <si>
    <t>2/11/2019</t>
  </si>
  <si>
    <t>621.2</t>
  </si>
  <si>
    <t>510-95-6347</t>
  </si>
  <si>
    <t>48.52</t>
  </si>
  <si>
    <t>7.278</t>
  </si>
  <si>
    <t>152.838</t>
  </si>
  <si>
    <t>6:17:00 PM</t>
  </si>
  <si>
    <t>145.56</t>
  </si>
  <si>
    <t>841-35-6630</t>
  </si>
  <si>
    <t>75.91</t>
  </si>
  <si>
    <t>22.773</t>
  </si>
  <si>
    <t>478.233</t>
  </si>
  <si>
    <t>6:21:00 PM</t>
  </si>
  <si>
    <t>455.46</t>
  </si>
  <si>
    <t>8.7</t>
  </si>
  <si>
    <t>287-21-9091</t>
  </si>
  <si>
    <t>74.67</t>
  </si>
  <si>
    <t>33.6015</t>
  </si>
  <si>
    <t>705.6315</t>
  </si>
  <si>
    <t>1/22/2019</t>
  </si>
  <si>
    <t>672.03</t>
  </si>
  <si>
    <t>9.4</t>
  </si>
  <si>
    <t>732-94-0499</t>
  </si>
  <si>
    <t>41.65</t>
  </si>
  <si>
    <t>20.825</t>
  </si>
  <si>
    <t>437.325</t>
  </si>
  <si>
    <t>1/13/2019</t>
  </si>
  <si>
    <t>5:04:00 PM</t>
  </si>
  <si>
    <t>416.5</t>
  </si>
  <si>
    <t>263-10-3913</t>
  </si>
  <si>
    <t>49.04</t>
  </si>
  <si>
    <t>22.068</t>
  </si>
  <si>
    <t>463.428</t>
  </si>
  <si>
    <t>1/9/2019</t>
  </si>
  <si>
    <t>2:20:00 PM</t>
  </si>
  <si>
    <t>441.36</t>
  </si>
  <si>
    <t>381-20-0914</t>
  </si>
  <si>
    <t>1/12/2019</t>
  </si>
  <si>
    <t>3:48:00 PM</t>
  </si>
  <si>
    <t>829-49-1914</t>
  </si>
  <si>
    <t>78.31</t>
  </si>
  <si>
    <t>39.155</t>
  </si>
  <si>
    <t>822.255</t>
  </si>
  <si>
    <t>4:24:00 PM</t>
  </si>
  <si>
    <t>783.1</t>
  </si>
  <si>
    <t>756-01-7507</t>
  </si>
  <si>
    <t>20.38</t>
  </si>
  <si>
    <t>5.095</t>
  </si>
  <si>
    <t>106.995</t>
  </si>
  <si>
    <t>6:56:00 PM</t>
  </si>
  <si>
    <t>101.9</t>
  </si>
  <si>
    <t>870-72-4431</t>
  </si>
  <si>
    <t>99.19</t>
  </si>
  <si>
    <t>29.757</t>
  </si>
  <si>
    <t>624.897</t>
  </si>
  <si>
    <t>595.14</t>
  </si>
  <si>
    <t>5.5</t>
  </si>
  <si>
    <t>847-38-7188</t>
  </si>
  <si>
    <t>96.68</t>
  </si>
  <si>
    <t>14.502</t>
  </si>
  <si>
    <t>304.542</t>
  </si>
  <si>
    <t>1/26/2019</t>
  </si>
  <si>
    <t>7:56:00 PM</t>
  </si>
  <si>
    <t>290.04</t>
  </si>
  <si>
    <t>480-63-2856</t>
  </si>
  <si>
    <t>19.25</t>
  </si>
  <si>
    <t>161.7</t>
  </si>
  <si>
    <t>1/23/2019</t>
  </si>
  <si>
    <t>6:37:00 PM</t>
  </si>
  <si>
    <t>154</t>
  </si>
  <si>
    <t>787-56-0757</t>
  </si>
  <si>
    <t>80.36</t>
  </si>
  <si>
    <t>16.072</t>
  </si>
  <si>
    <t>337.512</t>
  </si>
  <si>
    <t>2/23/2019</t>
  </si>
  <si>
    <t>321.44</t>
  </si>
  <si>
    <t>8.3</t>
  </si>
  <si>
    <t>360-39-5055</t>
  </si>
  <si>
    <t>48.91</t>
  </si>
  <si>
    <t>12.2275</t>
  </si>
  <si>
    <t>256.7775</t>
  </si>
  <si>
    <t>10:17:00 AM</t>
  </si>
  <si>
    <t>244.55</t>
  </si>
  <si>
    <t>730-50-9884</t>
  </si>
  <si>
    <t>83.06</t>
  </si>
  <si>
    <t>29.071</t>
  </si>
  <si>
    <t>610.491</t>
  </si>
  <si>
    <t>2:31:00 PM</t>
  </si>
  <si>
    <t>581.42</t>
  </si>
  <si>
    <t>362-58-8315</t>
  </si>
  <si>
    <t>76.52</t>
  </si>
  <si>
    <t>19.13</t>
  </si>
  <si>
    <t>401.73</t>
  </si>
  <si>
    <t>10:23:00 AM</t>
  </si>
  <si>
    <t>382.6</t>
  </si>
  <si>
    <t>633-44-8566</t>
  </si>
  <si>
    <t>49.38</t>
  </si>
  <si>
    <t>17.283</t>
  </si>
  <si>
    <t>362.943</t>
  </si>
  <si>
    <t>8:35:00 PM</t>
  </si>
  <si>
    <t>345.66</t>
  </si>
  <si>
    <t>7.3</t>
  </si>
  <si>
    <t>504-35-8843</t>
  </si>
  <si>
    <t>42.47</t>
  </si>
  <si>
    <t>2.1235</t>
  </si>
  <si>
    <t>44.5935</t>
  </si>
  <si>
    <t>1/2/2019</t>
  </si>
  <si>
    <t>4:57:00 PM</t>
  </si>
  <si>
    <t>318-68-5053</t>
  </si>
  <si>
    <t>76.99</t>
  </si>
  <si>
    <t>23.097</t>
  </si>
  <si>
    <t>485.037</t>
  </si>
  <si>
    <t>5:55:00 PM</t>
  </si>
  <si>
    <t>461.94</t>
  </si>
  <si>
    <t>565-80-5980</t>
  </si>
  <si>
    <t>47.38</t>
  </si>
  <si>
    <t>9.476</t>
  </si>
  <si>
    <t>198.996</t>
  </si>
  <si>
    <t>189.52</t>
  </si>
  <si>
    <t>225-32-0908</t>
  </si>
  <si>
    <t>44.86</t>
  </si>
  <si>
    <t>22.43</t>
  </si>
  <si>
    <t>471.03</t>
  </si>
  <si>
    <t>7:54:00 PM</t>
  </si>
  <si>
    <t>448.6</t>
  </si>
  <si>
    <t>873-51-0671</t>
  </si>
  <si>
    <t>21.98</t>
  </si>
  <si>
    <t>7.693</t>
  </si>
  <si>
    <t>161.553</t>
  </si>
  <si>
    <t>4:42:00 PM</t>
  </si>
  <si>
    <t>153.86</t>
  </si>
  <si>
    <t>152-08-9985</t>
  </si>
  <si>
    <t>64.36</t>
  </si>
  <si>
    <t>28.962</t>
  </si>
  <si>
    <t>608.202</t>
  </si>
  <si>
    <t>12:09:00 PM</t>
  </si>
  <si>
    <t>579.24</t>
  </si>
  <si>
    <t>512-91-0811</t>
  </si>
  <si>
    <t>89.75</t>
  </si>
  <si>
    <t>4.4875</t>
  </si>
  <si>
    <t>94.2375</t>
  </si>
  <si>
    <t>8:05:00 PM</t>
  </si>
  <si>
    <t>594-34-4444</t>
  </si>
  <si>
    <t>97.16</t>
  </si>
  <si>
    <t>4.858</t>
  </si>
  <si>
    <t>102.018</t>
  </si>
  <si>
    <t>8:38:00 PM</t>
  </si>
  <si>
    <t>766-85-7061</t>
  </si>
  <si>
    <t>87.87</t>
  </si>
  <si>
    <t>43.935</t>
  </si>
  <si>
    <t>922.635</t>
  </si>
  <si>
    <t>878.7</t>
  </si>
  <si>
    <t>871-39-9221</t>
  </si>
  <si>
    <t>12.45</t>
  </si>
  <si>
    <t>3.735</t>
  </si>
  <si>
    <t>78.435</t>
  </si>
  <si>
    <t>2/9/2019</t>
  </si>
  <si>
    <t>1:11:00 PM</t>
  </si>
  <si>
    <t>74.7</t>
  </si>
  <si>
    <t>865-92-6136</t>
  </si>
  <si>
    <t>52.75</t>
  </si>
  <si>
    <t>7.9125</t>
  </si>
  <si>
    <t>166.1625</t>
  </si>
  <si>
    <t>10:16:00 AM</t>
  </si>
  <si>
    <t>158.25</t>
  </si>
  <si>
    <t>733-01-9107</t>
  </si>
  <si>
    <t>82.7</t>
  </si>
  <si>
    <t>24.81</t>
  </si>
  <si>
    <t>521.01</t>
  </si>
  <si>
    <t>6:14:00 PM</t>
  </si>
  <si>
    <t>496.2</t>
  </si>
  <si>
    <t>163-56-7055</t>
  </si>
  <si>
    <t>48.71</t>
  </si>
  <si>
    <t>2.4355</t>
  </si>
  <si>
    <t>51.1455</t>
  </si>
  <si>
    <t>3/26/2019</t>
  </si>
  <si>
    <t>189-98-2939</t>
  </si>
  <si>
    <t>78.55</t>
  </si>
  <si>
    <t>35.3475</t>
  </si>
  <si>
    <t>742.2975</t>
  </si>
  <si>
    <t>3/1/2019</t>
  </si>
  <si>
    <t>1:22:00 PM</t>
  </si>
  <si>
    <t>706.95</t>
  </si>
  <si>
    <t>551-21-3069</t>
  </si>
  <si>
    <t>23.07</t>
  </si>
  <si>
    <t>10.3815</t>
  </si>
  <si>
    <t>218.0115</t>
  </si>
  <si>
    <t>2/1/2019</t>
  </si>
  <si>
    <t>11:27:00 AM</t>
  </si>
  <si>
    <t>207.63</t>
  </si>
  <si>
    <t>4.9</t>
  </si>
  <si>
    <t>212-62-1842</t>
  </si>
  <si>
    <t>58.26</t>
  </si>
  <si>
    <t>17.478</t>
  </si>
  <si>
    <t>367.038</t>
  </si>
  <si>
    <t>3/28/2019</t>
  </si>
  <si>
    <t>4:44:00 PM</t>
  </si>
  <si>
    <t>349.56</t>
  </si>
  <si>
    <t>716-39-1409</t>
  </si>
  <si>
    <t>30.35</t>
  </si>
  <si>
    <t>10.6225</t>
  </si>
  <si>
    <t>223.0725</t>
  </si>
  <si>
    <t>6:19:00 PM</t>
  </si>
  <si>
    <t>212.45</t>
  </si>
  <si>
    <t>704-48-3927</t>
  </si>
  <si>
    <t>88.67</t>
  </si>
  <si>
    <t>44.335</t>
  </si>
  <si>
    <t>931.035</t>
  </si>
  <si>
    <t>2:50:00 PM</t>
  </si>
  <si>
    <t>886.7</t>
  </si>
  <si>
    <t>628-34-3388</t>
  </si>
  <si>
    <t>27.38</t>
  </si>
  <si>
    <t>8.214</t>
  </si>
  <si>
    <t>172.494</t>
  </si>
  <si>
    <t>8:54:00 PM</t>
  </si>
  <si>
    <t>164.28</t>
  </si>
  <si>
    <t>630-74-5166</t>
  </si>
  <si>
    <t>62.13</t>
  </si>
  <si>
    <t>18.639</t>
  </si>
  <si>
    <t>391.419</t>
  </si>
  <si>
    <t>8:19:00 PM</t>
  </si>
  <si>
    <t>372.78</t>
  </si>
  <si>
    <t>588-01-7461</t>
  </si>
  <si>
    <t>33.98</t>
  </si>
  <si>
    <t>15.291</t>
  </si>
  <si>
    <t>321.111</t>
  </si>
  <si>
    <t>3/24/2019</t>
  </si>
  <si>
    <t>10:43:00 AM</t>
  </si>
  <si>
    <t>305.82</t>
  </si>
  <si>
    <t>4.2</t>
  </si>
  <si>
    <t>861-77-0145</t>
  </si>
  <si>
    <t>81.97</t>
  </si>
  <si>
    <t>40.985</t>
  </si>
  <si>
    <t>860.685</t>
  </si>
  <si>
    <t>2:30:00 PM</t>
  </si>
  <si>
    <t>819.7</t>
  </si>
  <si>
    <t>9.2</t>
  </si>
  <si>
    <t>479-26-8945</t>
  </si>
  <si>
    <t>16.49</t>
  </si>
  <si>
    <t>1.649</t>
  </si>
  <si>
    <t>34.629</t>
  </si>
  <si>
    <t>2/5/2019</t>
  </si>
  <si>
    <t>11:32:00 AM</t>
  </si>
  <si>
    <t>32.98</t>
  </si>
  <si>
    <t>210-67-5886</t>
  </si>
  <si>
    <t>98.21</t>
  </si>
  <si>
    <t>14.7315</t>
  </si>
  <si>
    <t>309.3615</t>
  </si>
  <si>
    <t>10:41:00 AM</t>
  </si>
  <si>
    <t>294.63</t>
  </si>
  <si>
    <t>7.8</t>
  </si>
  <si>
    <t>227-78-1148</t>
  </si>
  <si>
    <t>72.84</t>
  </si>
  <si>
    <t>25.494</t>
  </si>
  <si>
    <t>535.374</t>
  </si>
  <si>
    <t>12:44:00 PM</t>
  </si>
  <si>
    <t>509.88</t>
  </si>
  <si>
    <t>645-44-1170</t>
  </si>
  <si>
    <t>58.07</t>
  </si>
  <si>
    <t>26.1315</t>
  </si>
  <si>
    <t>548.7615</t>
  </si>
  <si>
    <t>1/19/2019</t>
  </si>
  <si>
    <t>8:07:00 PM</t>
  </si>
  <si>
    <t>522.63</t>
  </si>
  <si>
    <t>237-01-6122</t>
  </si>
  <si>
    <t>80.79</t>
  </si>
  <si>
    <t>36.3555</t>
  </si>
  <si>
    <t>763.4655</t>
  </si>
  <si>
    <t>8:31:00 PM</t>
  </si>
  <si>
    <t>727.11</t>
  </si>
  <si>
    <t>225-98-1496</t>
  </si>
  <si>
    <t>27.02</t>
  </si>
  <si>
    <t>4.053</t>
  </si>
  <si>
    <t>85.113</t>
  </si>
  <si>
    <t>81.06</t>
  </si>
  <si>
    <t>291-32-1427</t>
  </si>
  <si>
    <t>21.94</t>
  </si>
  <si>
    <t>5.485</t>
  </si>
  <si>
    <t>115.185</t>
  </si>
  <si>
    <t>12:29:00 PM</t>
  </si>
  <si>
    <t>109.7</t>
  </si>
  <si>
    <t>659-65-8956</t>
  </si>
  <si>
    <t>51.36</t>
  </si>
  <si>
    <t>2.568</t>
  </si>
  <si>
    <t>53.928</t>
  </si>
  <si>
    <t>1/16/2019</t>
  </si>
  <si>
    <t>3:26:00 PM</t>
  </si>
  <si>
    <t>5.2</t>
  </si>
  <si>
    <t>642-32-2990</t>
  </si>
  <si>
    <t>10.96</t>
  </si>
  <si>
    <t>5.48</t>
  </si>
  <si>
    <t>115.08</t>
  </si>
  <si>
    <t>8:48:00 PM</t>
  </si>
  <si>
    <t>109.6</t>
  </si>
  <si>
    <t>378-24-2715</t>
  </si>
  <si>
    <t>53.44</t>
  </si>
  <si>
    <t>5.344</t>
  </si>
  <si>
    <t>112.224</t>
  </si>
  <si>
    <t>106.88</t>
  </si>
  <si>
    <t>638-60-7125</t>
  </si>
  <si>
    <t>99.56</t>
  </si>
  <si>
    <t>39.824</t>
  </si>
  <si>
    <t>836.304</t>
  </si>
  <si>
    <t>796.48</t>
  </si>
  <si>
    <t>659-36-1684</t>
  </si>
  <si>
    <t>57.12</t>
  </si>
  <si>
    <t>19.992</t>
  </si>
  <si>
    <t>419.832</t>
  </si>
  <si>
    <t>12:02:00 PM</t>
  </si>
  <si>
    <t>399.84</t>
  </si>
  <si>
    <t>219-22-9386</t>
  </si>
  <si>
    <t>99.96</t>
  </si>
  <si>
    <t>44.982</t>
  </si>
  <si>
    <t>944.622</t>
  </si>
  <si>
    <t>5:26:00 PM</t>
  </si>
  <si>
    <t>899.64</t>
  </si>
  <si>
    <t>336-78-2147</t>
  </si>
  <si>
    <t>63.91</t>
  </si>
  <si>
    <t>25.564</t>
  </si>
  <si>
    <t>536.844</t>
  </si>
  <si>
    <t>7:52:00 PM</t>
  </si>
  <si>
    <t>511.28</t>
  </si>
  <si>
    <t>268-27-6179</t>
  </si>
  <si>
    <t>56.47</t>
  </si>
  <si>
    <t>22.588</t>
  </si>
  <si>
    <t>474.348</t>
  </si>
  <si>
    <t>2:57:00 PM</t>
  </si>
  <si>
    <t>451.76</t>
  </si>
  <si>
    <t>668-90-8900</t>
  </si>
  <si>
    <t>93.69</t>
  </si>
  <si>
    <t>32.7915</t>
  </si>
  <si>
    <t>688.6215</t>
  </si>
  <si>
    <t>6:44:00 PM</t>
  </si>
  <si>
    <t>655.83</t>
  </si>
  <si>
    <t>870-54-3162</t>
  </si>
  <si>
    <t>32.25</t>
  </si>
  <si>
    <t>8.0625</t>
  </si>
  <si>
    <t>169.3125</t>
  </si>
  <si>
    <t>1:26:00 PM</t>
  </si>
  <si>
    <t>161.25</t>
  </si>
  <si>
    <t>189-08-9157</t>
  </si>
  <si>
    <t>31.73</t>
  </si>
  <si>
    <t>14.2785</t>
  </si>
  <si>
    <t>299.8485</t>
  </si>
  <si>
    <t>1/8/2019</t>
  </si>
  <si>
    <t>4:17:00 PM</t>
  </si>
  <si>
    <t>285.57</t>
  </si>
  <si>
    <t>663-86-9076</t>
  </si>
  <si>
    <t>68.54</t>
  </si>
  <si>
    <t>27.416</t>
  </si>
  <si>
    <t>575.736</t>
  </si>
  <si>
    <t>3:57:00 PM</t>
  </si>
  <si>
    <t>548.32</t>
  </si>
  <si>
    <t>549-84-7482</t>
  </si>
  <si>
    <t>90.28</t>
  </si>
  <si>
    <t>40.626</t>
  </si>
  <si>
    <t>853.146</t>
  </si>
  <si>
    <t>812.52</t>
  </si>
  <si>
    <t>191-10-6171</t>
  </si>
  <si>
    <t>39.62</t>
  </si>
  <si>
    <t>13.867</t>
  </si>
  <si>
    <t>291.207</t>
  </si>
  <si>
    <t>1:18:00 PM</t>
  </si>
  <si>
    <t>277.34</t>
  </si>
  <si>
    <t>802-70-5316</t>
  </si>
  <si>
    <t>92.13</t>
  </si>
  <si>
    <t>27.639</t>
  </si>
  <si>
    <t>580.419</t>
  </si>
  <si>
    <t>8:34:00 PM</t>
  </si>
  <si>
    <t>552.78</t>
  </si>
  <si>
    <t>695-51-0018</t>
  </si>
  <si>
    <t>34.84</t>
  </si>
  <si>
    <t>6.968</t>
  </si>
  <si>
    <t>146.328</t>
  </si>
  <si>
    <t>6:36:00 PM</t>
  </si>
  <si>
    <t>139.36</t>
  </si>
  <si>
    <t>590-83-4591</t>
  </si>
  <si>
    <t>87.45</t>
  </si>
  <si>
    <t>26.235</t>
  </si>
  <si>
    <t>550.935</t>
  </si>
  <si>
    <t>2:40:00 PM</t>
  </si>
  <si>
    <t>524.7</t>
  </si>
  <si>
    <t>8.8</t>
  </si>
  <si>
    <t>483-71-1164</t>
  </si>
  <si>
    <t>81.3</t>
  </si>
  <si>
    <t>24.39</t>
  </si>
  <si>
    <t>512.19</t>
  </si>
  <si>
    <t>4:43:00 PM</t>
  </si>
  <si>
    <t>487.8</t>
  </si>
  <si>
    <t>597-78-7908</t>
  </si>
  <si>
    <t>90.22</t>
  </si>
  <si>
    <t>13.533</t>
  </si>
  <si>
    <t>284.193</t>
  </si>
  <si>
    <t>2/18/2019</t>
  </si>
  <si>
    <t>270.66</t>
  </si>
  <si>
    <t>6.2</t>
  </si>
  <si>
    <t>700-81-1757</t>
  </si>
  <si>
    <t>26.31</t>
  </si>
  <si>
    <t>6.5775</t>
  </si>
  <si>
    <t>138.1275</t>
  </si>
  <si>
    <t>1/18/2019</t>
  </si>
  <si>
    <t>8:59:00 PM</t>
  </si>
  <si>
    <t>131.55</t>
  </si>
  <si>
    <t>354-39-5160</t>
  </si>
  <si>
    <t>34.42</t>
  </si>
  <si>
    <t>10.326</t>
  </si>
  <si>
    <t>216.846</t>
  </si>
  <si>
    <t>3:39:00 PM</t>
  </si>
  <si>
    <t>206.52</t>
  </si>
  <si>
    <t>9.8</t>
  </si>
  <si>
    <t>241-72-9525</t>
  </si>
  <si>
    <t>51.91</t>
  </si>
  <si>
    <t>25.955</t>
  </si>
  <si>
    <t>545.055</t>
  </si>
  <si>
    <t>2/16/2019</t>
  </si>
  <si>
    <t>12:21:00 PM</t>
  </si>
  <si>
    <t>519.1</t>
  </si>
  <si>
    <t>575-30-8091</t>
  </si>
  <si>
    <t>72.5</t>
  </si>
  <si>
    <t>29</t>
  </si>
  <si>
    <t>609</t>
  </si>
  <si>
    <t>7:25:00 PM</t>
  </si>
  <si>
    <t>580</t>
  </si>
  <si>
    <t>731-81-9469</t>
  </si>
  <si>
    <t>89.8</t>
  </si>
  <si>
    <t>44.9</t>
  </si>
  <si>
    <t>942.9</t>
  </si>
  <si>
    <t>1:00:00 PM</t>
  </si>
  <si>
    <t>898</t>
  </si>
  <si>
    <t>280-17-4359</t>
  </si>
  <si>
    <t>Male</t>
  </si>
  <si>
    <t>90.5</t>
  </si>
  <si>
    <t>45.25</t>
  </si>
  <si>
    <t>950.25</t>
  </si>
  <si>
    <t>1:48:00 PM</t>
  </si>
  <si>
    <t>905</t>
  </si>
  <si>
    <t>338-65-2210</t>
  </si>
  <si>
    <t>68.6</t>
  </si>
  <si>
    <t>34.3</t>
  </si>
  <si>
    <t>720.3</t>
  </si>
  <si>
    <t>7:57:00 PM</t>
  </si>
  <si>
    <t>686</t>
  </si>
  <si>
    <t>488-25-4221</t>
  </si>
  <si>
    <t>30.41</t>
  </si>
  <si>
    <t>1.5205</t>
  </si>
  <si>
    <t>31.9305</t>
  </si>
  <si>
    <t>2/22/2019</t>
  </si>
  <si>
    <t>10:36:00 AM</t>
  </si>
  <si>
    <t>239-10-7476</t>
  </si>
  <si>
    <t>77.95</t>
  </si>
  <si>
    <t>23.385</t>
  </si>
  <si>
    <t>491.085</t>
  </si>
  <si>
    <t>4:37:00 PM</t>
  </si>
  <si>
    <t>467.7</t>
  </si>
  <si>
    <t>458-41-1477</t>
  </si>
  <si>
    <t>46.26</t>
  </si>
  <si>
    <t>13.878</t>
  </si>
  <si>
    <t>291.438</t>
  </si>
  <si>
    <t>5:11:00 PM</t>
  </si>
  <si>
    <t>277.56</t>
  </si>
  <si>
    <t>685-64-1609</t>
  </si>
  <si>
    <t>30.14</t>
  </si>
  <si>
    <t>15.07</t>
  </si>
  <si>
    <t>316.47</t>
  </si>
  <si>
    <t>301.4</t>
  </si>
  <si>
    <t>568-90-5112</t>
  </si>
  <si>
    <t>66.14</t>
  </si>
  <si>
    <t>13.228</t>
  </si>
  <si>
    <t>277.788</t>
  </si>
  <si>
    <t>264.56</t>
  </si>
  <si>
    <t>262-47-2794</t>
  </si>
  <si>
    <t>71.86</t>
  </si>
  <si>
    <t>28.744</t>
  </si>
  <si>
    <t>603.624</t>
  </si>
  <si>
    <t>3:07:00 PM</t>
  </si>
  <si>
    <t>574.88</t>
  </si>
  <si>
    <t>238-49-0436</t>
  </si>
  <si>
    <t>32.46</t>
  </si>
  <si>
    <t>12.984</t>
  </si>
  <si>
    <t>272.664</t>
  </si>
  <si>
    <t>259.68</t>
  </si>
  <si>
    <t>608-96-3517</t>
  </si>
  <si>
    <t>91.54</t>
  </si>
  <si>
    <t>18.308</t>
  </si>
  <si>
    <t>384.468</t>
  </si>
  <si>
    <t>366.16</t>
  </si>
  <si>
    <t>584-86-7256</t>
  </si>
  <si>
    <t>12.096</t>
  </si>
  <si>
    <t>254.016</t>
  </si>
  <si>
    <t>4:07:00 PM</t>
  </si>
  <si>
    <t>241.92</t>
  </si>
  <si>
    <t>746-94-0204</t>
  </si>
  <si>
    <t>83.24</t>
  </si>
  <si>
    <t>37.458</t>
  </si>
  <si>
    <t>786.618</t>
  </si>
  <si>
    <t>1/29/2019</t>
  </si>
  <si>
    <t>11:56:00 AM</t>
  </si>
  <si>
    <t>749.16</t>
  </si>
  <si>
    <t>214-17-6927</t>
  </si>
  <si>
    <t>16.48</t>
  </si>
  <si>
    <t>4.944</t>
  </si>
  <si>
    <t>103.824</t>
  </si>
  <si>
    <t>6:23:00 PM</t>
  </si>
  <si>
    <t>98.88</t>
  </si>
  <si>
    <t>400-89-4171</t>
  </si>
  <si>
    <t>80.97</t>
  </si>
  <si>
    <t>32.388</t>
  </si>
  <si>
    <t>680.148</t>
  </si>
  <si>
    <t>1:05:00 PM</t>
  </si>
  <si>
    <t>647.76</t>
  </si>
  <si>
    <t>782-95-9291</t>
  </si>
  <si>
    <t>92.29</t>
  </si>
  <si>
    <t>23.0725</t>
  </si>
  <si>
    <t>484.5225</t>
  </si>
  <si>
    <t>461.45</t>
  </si>
  <si>
    <t>279-74-2924</t>
  </si>
  <si>
    <t>72.17</t>
  </si>
  <si>
    <t>3.6085</t>
  </si>
  <si>
    <t>75.7785</t>
  </si>
  <si>
    <t>1/4/2019</t>
  </si>
  <si>
    <t>7:40:00 PM</t>
  </si>
  <si>
    <t>307-85-2293</t>
  </si>
  <si>
    <t>50.28</t>
  </si>
  <si>
    <t>12.57</t>
  </si>
  <si>
    <t>263.97</t>
  </si>
  <si>
    <t>1:58:00 PM</t>
  </si>
  <si>
    <t>251.4</t>
  </si>
  <si>
    <t>9.7</t>
  </si>
  <si>
    <t>743-04-1105</t>
  </si>
  <si>
    <t>97.22</t>
  </si>
  <si>
    <t>43.749</t>
  </si>
  <si>
    <t>918.729</t>
  </si>
  <si>
    <t>3/30/2019</t>
  </si>
  <si>
    <t>2:43:00 PM</t>
  </si>
  <si>
    <t>874.98</t>
  </si>
  <si>
    <t>423-57-2993</t>
  </si>
  <si>
    <t>93.39</t>
  </si>
  <si>
    <t>28.017</t>
  </si>
  <si>
    <t>588.357</t>
  </si>
  <si>
    <t>7:18:00 PM</t>
  </si>
  <si>
    <t>560.34</t>
  </si>
  <si>
    <t>894-41-5205</t>
  </si>
  <si>
    <t>43.18</t>
  </si>
  <si>
    <t>17.272</t>
  </si>
  <si>
    <t>362.712</t>
  </si>
  <si>
    <t>345.44</t>
  </si>
  <si>
    <t>275-28-0149</t>
  </si>
  <si>
    <t>63.69</t>
  </si>
  <si>
    <t>3.1845</t>
  </si>
  <si>
    <t>66.8745</t>
  </si>
  <si>
    <t>4:21:00 PM</t>
  </si>
  <si>
    <t>101-17-6199</t>
  </si>
  <si>
    <t>45.79</t>
  </si>
  <si>
    <t>16.0265</t>
  </si>
  <si>
    <t>336.5565</t>
  </si>
  <si>
    <t>7:44:00 PM</t>
  </si>
  <si>
    <t>320.53</t>
  </si>
  <si>
    <t>423-80-0988</t>
  </si>
  <si>
    <t>7.64</t>
  </si>
  <si>
    <t>160.44</t>
  </si>
  <si>
    <t>1/30/2019</t>
  </si>
  <si>
    <t>7:42:00 PM</t>
  </si>
  <si>
    <t>152.8</t>
  </si>
  <si>
    <t>548-46-9322</t>
  </si>
  <si>
    <t>39.9</t>
  </si>
  <si>
    <t>19.95</t>
  </si>
  <si>
    <t>418.95</t>
  </si>
  <si>
    <t>3:24:00 PM</t>
  </si>
  <si>
    <t>399</t>
  </si>
  <si>
    <t>505-02-0892</t>
  </si>
  <si>
    <t>42.57</t>
  </si>
  <si>
    <t>17.028</t>
  </si>
  <si>
    <t>357.588</t>
  </si>
  <si>
    <t>2:12:00 PM</t>
  </si>
  <si>
    <t>340.56</t>
  </si>
  <si>
    <t>234-65-2137</t>
  </si>
  <si>
    <t>95.58</t>
  </si>
  <si>
    <t>47.79</t>
  </si>
  <si>
    <t>1003.59</t>
  </si>
  <si>
    <t>1:32:00 PM</t>
  </si>
  <si>
    <t>955.8</t>
  </si>
  <si>
    <t>687-47-8271</t>
  </si>
  <si>
    <t>98.98</t>
  </si>
  <si>
    <t>49.49</t>
  </si>
  <si>
    <t>1039.29</t>
  </si>
  <si>
    <t>4:20:00 PM</t>
  </si>
  <si>
    <t>989.8</t>
  </si>
  <si>
    <t>796-32-9050</t>
  </si>
  <si>
    <t>51.28</t>
  </si>
  <si>
    <t>15.384</t>
  </si>
  <si>
    <t>323.064</t>
  </si>
  <si>
    <t>4:31:00 PM</t>
  </si>
  <si>
    <t>307.68</t>
  </si>
  <si>
    <t>105-31-1824</t>
  </si>
  <si>
    <t>69.52</t>
  </si>
  <si>
    <t>24.332</t>
  </si>
  <si>
    <t>510.972</t>
  </si>
  <si>
    <t>486.64</t>
  </si>
  <si>
    <t>249-42-3782</t>
  </si>
  <si>
    <t>70.01</t>
  </si>
  <si>
    <t>17.5025</t>
  </si>
  <si>
    <t>367.5525</t>
  </si>
  <si>
    <t>1/3/2019</t>
  </si>
  <si>
    <t>11:36:00 AM</t>
  </si>
  <si>
    <t>350.05</t>
  </si>
  <si>
    <t>316-55-4634</t>
  </si>
  <si>
    <t>80.05</t>
  </si>
  <si>
    <t>20.0125</t>
  </si>
  <si>
    <t>420.2625</t>
  </si>
  <si>
    <t>400.25</t>
  </si>
  <si>
    <t>733-33-4967</t>
  </si>
  <si>
    <t>20.85</t>
  </si>
  <si>
    <t>8.34</t>
  </si>
  <si>
    <t>175.14</t>
  </si>
  <si>
    <t>7:17:00 PM</t>
  </si>
  <si>
    <t>166.8</t>
  </si>
  <si>
    <t>608-27-6295</t>
  </si>
  <si>
    <t>52.89</t>
  </si>
  <si>
    <t>15.867</t>
  </si>
  <si>
    <t>333.207</t>
  </si>
  <si>
    <t>5:34:00 PM</t>
  </si>
  <si>
    <t>317.34</t>
  </si>
  <si>
    <t>414-12-7047</t>
  </si>
  <si>
    <t>19.79</t>
  </si>
  <si>
    <t>7.916</t>
  </si>
  <si>
    <t>166.236</t>
  </si>
  <si>
    <t>12:04:00 PM</t>
  </si>
  <si>
    <t>158.32</t>
  </si>
  <si>
    <t>827-26-2100</t>
  </si>
  <si>
    <t>33.84</t>
  </si>
  <si>
    <t>15.228</t>
  </si>
  <si>
    <t>319.788</t>
  </si>
  <si>
    <t>3/21/2019</t>
  </si>
  <si>
    <t>304.56</t>
  </si>
  <si>
    <t>175-54-2529</t>
  </si>
  <si>
    <t>22.17</t>
  </si>
  <si>
    <t>8.868</t>
  </si>
  <si>
    <t>186.228</t>
  </si>
  <si>
    <t>5:01:00 PM</t>
  </si>
  <si>
    <t>177.36</t>
  </si>
  <si>
    <t>139-52-2867</t>
  </si>
  <si>
    <t>22.51</t>
  </si>
  <si>
    <t>7.8785</t>
  </si>
  <si>
    <t>165.4485</t>
  </si>
  <si>
    <t>2/13/2019</t>
  </si>
  <si>
    <t>10:50:00 AM</t>
  </si>
  <si>
    <t>157.57</t>
  </si>
  <si>
    <t>407-63-8975</t>
  </si>
  <si>
    <t>73.88</t>
  </si>
  <si>
    <t>22.164</t>
  </si>
  <si>
    <t>465.444</t>
  </si>
  <si>
    <t>7:16:00 PM</t>
  </si>
  <si>
    <t>443.28</t>
  </si>
  <si>
    <t>342-65-4817</t>
  </si>
  <si>
    <t>86.8</t>
  </si>
  <si>
    <t>13.02</t>
  </si>
  <si>
    <t>273.42</t>
  </si>
  <si>
    <t>4:47:00 PM</t>
  </si>
  <si>
    <t>260.4</t>
  </si>
  <si>
    <t>130-98-8941</t>
  </si>
  <si>
    <t>64.26</t>
  </si>
  <si>
    <t>22.491</t>
  </si>
  <si>
    <t>472.311</t>
  </si>
  <si>
    <t>10:00:00 AM</t>
  </si>
  <si>
    <t>449.82</t>
  </si>
  <si>
    <t>434-83-9547</t>
  </si>
  <si>
    <t>38.47</t>
  </si>
  <si>
    <t>15.388</t>
  </si>
  <si>
    <t>323.148</t>
  </si>
  <si>
    <t>11:51:00 AM</t>
  </si>
  <si>
    <t>307.76</t>
  </si>
  <si>
    <t>851-28-6367</t>
  </si>
  <si>
    <t>15.5</t>
  </si>
  <si>
    <t>7.75</t>
  </si>
  <si>
    <t>162.75</t>
  </si>
  <si>
    <t>155</t>
  </si>
  <si>
    <t>824-88-3614</t>
  </si>
  <si>
    <t>34.31</t>
  </si>
  <si>
    <t>13.724</t>
  </si>
  <si>
    <t>288.204</t>
  </si>
  <si>
    <t>3:00:00 PM</t>
  </si>
  <si>
    <t>274.48</t>
  </si>
  <si>
    <t>586-25-0848</t>
  </si>
  <si>
    <t>12.34</t>
  </si>
  <si>
    <t>4.319</t>
  </si>
  <si>
    <t>90.699</t>
  </si>
  <si>
    <t>11:19:00 AM</t>
  </si>
  <si>
    <t>86.38</t>
  </si>
  <si>
    <t>895-66-0685</t>
  </si>
  <si>
    <t>18.08</t>
  </si>
  <si>
    <t>2.712</t>
  </si>
  <si>
    <t>56.952</t>
  </si>
  <si>
    <t>7:46:00 PM</t>
  </si>
  <si>
    <t>54.24</t>
  </si>
  <si>
    <t>305-14-0245</t>
  </si>
  <si>
    <t>94.49</t>
  </si>
  <si>
    <t>37.796</t>
  </si>
  <si>
    <t>793.716</t>
  </si>
  <si>
    <t>7:00:00 PM</t>
  </si>
  <si>
    <t>755.92</t>
  </si>
  <si>
    <t>732-04-5373</t>
  </si>
  <si>
    <t>46.47</t>
  </si>
  <si>
    <t>9.294</t>
  </si>
  <si>
    <t>195.174</t>
  </si>
  <si>
    <t>10:53:00 AM</t>
  </si>
  <si>
    <t>185.88</t>
  </si>
  <si>
    <t>400-60-7251</t>
  </si>
  <si>
    <t>74.07</t>
  </si>
  <si>
    <t>3.7035</t>
  </si>
  <si>
    <t>77.7735</t>
  </si>
  <si>
    <t>12:50:00 PM</t>
  </si>
  <si>
    <t>593-65-1552</t>
  </si>
  <si>
    <t>69.81</t>
  </si>
  <si>
    <t>13.962</t>
  </si>
  <si>
    <t>293.202</t>
  </si>
  <si>
    <t>8:50:00 PM</t>
  </si>
  <si>
    <t>279.24</t>
  </si>
  <si>
    <t>284-34-9626</t>
  </si>
  <si>
    <t>77.04</t>
  </si>
  <si>
    <t>11.556</t>
  </si>
  <si>
    <t>242.676</t>
  </si>
  <si>
    <t>231.12</t>
  </si>
  <si>
    <t>437-58-8131</t>
  </si>
  <si>
    <t>73.52</t>
  </si>
  <si>
    <t>7.352</t>
  </si>
  <si>
    <t>154.392</t>
  </si>
  <si>
    <t>1:41:00 PM</t>
  </si>
  <si>
    <t>147.04</t>
  </si>
  <si>
    <t>286-43-6208</t>
  </si>
  <si>
    <t>87.8</t>
  </si>
  <si>
    <t>39.51</t>
  </si>
  <si>
    <t>829.71</t>
  </si>
  <si>
    <t>7:08:00 PM</t>
  </si>
  <si>
    <t>790.2</t>
  </si>
  <si>
    <t>641-43-2399</t>
  </si>
  <si>
    <t>25.55</t>
  </si>
  <si>
    <t>5.11</t>
  </si>
  <si>
    <t>107.31</t>
  </si>
  <si>
    <t>8:23:00 PM</t>
  </si>
  <si>
    <t>102.2</t>
  </si>
  <si>
    <t>831-07-6050</t>
  </si>
  <si>
    <t>32.71</t>
  </si>
  <si>
    <t>8.1775</t>
  </si>
  <si>
    <t>171.7275</t>
  </si>
  <si>
    <t>11:30:00 AM</t>
  </si>
  <si>
    <t>163.55</t>
  </si>
  <si>
    <t>556-86-3144</t>
  </si>
  <si>
    <t>74.29</t>
  </si>
  <si>
    <t>3.7145</t>
  </si>
  <si>
    <t>78.0045</t>
  </si>
  <si>
    <t>7:30:00 PM</t>
  </si>
  <si>
    <t>848-24-9445</t>
  </si>
  <si>
    <t>43.7</t>
  </si>
  <si>
    <t>4.37</t>
  </si>
  <si>
    <t>91.77</t>
  </si>
  <si>
    <t>6:03:00 PM</t>
  </si>
  <si>
    <t>87.4</t>
  </si>
  <si>
    <t>856-22-8149</t>
  </si>
  <si>
    <t>25.29</t>
  </si>
  <si>
    <t>1.2645</t>
  </si>
  <si>
    <t>26.5545</t>
  </si>
  <si>
    <t>10:13:00 AM</t>
  </si>
  <si>
    <t>699-01-4164</t>
  </si>
  <si>
    <t>41.5</t>
  </si>
  <si>
    <t>174.3</t>
  </si>
  <si>
    <t>7:58:00 PM</t>
  </si>
  <si>
    <t>166</t>
  </si>
  <si>
    <t>420-11-4919</t>
  </si>
  <si>
    <t>71.39</t>
  </si>
  <si>
    <t>17.8475</t>
  </si>
  <si>
    <t>374.7975</t>
  </si>
  <si>
    <t>356.95</t>
  </si>
  <si>
    <t>606-80-4905</t>
  </si>
  <si>
    <t>19.15</t>
  </si>
  <si>
    <t>5.745</t>
  </si>
  <si>
    <t>120.645</t>
  </si>
  <si>
    <t>10:01:00 AM</t>
  </si>
  <si>
    <t>114.9</t>
  </si>
  <si>
    <t>542-41-0513</t>
  </si>
  <si>
    <t>57.49</t>
  </si>
  <si>
    <t>11.498</t>
  </si>
  <si>
    <t>241.458</t>
  </si>
  <si>
    <t>11:57:00 AM</t>
  </si>
  <si>
    <t>229.96</t>
  </si>
  <si>
    <t>426-39-2418</t>
  </si>
  <si>
    <t>61.41</t>
  </si>
  <si>
    <t>21.4935</t>
  </si>
  <si>
    <t>451.3635</t>
  </si>
  <si>
    <t>1/14/2019</t>
  </si>
  <si>
    <t>10:02:00 AM</t>
  </si>
  <si>
    <t>429.87</t>
  </si>
  <si>
    <t>875-46-5808</t>
  </si>
  <si>
    <t>25.9</t>
  </si>
  <si>
    <t>12.95</t>
  </si>
  <si>
    <t>271.95</t>
  </si>
  <si>
    <t>2:51:00 PM</t>
  </si>
  <si>
    <t>259</t>
  </si>
  <si>
    <t>394-43-4238</t>
  </si>
  <si>
    <t>17.77</t>
  </si>
  <si>
    <t>4.4425</t>
  </si>
  <si>
    <t>93.2925</t>
  </si>
  <si>
    <t>12:42:00 PM</t>
  </si>
  <si>
    <t>88.85</t>
  </si>
  <si>
    <t>749-24-1565</t>
  </si>
  <si>
    <t>23.03</t>
  </si>
  <si>
    <t>10.3635</t>
  </si>
  <si>
    <t>217.6335</t>
  </si>
  <si>
    <t>207.27</t>
  </si>
  <si>
    <t>672-51-8681</t>
  </si>
  <si>
    <t>66.65</t>
  </si>
  <si>
    <t>29.9925</t>
  </si>
  <si>
    <t>629.8425</t>
  </si>
  <si>
    <t>599.85</t>
  </si>
  <si>
    <t>263-87-5680</t>
  </si>
  <si>
    <t>28.53</t>
  </si>
  <si>
    <t>14.265</t>
  </si>
  <si>
    <t>299.565</t>
  </si>
  <si>
    <t>3/18/2019</t>
  </si>
  <si>
    <t>5:38:00 PM</t>
  </si>
  <si>
    <t>285.3</t>
  </si>
  <si>
    <t>573-58-9734</t>
  </si>
  <si>
    <t>30.37</t>
  </si>
  <si>
    <t>4.5555</t>
  </si>
  <si>
    <t>95.6655</t>
  </si>
  <si>
    <t>91.11</t>
  </si>
  <si>
    <t>817-69-8206</t>
  </si>
  <si>
    <t>99.73</t>
  </si>
  <si>
    <t>44.8785</t>
  </si>
  <si>
    <t>942.4485</t>
  </si>
  <si>
    <t>897.57</t>
  </si>
  <si>
    <t>888-02-0338</t>
  </si>
  <si>
    <t>26.23</t>
  </si>
  <si>
    <t>11.8035</t>
  </si>
  <si>
    <t>247.8735</t>
  </si>
  <si>
    <t>8:24:00 PM</t>
  </si>
  <si>
    <t>236.07</t>
  </si>
  <si>
    <t>677-11-0152</t>
  </si>
  <si>
    <t>93.26</t>
  </si>
  <si>
    <t>41.967</t>
  </si>
  <si>
    <t>881.307</t>
  </si>
  <si>
    <t>6:08:00 PM</t>
  </si>
  <si>
    <t>839.34</t>
  </si>
  <si>
    <t>142-63-6033</t>
  </si>
  <si>
    <t>92.36</t>
  </si>
  <si>
    <t>23.09</t>
  </si>
  <si>
    <t>484.89</t>
  </si>
  <si>
    <t>3/20/2019</t>
  </si>
  <si>
    <t>461.8</t>
  </si>
  <si>
    <t>656-16-1063</t>
  </si>
  <si>
    <t>46.42</t>
  </si>
  <si>
    <t>6.963</t>
  </si>
  <si>
    <t>146.223</t>
  </si>
  <si>
    <t>139.26</t>
  </si>
  <si>
    <t>891-58-8335</t>
  </si>
  <si>
    <t>29.61</t>
  </si>
  <si>
    <t>3:53:00 PM</t>
  </si>
  <si>
    <t>802-43-8934</t>
  </si>
  <si>
    <t>18.28</t>
  </si>
  <si>
    <t>0.914</t>
  </si>
  <si>
    <t>19.194</t>
  </si>
  <si>
    <t>3:05:00 PM</t>
  </si>
  <si>
    <t>560-30-5617</t>
  </si>
  <si>
    <t>24.77</t>
  </si>
  <si>
    <t>6.1925</t>
  </si>
  <si>
    <t>130.0425</t>
  </si>
  <si>
    <t>6:27:00 PM</t>
  </si>
  <si>
    <t>123.85</t>
  </si>
  <si>
    <t>319-74-2561</t>
  </si>
  <si>
    <t>94.64</t>
  </si>
  <si>
    <t>14.196</t>
  </si>
  <si>
    <t>298.116</t>
  </si>
  <si>
    <t>2/21/2019</t>
  </si>
  <si>
    <t>4:55:00 PM</t>
  </si>
  <si>
    <t>283.92</t>
  </si>
  <si>
    <t>549-03-9315</t>
  </si>
  <si>
    <t>94.87</t>
  </si>
  <si>
    <t>37.948</t>
  </si>
  <si>
    <t>796.908</t>
  </si>
  <si>
    <t>12:58:00 PM</t>
  </si>
  <si>
    <t>758.96</t>
  </si>
  <si>
    <t>790-29-1172</t>
  </si>
  <si>
    <t>57.34</t>
  </si>
  <si>
    <t>8.601</t>
  </si>
  <si>
    <t>180.621</t>
  </si>
  <si>
    <t>6:59:00 PM</t>
  </si>
  <si>
    <t>172.02</t>
  </si>
  <si>
    <t>239-36-3640</t>
  </si>
  <si>
    <t>45.35</t>
  </si>
  <si>
    <t>13.605</t>
  </si>
  <si>
    <t>285.705</t>
  </si>
  <si>
    <t>1/31/2019</t>
  </si>
  <si>
    <t>1:44:00 PM</t>
  </si>
  <si>
    <t>272.1</t>
  </si>
  <si>
    <t>468-01-2051</t>
  </si>
  <si>
    <t>62.08</t>
  </si>
  <si>
    <t>21.728</t>
  </si>
  <si>
    <t>456.288</t>
  </si>
  <si>
    <t>1:46:00 PM</t>
  </si>
  <si>
    <t>434.56</t>
  </si>
  <si>
    <t>389-25-3394</t>
  </si>
  <si>
    <t>11.81</t>
  </si>
  <si>
    <t>2.9525</t>
  </si>
  <si>
    <t>62.0025</t>
  </si>
  <si>
    <t>6:06:00 PM</t>
  </si>
  <si>
    <t>59.05</t>
  </si>
  <si>
    <t>279-62-1445</t>
  </si>
  <si>
    <t>12.54</t>
  </si>
  <si>
    <t>0.627</t>
  </si>
  <si>
    <t>13.167</t>
  </si>
  <si>
    <t>12:38:00 PM</t>
  </si>
  <si>
    <t>213-72-6612</t>
  </si>
  <si>
    <t>43.25</t>
  </si>
  <si>
    <t>4.325</t>
  </si>
  <si>
    <t>90.825</t>
  </si>
  <si>
    <t>3:56:00 PM</t>
  </si>
  <si>
    <t>86.5</t>
  </si>
  <si>
    <t>746-68-6593</t>
  </si>
  <si>
    <t>87.16</t>
  </si>
  <si>
    <t>8.716</t>
  </si>
  <si>
    <t>183.036</t>
  </si>
  <si>
    <t>1/11/2019</t>
  </si>
  <si>
    <t>2:29:00 PM</t>
  </si>
  <si>
    <t>174.32</t>
  </si>
  <si>
    <t>836-82-5858</t>
  </si>
  <si>
    <t>69.37</t>
  </si>
  <si>
    <t>31.2165</t>
  </si>
  <si>
    <t>655.5465</t>
  </si>
  <si>
    <t>7:14:00 PM</t>
  </si>
  <si>
    <t>624.33</t>
  </si>
  <si>
    <t>583-72-1480</t>
  </si>
  <si>
    <t>37.06</t>
  </si>
  <si>
    <t>7.412</t>
  </si>
  <si>
    <t>155.652</t>
  </si>
  <si>
    <t>148.24</t>
  </si>
  <si>
    <t>466-61-5506</t>
  </si>
  <si>
    <t>90.7</t>
  </si>
  <si>
    <t>27.21</t>
  </si>
  <si>
    <t>571.41</t>
  </si>
  <si>
    <t>2/26/2019</t>
  </si>
  <si>
    <t>10:52:00 AM</t>
  </si>
  <si>
    <t>544.2</t>
  </si>
  <si>
    <t>721-86-6247</t>
  </si>
  <si>
    <t>63.42</t>
  </si>
  <si>
    <t>25.368</t>
  </si>
  <si>
    <t>532.728</t>
  </si>
  <si>
    <t>12:55:00 PM</t>
  </si>
  <si>
    <t>507.36</t>
  </si>
  <si>
    <t>289-65-5721</t>
  </si>
  <si>
    <t>81.37</t>
  </si>
  <si>
    <t>8.137</t>
  </si>
  <si>
    <t>170.877</t>
  </si>
  <si>
    <t>7:28:00 PM</t>
  </si>
  <si>
    <t>162.74</t>
  </si>
  <si>
    <t>545-46-3100</t>
  </si>
  <si>
    <t>10.59</t>
  </si>
  <si>
    <t>1.5885</t>
  </si>
  <si>
    <t>33.3585</t>
  </si>
  <si>
    <t>1:52:00 PM</t>
  </si>
  <si>
    <t>31.77</t>
  </si>
  <si>
    <t>418-02-5978</t>
  </si>
  <si>
    <t>84.09</t>
  </si>
  <si>
    <t>37.8405</t>
  </si>
  <si>
    <t>794.6505</t>
  </si>
  <si>
    <t>10:54:00 AM</t>
  </si>
  <si>
    <t>756.81</t>
  </si>
  <si>
    <t>269-04-5750</t>
  </si>
  <si>
    <t>73.82</t>
  </si>
  <si>
    <t>14.764</t>
  </si>
  <si>
    <t>310.044</t>
  </si>
  <si>
    <t>6:31:00 PM</t>
  </si>
  <si>
    <t>295.28</t>
  </si>
  <si>
    <t>157-13-5295</t>
  </si>
  <si>
    <t>51.94</t>
  </si>
  <si>
    <t>25.97</t>
  </si>
  <si>
    <t>545.37</t>
  </si>
  <si>
    <t>6:24:00 PM</t>
  </si>
  <si>
    <t>519.4</t>
  </si>
  <si>
    <t>645-78-8093</t>
  </si>
  <si>
    <t>93.14</t>
  </si>
  <si>
    <t>9.314</t>
  </si>
  <si>
    <t>195.594</t>
  </si>
  <si>
    <t>6:09:00 PM</t>
  </si>
  <si>
    <t>186.28</t>
  </si>
  <si>
    <t>211-30-9270</t>
  </si>
  <si>
    <t>17.41</t>
  </si>
  <si>
    <t>4.3525</t>
  </si>
  <si>
    <t>91.4025</t>
  </si>
  <si>
    <t>3:16:00 PM</t>
  </si>
  <si>
    <t>87.05</t>
  </si>
  <si>
    <t>755-12-3214</t>
  </si>
  <si>
    <t>44.22</t>
  </si>
  <si>
    <t>11.055</t>
  </si>
  <si>
    <t>232.155</t>
  </si>
  <si>
    <t>5:07:00 PM</t>
  </si>
  <si>
    <t>221.1</t>
  </si>
  <si>
    <t>346-84-3103</t>
  </si>
  <si>
    <t>13.22</t>
  </si>
  <si>
    <t>3.305</t>
  </si>
  <si>
    <t>69.405</t>
  </si>
  <si>
    <t>7:26:00 PM</t>
  </si>
  <si>
    <t>66.1</t>
  </si>
  <si>
    <t>478-06-7835</t>
  </si>
  <si>
    <t>89.69</t>
  </si>
  <si>
    <t>4.4845</t>
  </si>
  <si>
    <t>94.1745</t>
  </si>
  <si>
    <t>11:20:00 AM</t>
  </si>
  <si>
    <t>540-11-4336</t>
  </si>
  <si>
    <t>24.94</t>
  </si>
  <si>
    <t>11.223</t>
  </si>
  <si>
    <t>235.683</t>
  </si>
  <si>
    <t>4:49:00 PM</t>
  </si>
  <si>
    <t>224.46</t>
  </si>
  <si>
    <t>448-81-5016</t>
  </si>
  <si>
    <t>59.77</t>
  </si>
  <si>
    <t>5.977</t>
  </si>
  <si>
    <t>125.517</t>
  </si>
  <si>
    <t>12:01:00 PM</t>
  </si>
  <si>
    <t>119.54</t>
  </si>
  <si>
    <t>142-72-4741</t>
  </si>
  <si>
    <t>93.2</t>
  </si>
  <si>
    <t>9.32</t>
  </si>
  <si>
    <t>195.72</t>
  </si>
  <si>
    <t>186.4</t>
  </si>
  <si>
    <t>217-58-1179</t>
  </si>
  <si>
    <t>62.65</t>
  </si>
  <si>
    <t>12.53</t>
  </si>
  <si>
    <t>263.13</t>
  </si>
  <si>
    <t>11:25:00 AM</t>
  </si>
  <si>
    <t>250.6</t>
  </si>
  <si>
    <t>376-02-8238</t>
  </si>
  <si>
    <t>93.87</t>
  </si>
  <si>
    <t>37.548</t>
  </si>
  <si>
    <t>788.508</t>
  </si>
  <si>
    <t>6:42:00 PM</t>
  </si>
  <si>
    <t>750.96</t>
  </si>
  <si>
    <t>530-90-9855</t>
  </si>
  <si>
    <t>47.59</t>
  </si>
  <si>
    <t>19.036</t>
  </si>
  <si>
    <t>399.756</t>
  </si>
  <si>
    <t>2:47:00 PM</t>
  </si>
  <si>
    <t>380.72</t>
  </si>
  <si>
    <t>866-05-7563</t>
  </si>
  <si>
    <t>81.4</t>
  </si>
  <si>
    <t>12.21</t>
  </si>
  <si>
    <t>256.41</t>
  </si>
  <si>
    <t>7:43:00 PM</t>
  </si>
  <si>
    <t>244.2</t>
  </si>
  <si>
    <t>604-70-6476</t>
  </si>
  <si>
    <t>17.94</t>
  </si>
  <si>
    <t>4.485</t>
  </si>
  <si>
    <t>94.185</t>
  </si>
  <si>
    <t>2:04:00 PM</t>
  </si>
  <si>
    <t>89.7</t>
  </si>
  <si>
    <t>799-71-1548</t>
  </si>
  <si>
    <t>77.72</t>
  </si>
  <si>
    <t>15.544</t>
  </si>
  <si>
    <t>326.424</t>
  </si>
  <si>
    <t>4:11:00 PM</t>
  </si>
  <si>
    <t>310.88</t>
  </si>
  <si>
    <t>785-13-7708</t>
  </si>
  <si>
    <t>73.06</t>
  </si>
  <si>
    <t>25.571</t>
  </si>
  <si>
    <t>536.991</t>
  </si>
  <si>
    <t>7:06:00 PM</t>
  </si>
  <si>
    <t>511.42</t>
  </si>
  <si>
    <t>845-51-0542</t>
  </si>
  <si>
    <t>46.55</t>
  </si>
  <si>
    <t>20.9475</t>
  </si>
  <si>
    <t>439.8975</t>
  </si>
  <si>
    <t>3:34:00 PM</t>
  </si>
  <si>
    <t>662-47-5456</t>
  </si>
  <si>
    <t>35.19</t>
  </si>
  <si>
    <t>17.595</t>
  </si>
  <si>
    <t>369.495</t>
  </si>
  <si>
    <t>3/17/2019</t>
  </si>
  <si>
    <t>351.9</t>
  </si>
  <si>
    <t>883-17-4236</t>
  </si>
  <si>
    <t>14.39</t>
  </si>
  <si>
    <t>1.439</t>
  </si>
  <si>
    <t>30.219</t>
  </si>
  <si>
    <t>28.78</t>
  </si>
  <si>
    <t>290-68-2984</t>
  </si>
  <si>
    <t>23.75</t>
  </si>
  <si>
    <t>4.75</t>
  </si>
  <si>
    <t>99.75</t>
  </si>
  <si>
    <t>11:22:00 AM</t>
  </si>
  <si>
    <t>95</t>
  </si>
  <si>
    <t>704-11-6354</t>
  </si>
  <si>
    <t>58.9</t>
  </si>
  <si>
    <t>23.56</t>
  </si>
  <si>
    <t>494.76</t>
  </si>
  <si>
    <t>11:23:00 AM</t>
  </si>
  <si>
    <t>471.2</t>
  </si>
  <si>
    <t>8.9</t>
  </si>
  <si>
    <t>110-48-7033</t>
  </si>
  <si>
    <t>32.62</t>
  </si>
  <si>
    <t>6.524</t>
  </si>
  <si>
    <t>137.004</t>
  </si>
  <si>
    <t>130.48</t>
  </si>
  <si>
    <t>366-93-0948</t>
  </si>
  <si>
    <t>66.35</t>
  </si>
  <si>
    <t>3.3175</t>
  </si>
  <si>
    <t>69.6675</t>
  </si>
  <si>
    <t>10:46:00 AM</t>
  </si>
  <si>
    <t>729-09-9681</t>
  </si>
  <si>
    <t>25.91</t>
  </si>
  <si>
    <t>7.773</t>
  </si>
  <si>
    <t>163.233</t>
  </si>
  <si>
    <t>155.46</t>
  </si>
  <si>
    <t>151-16-1484</t>
  </si>
  <si>
    <t>6.45</t>
  </si>
  <si>
    <t>135.45</t>
  </si>
  <si>
    <t>129</t>
  </si>
  <si>
    <t>380-94-4661</t>
  </si>
  <si>
    <t>65.94</t>
  </si>
  <si>
    <t>13.188</t>
  </si>
  <si>
    <t>276.948</t>
  </si>
  <si>
    <t>263.76</t>
  </si>
  <si>
    <t>850-41-9669</t>
  </si>
  <si>
    <t>75.06</t>
  </si>
  <si>
    <t>33.777</t>
  </si>
  <si>
    <t>709.317</t>
  </si>
  <si>
    <t>1:25:00 PM</t>
  </si>
  <si>
    <t>675.54</t>
  </si>
  <si>
    <t>821-07-3596</t>
  </si>
  <si>
    <t>16.45</t>
  </si>
  <si>
    <t>3.29</t>
  </si>
  <si>
    <t>69.09</t>
  </si>
  <si>
    <t>2:53:00 PM</t>
  </si>
  <si>
    <t>65.8</t>
  </si>
  <si>
    <t>655-85-5130</t>
  </si>
  <si>
    <t>38.3</t>
  </si>
  <si>
    <t>7.66</t>
  </si>
  <si>
    <t>160.86</t>
  </si>
  <si>
    <t>7:22:00 PM</t>
  </si>
  <si>
    <t>153.2</t>
  </si>
  <si>
    <t>447-15-7839</t>
  </si>
  <si>
    <t>22.24</t>
  </si>
  <si>
    <t>11.12</t>
  </si>
  <si>
    <t>233.52</t>
  </si>
  <si>
    <t>11:00:00 AM</t>
  </si>
  <si>
    <t>222.4</t>
  </si>
  <si>
    <t>154-74-7179</t>
  </si>
  <si>
    <t>54.45</t>
  </si>
  <si>
    <t>2.7225</t>
  </si>
  <si>
    <t>57.1725</t>
  </si>
  <si>
    <t>7:24:00 PM</t>
  </si>
  <si>
    <t>253-12-6086</t>
  </si>
  <si>
    <t>98.4</t>
  </si>
  <si>
    <t>34.44</t>
  </si>
  <si>
    <t>723.24</t>
  </si>
  <si>
    <t>688.8</t>
  </si>
  <si>
    <t>808-65-0703</t>
  </si>
  <si>
    <t>35.47</t>
  </si>
  <si>
    <t>7.094</t>
  </si>
  <si>
    <t>148.974</t>
  </si>
  <si>
    <t>3/14/2019</t>
  </si>
  <si>
    <t>5:22:00 PM</t>
  </si>
  <si>
    <t>141.88</t>
  </si>
  <si>
    <t>571-94-0759</t>
  </si>
  <si>
    <t>74.6</t>
  </si>
  <si>
    <t>37.3</t>
  </si>
  <si>
    <t>783.3</t>
  </si>
  <si>
    <t>8:55:00 PM</t>
  </si>
  <si>
    <t>746</t>
  </si>
  <si>
    <t>144-51-6085</t>
  </si>
  <si>
    <t>70.74</t>
  </si>
  <si>
    <t>14.148</t>
  </si>
  <si>
    <t>297.108</t>
  </si>
  <si>
    <t>4:05:00 PM</t>
  </si>
  <si>
    <t>282.96</t>
  </si>
  <si>
    <t>731-14-2199</t>
  </si>
  <si>
    <t>35.54</t>
  </si>
  <si>
    <t>373.17</t>
  </si>
  <si>
    <t>1:34:00 PM</t>
  </si>
  <si>
    <t>355.4</t>
  </si>
  <si>
    <t>783-09-1637</t>
  </si>
  <si>
    <t>67.43</t>
  </si>
  <si>
    <t>16.8575</t>
  </si>
  <si>
    <t>354.0075</t>
  </si>
  <si>
    <t>6:13:00 PM</t>
  </si>
  <si>
    <t>337.15</t>
  </si>
  <si>
    <t>687-15-1097</t>
  </si>
  <si>
    <t>21.12</t>
  </si>
  <si>
    <t>2.112</t>
  </si>
  <si>
    <t>44.352</t>
  </si>
  <si>
    <t>42.24</t>
  </si>
  <si>
    <t>126-54-1082</t>
  </si>
  <si>
    <t>21.54</t>
  </si>
  <si>
    <t>9.693</t>
  </si>
  <si>
    <t>203.553</t>
  </si>
  <si>
    <t>11:44:00 AM</t>
  </si>
  <si>
    <t>193.86</t>
  </si>
  <si>
    <t>633-91-1052</t>
  </si>
  <si>
    <t>12.03</t>
  </si>
  <si>
    <t>1.203</t>
  </si>
  <si>
    <t>25.263</t>
  </si>
  <si>
    <t>3:51:00 PM</t>
  </si>
  <si>
    <t>24.06</t>
  </si>
  <si>
    <t>477-24-6490</t>
  </si>
  <si>
    <t>99.71</t>
  </si>
  <si>
    <t>29.913</t>
  </si>
  <si>
    <t>628.173</t>
  </si>
  <si>
    <t>4:52:00 PM</t>
  </si>
  <si>
    <t>598.26</t>
  </si>
  <si>
    <t>566-19-5475</t>
  </si>
  <si>
    <t>47.97</t>
  </si>
  <si>
    <t>16.7895</t>
  </si>
  <si>
    <t>352.5795</t>
  </si>
  <si>
    <t>8:52:00 PM</t>
  </si>
  <si>
    <t>335.79</t>
  </si>
  <si>
    <t>526-86-8552</t>
  </si>
  <si>
    <t>21.82</t>
  </si>
  <si>
    <t>10.91</t>
  </si>
  <si>
    <t>229.11</t>
  </si>
  <si>
    <t>218.2</t>
  </si>
  <si>
    <t>376-56-3573</t>
  </si>
  <si>
    <t>95.42</t>
  </si>
  <si>
    <t>19.084</t>
  </si>
  <si>
    <t>400.764</t>
  </si>
  <si>
    <t>381.68</t>
  </si>
  <si>
    <t>537-72-0426</t>
  </si>
  <si>
    <t>70.99</t>
  </si>
  <si>
    <t>35.495</t>
  </si>
  <si>
    <t>745.395</t>
  </si>
  <si>
    <t>4:28:00 PM</t>
  </si>
  <si>
    <t>709.9</t>
  </si>
  <si>
    <t>828-61-5674</t>
  </si>
  <si>
    <t>44.02</t>
  </si>
  <si>
    <t>22.01</t>
  </si>
  <si>
    <t>462.21</t>
  </si>
  <si>
    <t>440.2</t>
  </si>
  <si>
    <t>136-08-6195</t>
  </si>
  <si>
    <t>69.96</t>
  </si>
  <si>
    <t>27.984</t>
  </si>
  <si>
    <t>587.664</t>
  </si>
  <si>
    <t>559.68</t>
  </si>
  <si>
    <t>523-38-0215</t>
  </si>
  <si>
    <t>37</t>
  </si>
  <si>
    <t>1.85</t>
  </si>
  <si>
    <t>38.85</t>
  </si>
  <si>
    <t>1:29:00 PM</t>
  </si>
  <si>
    <t>490-29-1201</t>
  </si>
  <si>
    <t>15.34</t>
  </si>
  <si>
    <t>0.767</t>
  </si>
  <si>
    <t>16.107</t>
  </si>
  <si>
    <t>11:09:00 AM</t>
  </si>
  <si>
    <t>667-92-0055</t>
  </si>
  <si>
    <t>99.83</t>
  </si>
  <si>
    <t>29.949</t>
  </si>
  <si>
    <t>628.929</t>
  </si>
  <si>
    <t>3:02:00 PM</t>
  </si>
  <si>
    <t>598.98</t>
  </si>
  <si>
    <t>565-17-3836</t>
  </si>
  <si>
    <t>47.67</t>
  </si>
  <si>
    <t>9.534</t>
  </si>
  <si>
    <t>200.214</t>
  </si>
  <si>
    <t>2:21:00 PM</t>
  </si>
  <si>
    <t>190.68</t>
  </si>
  <si>
    <t>498-41-1961</t>
  </si>
  <si>
    <t>66.68</t>
  </si>
  <si>
    <t>16.67</t>
  </si>
  <si>
    <t>350.07</t>
  </si>
  <si>
    <t>6:01:00 PM</t>
  </si>
  <si>
    <t>333.4</t>
  </si>
  <si>
    <t>593-95-4461</t>
  </si>
  <si>
    <t>74.86</t>
  </si>
  <si>
    <t>3.743</t>
  </si>
  <si>
    <t>78.603</t>
  </si>
  <si>
    <t>226-71-3580</t>
  </si>
  <si>
    <t>10.6875</t>
  </si>
  <si>
    <t>224.4375</t>
  </si>
  <si>
    <t>213.75</t>
  </si>
  <si>
    <t>283-79-9594</t>
  </si>
  <si>
    <t>48.51</t>
  </si>
  <si>
    <t>16.9785</t>
  </si>
  <si>
    <t>356.5485</t>
  </si>
  <si>
    <t>1:30:00 PM</t>
  </si>
  <si>
    <t>339.57</t>
  </si>
  <si>
    <t>430-60-3493</t>
  </si>
  <si>
    <t>94.88</t>
  </si>
  <si>
    <t>33.208</t>
  </si>
  <si>
    <t>697.368</t>
  </si>
  <si>
    <t>2:38:00 PM</t>
  </si>
  <si>
    <t>664.16</t>
  </si>
  <si>
    <t>139-20-0155</t>
  </si>
  <si>
    <t>20.15</t>
  </si>
  <si>
    <t>423.15</t>
  </si>
  <si>
    <t>5:37:00 PM</t>
  </si>
  <si>
    <t>403</t>
  </si>
  <si>
    <t>558-80-4082</t>
  </si>
  <si>
    <t>27.85</t>
  </si>
  <si>
    <t>9.7475</t>
  </si>
  <si>
    <t>204.6975</t>
  </si>
  <si>
    <t>5:20:00 PM</t>
  </si>
  <si>
    <t>194.95</t>
  </si>
  <si>
    <t>278-97-7759</t>
  </si>
  <si>
    <t>62.48</t>
  </si>
  <si>
    <t>3.124</t>
  </si>
  <si>
    <t>65.604</t>
  </si>
  <si>
    <t>8:29:00 PM</t>
  </si>
  <si>
    <t>316-68-6352</t>
  </si>
  <si>
    <t>36.36</t>
  </si>
  <si>
    <t>3.636</t>
  </si>
  <si>
    <t>76.356</t>
  </si>
  <si>
    <t>72.72</t>
  </si>
  <si>
    <t>585-03-5943</t>
  </si>
  <si>
    <t>18.11</t>
  </si>
  <si>
    <t>9.055</t>
  </si>
  <si>
    <t>190.155</t>
  </si>
  <si>
    <t>11:46:00 AM</t>
  </si>
  <si>
    <t>181.1</t>
  </si>
  <si>
    <t>211-05-0490</t>
  </si>
  <si>
    <t>51.92</t>
  </si>
  <si>
    <t>12.98</t>
  </si>
  <si>
    <t>272.58</t>
  </si>
  <si>
    <t>1:42:00 PM</t>
  </si>
  <si>
    <t>259.6</t>
  </si>
  <si>
    <t>727-75-6477</t>
  </si>
  <si>
    <t>28.84</t>
  </si>
  <si>
    <t>5.768</t>
  </si>
  <si>
    <t>121.128</t>
  </si>
  <si>
    <t>2:44:00 PM</t>
  </si>
  <si>
    <t>115.36</t>
  </si>
  <si>
    <t>744-02-5987</t>
  </si>
  <si>
    <t>78.38</t>
  </si>
  <si>
    <t>23.514</t>
  </si>
  <si>
    <t>493.794</t>
  </si>
  <si>
    <t>2:16:00 PM</t>
  </si>
  <si>
    <t>470.28</t>
  </si>
  <si>
    <t>307-83-9164</t>
  </si>
  <si>
    <t>60.01</t>
  </si>
  <si>
    <t>12.002</t>
  </si>
  <si>
    <t>252.042</t>
  </si>
  <si>
    <t>3:54:00 PM</t>
  </si>
  <si>
    <t>240.04</t>
  </si>
  <si>
    <t>779-06-0012</t>
  </si>
  <si>
    <t>88.61</t>
  </si>
  <si>
    <t>4.4305</t>
  </si>
  <si>
    <t>93.0405</t>
  </si>
  <si>
    <t>10:21:00 AM</t>
  </si>
  <si>
    <t>446-47-6729</t>
  </si>
  <si>
    <t>99.82</t>
  </si>
  <si>
    <t>9.982</t>
  </si>
  <si>
    <t>209.622</t>
  </si>
  <si>
    <t>199.64</t>
  </si>
  <si>
    <t>573-10-3877</t>
  </si>
  <si>
    <t>39.01</t>
  </si>
  <si>
    <t>1.9505</t>
  </si>
  <si>
    <t>40.9605</t>
  </si>
  <si>
    <t>4:46:00 PM</t>
  </si>
  <si>
    <t>735-06-4124</t>
  </si>
  <si>
    <t>48.61</t>
  </si>
  <si>
    <t>2.4305</t>
  </si>
  <si>
    <t>51.0405</t>
  </si>
  <si>
    <t>439-54-7422</t>
  </si>
  <si>
    <t>51.19</t>
  </si>
  <si>
    <t>10.238</t>
  </si>
  <si>
    <t>214.998</t>
  </si>
  <si>
    <t>204.76</t>
  </si>
  <si>
    <t>396-90-2219</t>
  </si>
  <si>
    <t>14.96</t>
  </si>
  <si>
    <t>5.984</t>
  </si>
  <si>
    <t>125.664</t>
  </si>
  <si>
    <t>119.68</t>
  </si>
  <si>
    <t>411-77-0180</t>
  </si>
  <si>
    <t>72.2</t>
  </si>
  <si>
    <t>25.27</t>
  </si>
  <si>
    <t>530.67</t>
  </si>
  <si>
    <t>8:14:00 PM</t>
  </si>
  <si>
    <t>505.4</t>
  </si>
  <si>
    <t>286-01-5402</t>
  </si>
  <si>
    <t>40.23</t>
  </si>
  <si>
    <t>14.0805</t>
  </si>
  <si>
    <t>295.6905</t>
  </si>
  <si>
    <t>281.61</t>
  </si>
  <si>
    <t>803-17-8013</t>
  </si>
  <si>
    <t>88.79</t>
  </si>
  <si>
    <t>35.516</t>
  </si>
  <si>
    <t>745.836</t>
  </si>
  <si>
    <t>5:09:00 PM</t>
  </si>
  <si>
    <t>710.32</t>
  </si>
  <si>
    <t>512-98-1403</t>
  </si>
  <si>
    <t>26.48</t>
  </si>
  <si>
    <t>3.972</t>
  </si>
  <si>
    <t>83.412</t>
  </si>
  <si>
    <t>79.44</t>
  </si>
  <si>
    <t>848-42-2560</t>
  </si>
  <si>
    <t>81.91</t>
  </si>
  <si>
    <t>8.191</t>
  </si>
  <si>
    <t>172.011</t>
  </si>
  <si>
    <t>5:43:00 PM</t>
  </si>
  <si>
    <t>163.82</t>
  </si>
  <si>
    <t>532-59-7201</t>
  </si>
  <si>
    <t>79.93</t>
  </si>
  <si>
    <t>23.979</t>
  </si>
  <si>
    <t>503.559</t>
  </si>
  <si>
    <t>479.58</t>
  </si>
  <si>
    <t>181-94-6432</t>
  </si>
  <si>
    <t>69.33</t>
  </si>
  <si>
    <t>6.933</t>
  </si>
  <si>
    <t>145.593</t>
  </si>
  <si>
    <t>7:05:00 PM</t>
  </si>
  <si>
    <t>138.66</t>
  </si>
  <si>
    <t>870-76-1733</t>
  </si>
  <si>
    <t>14.23</t>
  </si>
  <si>
    <t>3.5575</t>
  </si>
  <si>
    <t>74.7075</t>
  </si>
  <si>
    <t>10:08:00 AM</t>
  </si>
  <si>
    <t>71.15</t>
  </si>
  <si>
    <t>423-64-4619</t>
  </si>
  <si>
    <t>15.55</t>
  </si>
  <si>
    <t>6.9975</t>
  </si>
  <si>
    <t>146.9475</t>
  </si>
  <si>
    <t>1:12:00 PM</t>
  </si>
  <si>
    <t>139.95</t>
  </si>
  <si>
    <t>227-07-4446</t>
  </si>
  <si>
    <t>78.13</t>
  </si>
  <si>
    <t>39.065</t>
  </si>
  <si>
    <t>820.365</t>
  </si>
  <si>
    <t>8:51:00 PM</t>
  </si>
  <si>
    <t>781.3</t>
  </si>
  <si>
    <t>174-36-3675</t>
  </si>
  <si>
    <t>99.37</t>
  </si>
  <si>
    <t>9.937</t>
  </si>
  <si>
    <t>208.677</t>
  </si>
  <si>
    <t>5:29:00 PM</t>
  </si>
  <si>
    <t>198.74</t>
  </si>
  <si>
    <t>428-83-5800</t>
  </si>
  <si>
    <t>21.08</t>
  </si>
  <si>
    <t>3.162</t>
  </si>
  <si>
    <t>66.402</t>
  </si>
  <si>
    <t>63.24</t>
  </si>
  <si>
    <t>603-07-0961</t>
  </si>
  <si>
    <t>74.79</t>
  </si>
  <si>
    <t>18.6975</t>
  </si>
  <si>
    <t>392.6475</t>
  </si>
  <si>
    <t>11:34:00 AM</t>
  </si>
  <si>
    <t>373.95</t>
  </si>
  <si>
    <t>704-20-4138</t>
  </si>
  <si>
    <t>29.67</t>
  </si>
  <si>
    <t>10.3845</t>
  </si>
  <si>
    <t>218.0745</t>
  </si>
  <si>
    <t>6:58:00 PM</t>
  </si>
  <si>
    <t>207.69</t>
  </si>
  <si>
    <t>787-15-1757</t>
  </si>
  <si>
    <t>44.07</t>
  </si>
  <si>
    <t>8.814</t>
  </si>
  <si>
    <t>185.094</t>
  </si>
  <si>
    <t>176.28</t>
  </si>
  <si>
    <t>649-11-3678</t>
  </si>
  <si>
    <t>22.93</t>
  </si>
  <si>
    <t>10.3185</t>
  </si>
  <si>
    <t>216.6885</t>
  </si>
  <si>
    <t>8:26:00 PM</t>
  </si>
  <si>
    <t>206.37</t>
  </si>
  <si>
    <t>622-20-1945</t>
  </si>
  <si>
    <t>39.42</t>
  </si>
  <si>
    <t>1.971</t>
  </si>
  <si>
    <t>41.391</t>
  </si>
  <si>
    <t>3:08:00 PM</t>
  </si>
  <si>
    <t>372-94-8041</t>
  </si>
  <si>
    <t>15.26</t>
  </si>
  <si>
    <t>4.578</t>
  </si>
  <si>
    <t>96.138</t>
  </si>
  <si>
    <t>91.56</t>
  </si>
  <si>
    <t>563-91-7120</t>
  </si>
  <si>
    <t>61.77</t>
  </si>
  <si>
    <t>15.4425</t>
  </si>
  <si>
    <t>324.2925</t>
  </si>
  <si>
    <t>1:21:00 PM</t>
  </si>
  <si>
    <t>308.85</t>
  </si>
  <si>
    <t>746-54-5508</t>
  </si>
  <si>
    <t>21.52</t>
  </si>
  <si>
    <t>6.456</t>
  </si>
  <si>
    <t>135.576</t>
  </si>
  <si>
    <t>12:48:00 PM</t>
  </si>
  <si>
    <t>129.12</t>
  </si>
  <si>
    <t>276-54-0879</t>
  </si>
  <si>
    <t>97.74</t>
  </si>
  <si>
    <t>19.548</t>
  </si>
  <si>
    <t>410.508</t>
  </si>
  <si>
    <t>7:53:00 PM</t>
  </si>
  <si>
    <t>390.96</t>
  </si>
  <si>
    <t>815-11-1168</t>
  </si>
  <si>
    <t>99.78</t>
  </si>
  <si>
    <t>24.945</t>
  </si>
  <si>
    <t>523.845</t>
  </si>
  <si>
    <t>7:09:00 PM</t>
  </si>
  <si>
    <t>498.9</t>
  </si>
  <si>
    <t>719-76-3868</t>
  </si>
  <si>
    <t>94.26</t>
  </si>
  <si>
    <t>18.852</t>
  </si>
  <si>
    <t>395.892</t>
  </si>
  <si>
    <t>4:30:00 PM</t>
  </si>
  <si>
    <t>377.04</t>
  </si>
  <si>
    <t>730-61-8757</t>
  </si>
  <si>
    <t>51.13</t>
  </si>
  <si>
    <t>10.226</t>
  </si>
  <si>
    <t>214.746</t>
  </si>
  <si>
    <t>204.52</t>
  </si>
  <si>
    <t>340-66-0321</t>
  </si>
  <si>
    <t>7.272</t>
  </si>
  <si>
    <t>152.712</t>
  </si>
  <si>
    <t>1:07:00 PM</t>
  </si>
  <si>
    <t>145.44</t>
  </si>
  <si>
    <t>868-81-1752</t>
  </si>
  <si>
    <t>22.02</t>
  </si>
  <si>
    <t>9.909</t>
  </si>
  <si>
    <t>208.089</t>
  </si>
  <si>
    <t>6:48:00 PM</t>
  </si>
  <si>
    <t>198.18</t>
  </si>
  <si>
    <t>634-97-8956</t>
  </si>
  <si>
    <t>32.9</t>
  </si>
  <si>
    <t>4.935</t>
  </si>
  <si>
    <t>103.635</t>
  </si>
  <si>
    <t>5:27:00 PM</t>
  </si>
  <si>
    <t>566-71-1091</t>
  </si>
  <si>
    <t>77.02</t>
  </si>
  <si>
    <t>19.255</t>
  </si>
  <si>
    <t>404.355</t>
  </si>
  <si>
    <t>3:59:00 PM</t>
  </si>
  <si>
    <t>385.1</t>
  </si>
  <si>
    <t>442-48-3607</t>
  </si>
  <si>
    <t>23.48</t>
  </si>
  <si>
    <t>2.348</t>
  </si>
  <si>
    <t>49.308</t>
  </si>
  <si>
    <t>11:21:00 AM</t>
  </si>
  <si>
    <t>46.96</t>
  </si>
  <si>
    <t>835-16-0096</t>
  </si>
  <si>
    <t>14.7</t>
  </si>
  <si>
    <t>3.675</t>
  </si>
  <si>
    <t>77.175</t>
  </si>
  <si>
    <t>73.5</t>
  </si>
  <si>
    <t>527-09-6272</t>
  </si>
  <si>
    <t>28.45</t>
  </si>
  <si>
    <t>7.1125</t>
  </si>
  <si>
    <t>149.3625</t>
  </si>
  <si>
    <t>142.25</t>
  </si>
  <si>
    <t>898-04-2717</t>
  </si>
  <si>
    <t>34.38</t>
  </si>
  <si>
    <t>721.98</t>
  </si>
  <si>
    <t>3:49:00 PM</t>
  </si>
  <si>
    <t>687.6</t>
  </si>
  <si>
    <t>692-27-8933</t>
  </si>
  <si>
    <t>57.95</t>
  </si>
  <si>
    <t>17.385</t>
  </si>
  <si>
    <t>365.085</t>
  </si>
  <si>
    <t>1:02:00 PM</t>
  </si>
  <si>
    <t>347.7</t>
  </si>
  <si>
    <t>633-09-3463</t>
  </si>
  <si>
    <t>47.65</t>
  </si>
  <si>
    <t>7.1475</t>
  </si>
  <si>
    <t>150.0975</t>
  </si>
  <si>
    <t>142.95</t>
  </si>
  <si>
    <t>374-17-3652</t>
  </si>
  <si>
    <t>42.82</t>
  </si>
  <si>
    <t>19.269</t>
  </si>
  <si>
    <t>404.649</t>
  </si>
  <si>
    <t>385.38</t>
  </si>
  <si>
    <t>378-07-7001</t>
  </si>
  <si>
    <t>48.09</t>
  </si>
  <si>
    <t>7.2135</t>
  </si>
  <si>
    <t>151.4835</t>
  </si>
  <si>
    <t>144.27</t>
  </si>
  <si>
    <t>433-75-6987</t>
  </si>
  <si>
    <t>55.97</t>
  </si>
  <si>
    <t>19.5895</t>
  </si>
  <si>
    <t>411.3795</t>
  </si>
  <si>
    <t>391.79</t>
  </si>
  <si>
    <t>873-95-4984</t>
  </si>
  <si>
    <t>76.9</t>
  </si>
  <si>
    <t>26.915</t>
  </si>
  <si>
    <t>565.215</t>
  </si>
  <si>
    <t>8:21:00 PM</t>
  </si>
  <si>
    <t>538.3</t>
  </si>
  <si>
    <t>416-13-5917</t>
  </si>
  <si>
    <t>97.03</t>
  </si>
  <si>
    <t>24.2575</t>
  </si>
  <si>
    <t>509.4075</t>
  </si>
  <si>
    <t>485.15</t>
  </si>
  <si>
    <t>150-89-8043</t>
  </si>
  <si>
    <t>44.65</t>
  </si>
  <si>
    <t>6.6975</t>
  </si>
  <si>
    <t>140.6475</t>
  </si>
  <si>
    <t>3:04:00 PM</t>
  </si>
  <si>
    <t>133.95</t>
  </si>
  <si>
    <t>135-84-8019</t>
  </si>
  <si>
    <t>77.93</t>
  </si>
  <si>
    <t>35.0685</t>
  </si>
  <si>
    <t>736.4385</t>
  </si>
  <si>
    <t>4:10:00 PM</t>
  </si>
  <si>
    <t>701.37</t>
  </si>
  <si>
    <t>441-94-7118</t>
  </si>
  <si>
    <t>71.95</t>
  </si>
  <si>
    <t>3.5975</t>
  </si>
  <si>
    <t>75.5475</t>
  </si>
  <si>
    <t>2/4/2019</t>
  </si>
  <si>
    <t>12:14:00 PM</t>
  </si>
  <si>
    <t>725-96-3778</t>
  </si>
  <si>
    <t>89.25</t>
  </si>
  <si>
    <t>35.7</t>
  </si>
  <si>
    <t>749.7</t>
  </si>
  <si>
    <t>714</t>
  </si>
  <si>
    <t>531-80-1784</t>
  </si>
  <si>
    <t>26.02</t>
  </si>
  <si>
    <t>9.107</t>
  </si>
  <si>
    <t>191.247</t>
  </si>
  <si>
    <t>182.14</t>
  </si>
  <si>
    <t>400-45-1220</t>
  </si>
  <si>
    <t>13.5</t>
  </si>
  <si>
    <t>6.75</t>
  </si>
  <si>
    <t>141.75</t>
  </si>
  <si>
    <t>11:06:00 AM</t>
  </si>
  <si>
    <t>135</t>
  </si>
  <si>
    <t>860-79-0874</t>
  </si>
  <si>
    <t>99.3</t>
  </si>
  <si>
    <t>49.65</t>
  </si>
  <si>
    <t>1042.65</t>
  </si>
  <si>
    <t>993</t>
  </si>
  <si>
    <t>834-61-8124</t>
  </si>
  <si>
    <t>51.69</t>
  </si>
  <si>
    <t>18.0915</t>
  </si>
  <si>
    <t>379.9215</t>
  </si>
  <si>
    <t>6:22:00 PM</t>
  </si>
  <si>
    <t>361.83</t>
  </si>
  <si>
    <t>115-99-4379</t>
  </si>
  <si>
    <t>54.73</t>
  </si>
  <si>
    <t>19.1555</t>
  </si>
  <si>
    <t>402.2655</t>
  </si>
  <si>
    <t>7:02:00 PM</t>
  </si>
  <si>
    <t>383.11</t>
  </si>
  <si>
    <t>565-67-6697</t>
  </si>
  <si>
    <t>27</t>
  </si>
  <si>
    <t>12.15</t>
  </si>
  <si>
    <t>255.15</t>
  </si>
  <si>
    <t>243</t>
  </si>
  <si>
    <t>320-49-6392</t>
  </si>
  <si>
    <t>30.24</t>
  </si>
  <si>
    <t>1.512</t>
  </si>
  <si>
    <t>31.752</t>
  </si>
  <si>
    <t>3:44:00 PM</t>
  </si>
  <si>
    <t>889-04-9723</t>
  </si>
  <si>
    <t>89.14</t>
  </si>
  <si>
    <t>17.828</t>
  </si>
  <si>
    <t>374.388</t>
  </si>
  <si>
    <t>356.56</t>
  </si>
  <si>
    <t>632-90-0281</t>
  </si>
  <si>
    <t>37.55</t>
  </si>
  <si>
    <t>18.775</t>
  </si>
  <si>
    <t>394.275</t>
  </si>
  <si>
    <t>8:01:00 PM</t>
  </si>
  <si>
    <t>375.5</t>
  </si>
  <si>
    <t>554-42-2417</t>
  </si>
  <si>
    <t>95.44</t>
  </si>
  <si>
    <t>47.72</t>
  </si>
  <si>
    <t>1002.12</t>
  </si>
  <si>
    <t>1:45:00 PM</t>
  </si>
  <si>
    <t>954.4</t>
  </si>
  <si>
    <t>453-63-6187</t>
  </si>
  <si>
    <t>27.5</t>
  </si>
  <si>
    <t>4.125</t>
  </si>
  <si>
    <t>86.625</t>
  </si>
  <si>
    <t>3:40:00 PM</t>
  </si>
  <si>
    <t>82.5</t>
  </si>
  <si>
    <t>578-80-7669</t>
  </si>
  <si>
    <t>74.97</t>
  </si>
  <si>
    <t>3.7485</t>
  </si>
  <si>
    <t>78.7185</t>
  </si>
  <si>
    <t>4:58:00 PM</t>
  </si>
  <si>
    <t>612-36-5536</t>
  </si>
  <si>
    <t>80.96</t>
  </si>
  <si>
    <t>32.384</t>
  </si>
  <si>
    <t>680.064</t>
  </si>
  <si>
    <t>11:12:00 AM</t>
  </si>
  <si>
    <t>647.68</t>
  </si>
  <si>
    <t>605-72-4132</t>
  </si>
  <si>
    <t>94.47</t>
  </si>
  <si>
    <t>37.788</t>
  </si>
  <si>
    <t>793.548</t>
  </si>
  <si>
    <t>3:12:00 PM</t>
  </si>
  <si>
    <t>755.76</t>
  </si>
  <si>
    <t>471-41-2823</t>
  </si>
  <si>
    <t>99.79</t>
  </si>
  <si>
    <t>9.979</t>
  </si>
  <si>
    <t>209.559</t>
  </si>
  <si>
    <t>8:37:00 PM</t>
  </si>
  <si>
    <t>199.58</t>
  </si>
  <si>
    <t>462-67-9126</t>
  </si>
  <si>
    <t>73.22</t>
  </si>
  <si>
    <t>21.966</t>
  </si>
  <si>
    <t>461.286</t>
  </si>
  <si>
    <t>5:44:00 PM</t>
  </si>
  <si>
    <t>439.32</t>
  </si>
  <si>
    <t>272-27-9238</t>
  </si>
  <si>
    <t>41.24</t>
  </si>
  <si>
    <t>8.248</t>
  </si>
  <si>
    <t>173.208</t>
  </si>
  <si>
    <t>2/19/2019</t>
  </si>
  <si>
    <t>4:23:00 PM</t>
  </si>
  <si>
    <t>164.96</t>
  </si>
  <si>
    <t>834-25-9262</t>
  </si>
  <si>
    <t>81.68</t>
  </si>
  <si>
    <t>16.336</t>
  </si>
  <si>
    <t>343.056</t>
  </si>
  <si>
    <t>12:12:00 PM</t>
  </si>
  <si>
    <t>326.72</t>
  </si>
  <si>
    <t>122-61-9553</t>
  </si>
  <si>
    <t>51.32</t>
  </si>
  <si>
    <t>23.094</t>
  </si>
  <si>
    <t>484.974</t>
  </si>
  <si>
    <t>7:33:00 PM</t>
  </si>
  <si>
    <t>461.88</t>
  </si>
  <si>
    <t>468-88-0009</t>
  </si>
  <si>
    <t>613-59-9758</t>
  </si>
  <si>
    <t>14.36</t>
  </si>
  <si>
    <t>7.18</t>
  </si>
  <si>
    <t>150.78</t>
  </si>
  <si>
    <t>2:28:00 PM</t>
  </si>
  <si>
    <t>143.6</t>
  </si>
  <si>
    <t>254-31-0042</t>
  </si>
  <si>
    <t>21.5</t>
  </si>
  <si>
    <t>9.675</t>
  </si>
  <si>
    <t>203.175</t>
  </si>
  <si>
    <t>193.5</t>
  </si>
  <si>
    <t>201-86-2184</t>
  </si>
  <si>
    <t>26.26</t>
  </si>
  <si>
    <t>9.191</t>
  </si>
  <si>
    <t>193.011</t>
  </si>
  <si>
    <t>183.82</t>
  </si>
  <si>
    <t>261-12-8671</t>
  </si>
  <si>
    <t>60.96</t>
  </si>
  <si>
    <t>6.096</t>
  </si>
  <si>
    <t>128.016</t>
  </si>
  <si>
    <t>121.92</t>
  </si>
  <si>
    <t>730-70-9830</t>
  </si>
  <si>
    <t>70.11</t>
  </si>
  <si>
    <t>21.033</t>
  </si>
  <si>
    <t>441.693</t>
  </si>
  <si>
    <t>5:54:00 PM</t>
  </si>
  <si>
    <t>420.66</t>
  </si>
  <si>
    <t>382-25-8917</t>
  </si>
  <si>
    <t>42.08</t>
  </si>
  <si>
    <t>12.624</t>
  </si>
  <si>
    <t>265.104</t>
  </si>
  <si>
    <t>12:25:00 PM</t>
  </si>
  <si>
    <t>252.48</t>
  </si>
  <si>
    <t>422-29-8786</t>
  </si>
  <si>
    <t>67.09</t>
  </si>
  <si>
    <t>16.7725</t>
  </si>
  <si>
    <t>352.2225</t>
  </si>
  <si>
    <t>335.45</t>
  </si>
  <si>
    <t>667-23-5919</t>
  </si>
  <si>
    <t>96.7</t>
  </si>
  <si>
    <t>24.175</t>
  </si>
  <si>
    <t>507.675</t>
  </si>
  <si>
    <t>12:52:00 PM</t>
  </si>
  <si>
    <t>483.5</t>
  </si>
  <si>
    <t>843-01-4703</t>
  </si>
  <si>
    <t>35.38</t>
  </si>
  <si>
    <t>15.921</t>
  </si>
  <si>
    <t>334.341</t>
  </si>
  <si>
    <t>7:50:00 PM</t>
  </si>
  <si>
    <t>318.42</t>
  </si>
  <si>
    <t>743-88-1662</t>
  </si>
  <si>
    <t>95.49</t>
  </si>
  <si>
    <t>33.4215</t>
  </si>
  <si>
    <t>701.8515</t>
  </si>
  <si>
    <t>668.43</t>
  </si>
  <si>
    <t>595-86-2894</t>
  </si>
  <si>
    <t>96.98</t>
  </si>
  <si>
    <t>19.396</t>
  </si>
  <si>
    <t>407.316</t>
  </si>
  <si>
    <t>387.92</t>
  </si>
  <si>
    <t>182-69-8360</t>
  </si>
  <si>
    <t>23.65</t>
  </si>
  <si>
    <t>4.73</t>
  </si>
  <si>
    <t>99.33</t>
  </si>
  <si>
    <t>94.6</t>
  </si>
  <si>
    <t>289-15-7034</t>
  </si>
  <si>
    <t>82.33</t>
  </si>
  <si>
    <t>16.466</t>
  </si>
  <si>
    <t>345.786</t>
  </si>
  <si>
    <t>329.32</t>
  </si>
  <si>
    <t>462-78-5240</t>
  </si>
  <si>
    <t>26.61</t>
  </si>
  <si>
    <t>2.661</t>
  </si>
  <si>
    <t>55.881</t>
  </si>
  <si>
    <t>53.22</t>
  </si>
  <si>
    <t>868-52-7573</t>
  </si>
  <si>
    <t>99.69</t>
  </si>
  <si>
    <t>24.9225</t>
  </si>
  <si>
    <t>523.3725</t>
  </si>
  <si>
    <t>498.45</t>
  </si>
  <si>
    <t>153-58-4872</t>
  </si>
  <si>
    <t>74.89</t>
  </si>
  <si>
    <t>14.978</t>
  </si>
  <si>
    <t>314.538</t>
  </si>
  <si>
    <t>3:32:00 PM</t>
  </si>
  <si>
    <t>299.56</t>
  </si>
  <si>
    <t>662-72-2873</t>
  </si>
  <si>
    <t>40.94</t>
  </si>
  <si>
    <t>10.235</t>
  </si>
  <si>
    <t>214.935</t>
  </si>
  <si>
    <t>204.7</t>
  </si>
  <si>
    <t>525-88-7307</t>
  </si>
  <si>
    <t>75.82</t>
  </si>
  <si>
    <t>3.791</t>
  </si>
  <si>
    <t>79.611</t>
  </si>
  <si>
    <t>1:19:00 PM</t>
  </si>
  <si>
    <t>689-16-9784</t>
  </si>
  <si>
    <t>46.77</t>
  </si>
  <si>
    <t>14.031</t>
  </si>
  <si>
    <t>294.651</t>
  </si>
  <si>
    <t>1:37:00 PM</t>
  </si>
  <si>
    <t>280.62</t>
  </si>
  <si>
    <t>725-56-0833</t>
  </si>
  <si>
    <t>339.36</t>
  </si>
  <si>
    <t>323.2</t>
  </si>
  <si>
    <t>394-41-0748</t>
  </si>
  <si>
    <t>54.07</t>
  </si>
  <si>
    <t>24.3315</t>
  </si>
  <si>
    <t>510.9615</t>
  </si>
  <si>
    <t>2:55:00 PM</t>
  </si>
  <si>
    <t>486.63</t>
  </si>
  <si>
    <t>596-42-3999</t>
  </si>
  <si>
    <t>18.22</t>
  </si>
  <si>
    <t>6.377</t>
  </si>
  <si>
    <t>133.917</t>
  </si>
  <si>
    <t>127.54</t>
  </si>
  <si>
    <t>541-89-9860</t>
  </si>
  <si>
    <t>80.48</t>
  </si>
  <si>
    <t>12.072</t>
  </si>
  <si>
    <t>253.512</t>
  </si>
  <si>
    <t>12:31:00 PM</t>
  </si>
  <si>
    <t>241.44</t>
  </si>
  <si>
    <t>173-82-9529</t>
  </si>
  <si>
    <t>37.95</t>
  </si>
  <si>
    <t>18.975</t>
  </si>
  <si>
    <t>398.475</t>
  </si>
  <si>
    <t>379.5</t>
  </si>
  <si>
    <t>563-36-9814</t>
  </si>
  <si>
    <t>76.82</t>
  </si>
  <si>
    <t>3.841</t>
  </si>
  <si>
    <t>80.661</t>
  </si>
  <si>
    <t>308-47-4913</t>
  </si>
  <si>
    <t>52.26</t>
  </si>
  <si>
    <t>26.13</t>
  </si>
  <si>
    <t>548.73</t>
  </si>
  <si>
    <t>522.6</t>
  </si>
  <si>
    <t>885-17-6250</t>
  </si>
  <si>
    <t>79.74</t>
  </si>
  <si>
    <t>3.987</t>
  </si>
  <si>
    <t>83.727</t>
  </si>
  <si>
    <t>726-27-2396</t>
  </si>
  <si>
    <t>77.5</t>
  </si>
  <si>
    <t>19.375</t>
  </si>
  <si>
    <t>406.875</t>
  </si>
  <si>
    <t>387.5</t>
  </si>
  <si>
    <t>316-01-3952</t>
  </si>
  <si>
    <t>54.27</t>
  </si>
  <si>
    <t>13.5675</t>
  </si>
  <si>
    <t>284.9175</t>
  </si>
  <si>
    <t>271.35</t>
  </si>
  <si>
    <t>760-54-1821</t>
  </si>
  <si>
    <t>13.59</t>
  </si>
  <si>
    <t>6.1155</t>
  </si>
  <si>
    <t>128.4255</t>
  </si>
  <si>
    <t>10:26:00 AM</t>
  </si>
  <si>
    <t>122.31</t>
  </si>
  <si>
    <t>793-10-3222</t>
  </si>
  <si>
    <t>41.06</t>
  </si>
  <si>
    <t>12.318</t>
  </si>
  <si>
    <t>258.678</t>
  </si>
  <si>
    <t>246.36</t>
  </si>
  <si>
    <t>346-12-3257</t>
  </si>
  <si>
    <t>19.24</t>
  </si>
  <si>
    <t>8.658</t>
  </si>
  <si>
    <t>181.818</t>
  </si>
  <si>
    <t>173.16</t>
  </si>
  <si>
    <t>110-05-6330</t>
  </si>
  <si>
    <t>39.43</t>
  </si>
  <si>
    <t>11.829</t>
  </si>
  <si>
    <t>248.409</t>
  </si>
  <si>
    <t>8:18:00 PM</t>
  </si>
  <si>
    <t>236.58</t>
  </si>
  <si>
    <t>651-61-0874</t>
  </si>
  <si>
    <t>46.22</t>
  </si>
  <si>
    <t>9.244</t>
  </si>
  <si>
    <t>194.124</t>
  </si>
  <si>
    <t>8:04:00 PM</t>
  </si>
  <si>
    <t>184.88</t>
  </si>
  <si>
    <t>236-86-3015</t>
  </si>
  <si>
    <t>13.98</t>
  </si>
  <si>
    <t>0.699</t>
  </si>
  <si>
    <t>14.679</t>
  </si>
  <si>
    <t>1:38:00 PM</t>
  </si>
  <si>
    <t>831-64-0259</t>
  </si>
  <si>
    <t>39.75</t>
  </si>
  <si>
    <t>9.9375</t>
  </si>
  <si>
    <t>208.6875</t>
  </si>
  <si>
    <t>198.75</t>
  </si>
  <si>
    <t>587-03-7455</t>
  </si>
  <si>
    <t>97.79</t>
  </si>
  <si>
    <t>34.2265</t>
  </si>
  <si>
    <t>718.7565</t>
  </si>
  <si>
    <t>5:30:00 PM</t>
  </si>
  <si>
    <t>684.53</t>
  </si>
  <si>
    <t>882-40-4577</t>
  </si>
  <si>
    <t>67.26</t>
  </si>
  <si>
    <t>13.452</t>
  </si>
  <si>
    <t>282.492</t>
  </si>
  <si>
    <t>3:28:00 PM</t>
  </si>
  <si>
    <t>269.04</t>
  </si>
  <si>
    <t>732-67-5346</t>
  </si>
  <si>
    <t>13.79</t>
  </si>
  <si>
    <t>3.4475</t>
  </si>
  <si>
    <t>72.3975</t>
  </si>
  <si>
    <t>7:07:00 PM</t>
  </si>
  <si>
    <t>68.95</t>
  </si>
  <si>
    <t>725-32-9708</t>
  </si>
  <si>
    <t>68.71</t>
  </si>
  <si>
    <t>13.742</t>
  </si>
  <si>
    <t>288.582</t>
  </si>
  <si>
    <t>274.84</t>
  </si>
  <si>
    <t>256-08-8343</t>
  </si>
  <si>
    <t>56.53</t>
  </si>
  <si>
    <t>11.306</t>
  </si>
  <si>
    <t>237.426</t>
  </si>
  <si>
    <t>226.12</t>
  </si>
  <si>
    <t>372-26-1506</t>
  </si>
  <si>
    <t>23.82</t>
  </si>
  <si>
    <t>5.955</t>
  </si>
  <si>
    <t>125.055</t>
  </si>
  <si>
    <t>119.1</t>
  </si>
  <si>
    <t>244-08-0162</t>
  </si>
  <si>
    <t>34.21</t>
  </si>
  <si>
    <t>17.105</t>
  </si>
  <si>
    <t>359.205</t>
  </si>
  <si>
    <t>342.1</t>
  </si>
  <si>
    <t>569-71-4390</t>
  </si>
  <si>
    <t>21.87</t>
  </si>
  <si>
    <t>2.187</t>
  </si>
  <si>
    <t>45.927</t>
  </si>
  <si>
    <t>43.74</t>
  </si>
  <si>
    <t>132-23-6451</t>
  </si>
  <si>
    <t>20.97</t>
  </si>
  <si>
    <t>5.2425</t>
  </si>
  <si>
    <t>110.0925</t>
  </si>
  <si>
    <t>104.85</t>
  </si>
  <si>
    <t>696-90-2548</t>
  </si>
  <si>
    <t>25.84</t>
  </si>
  <si>
    <t>3.876</t>
  </si>
  <si>
    <t>81.396</t>
  </si>
  <si>
    <t>6:55:00 PM</t>
  </si>
  <si>
    <t>77.52</t>
  </si>
  <si>
    <t>472-15-9636</t>
  </si>
  <si>
    <t>50.93</t>
  </si>
  <si>
    <t>20.372</t>
  </si>
  <si>
    <t>427.812</t>
  </si>
  <si>
    <t>7:36:00 PM</t>
  </si>
  <si>
    <t>407.44</t>
  </si>
  <si>
    <t>268-03-6164</t>
  </si>
  <si>
    <t>96.11</t>
  </si>
  <si>
    <t>4.8055</t>
  </si>
  <si>
    <t>100.9155</t>
  </si>
  <si>
    <t>750-57-9686</t>
  </si>
  <si>
    <t>45.38</t>
  </si>
  <si>
    <t>9.076</t>
  </si>
  <si>
    <t>190.596</t>
  </si>
  <si>
    <t>181.52</t>
  </si>
  <si>
    <t>186-09-3669</t>
  </si>
  <si>
    <t>81.51</t>
  </si>
  <si>
    <t>4.0755</t>
  </si>
  <si>
    <t>85.5855</t>
  </si>
  <si>
    <t>10:57:00 AM</t>
  </si>
  <si>
    <t>848-07-1692</t>
  </si>
  <si>
    <t>57.22</t>
  </si>
  <si>
    <t>5.722</t>
  </si>
  <si>
    <t>120.162</t>
  </si>
  <si>
    <t>5:13:00 PM</t>
  </si>
  <si>
    <t>114.44</t>
  </si>
  <si>
    <t>745-71-3520</t>
  </si>
  <si>
    <t>25.22</t>
  </si>
  <si>
    <t>8.827</t>
  </si>
  <si>
    <t>185.367</t>
  </si>
  <si>
    <t>176.54</t>
  </si>
  <si>
    <t>266-76-6436</t>
  </si>
  <si>
    <t>38.6</t>
  </si>
  <si>
    <t>5.79</t>
  </si>
  <si>
    <t>121.59</t>
  </si>
  <si>
    <t>1:57:00 PM</t>
  </si>
  <si>
    <t>115.8</t>
  </si>
  <si>
    <t>740-22-2500</t>
  </si>
  <si>
    <t>84.05</t>
  </si>
  <si>
    <t>12.6075</t>
  </si>
  <si>
    <t>264.7575</t>
  </si>
  <si>
    <t>252.15</t>
  </si>
  <si>
    <t>271-88-8734</t>
  </si>
  <si>
    <t>97.21</t>
  </si>
  <si>
    <t>48.605</t>
  </si>
  <si>
    <t>1020.705</t>
  </si>
  <si>
    <t>972.1</t>
  </si>
  <si>
    <t>301-81-8610</t>
  </si>
  <si>
    <t>25.42</t>
  </si>
  <si>
    <t>10.168</t>
  </si>
  <si>
    <t>213.528</t>
  </si>
  <si>
    <t>203.36</t>
  </si>
  <si>
    <t>489-64-4354</t>
  </si>
  <si>
    <t>16.28</t>
  </si>
  <si>
    <t>0.814</t>
  </si>
  <si>
    <t>17.094</t>
  </si>
  <si>
    <t>198-84-7132</t>
  </si>
  <si>
    <t>40.61</t>
  </si>
  <si>
    <t>18.2745</t>
  </si>
  <si>
    <t>383.7645</t>
  </si>
  <si>
    <t>365.49</t>
  </si>
  <si>
    <t>269-10-8440</t>
  </si>
  <si>
    <t>53.17</t>
  </si>
  <si>
    <t>18.6095</t>
  </si>
  <si>
    <t>390.7995</t>
  </si>
  <si>
    <t>372.19</t>
  </si>
  <si>
    <t>650-98-6268</t>
  </si>
  <si>
    <t>20.87</t>
  </si>
  <si>
    <t>3.1305</t>
  </si>
  <si>
    <t>65.7405</t>
  </si>
  <si>
    <t>1:53:00 PM</t>
  </si>
  <si>
    <t>62.61</t>
  </si>
  <si>
    <t>741-73-3559</t>
  </si>
  <si>
    <t>67.27</t>
  </si>
  <si>
    <t>16.8175</t>
  </si>
  <si>
    <t>353.1675</t>
  </si>
  <si>
    <t>336.35</t>
  </si>
  <si>
    <t>325-77-6186</t>
  </si>
  <si>
    <t>90.65</t>
  </si>
  <si>
    <t>45.325</t>
  </si>
  <si>
    <t>951.825</t>
  </si>
  <si>
    <t>906.5</t>
  </si>
  <si>
    <t>286-75-7818</t>
  </si>
  <si>
    <t>69.08</t>
  </si>
  <si>
    <t>6.908</t>
  </si>
  <si>
    <t>145.068</t>
  </si>
  <si>
    <t>138.16</t>
  </si>
  <si>
    <t>574-57-9721</t>
  </si>
  <si>
    <t>43.27</t>
  </si>
  <si>
    <t>4.327</t>
  </si>
  <si>
    <t>90.867</t>
  </si>
  <si>
    <t>4:53:00 PM</t>
  </si>
  <si>
    <t>86.54</t>
  </si>
  <si>
    <t>459-50-7686</t>
  </si>
  <si>
    <t>23.46</t>
  </si>
  <si>
    <t>7.038</t>
  </si>
  <si>
    <t>147.798</t>
  </si>
  <si>
    <t>140.76</t>
  </si>
  <si>
    <t>616-87-0016</t>
  </si>
  <si>
    <t>95.54</t>
  </si>
  <si>
    <t>33.439</t>
  </si>
  <si>
    <t>702.219</t>
  </si>
  <si>
    <t>668.78</t>
  </si>
  <si>
    <t>837-55-7229</t>
  </si>
  <si>
    <t>47.44</t>
  </si>
  <si>
    <t>2.372</t>
  </si>
  <si>
    <t>49.812</t>
  </si>
  <si>
    <t>751-69-0068</t>
  </si>
  <si>
    <t>99.24</t>
  </si>
  <si>
    <t>44.658</t>
  </si>
  <si>
    <t>937.818</t>
  </si>
  <si>
    <t>893.16</t>
  </si>
  <si>
    <t>257-73-1380</t>
  </si>
  <si>
    <t>82.93</t>
  </si>
  <si>
    <t>16.586</t>
  </si>
  <si>
    <t>348.306</t>
  </si>
  <si>
    <t>4:51:00 PM</t>
  </si>
  <si>
    <t>331.72</t>
  </si>
  <si>
    <t>345-08-4992</t>
  </si>
  <si>
    <t>33.99</t>
  </si>
  <si>
    <t>10.197</t>
  </si>
  <si>
    <t>214.137</t>
  </si>
  <si>
    <t>3:37:00 PM</t>
  </si>
  <si>
    <t>203.94</t>
  </si>
  <si>
    <t>549-96-4200</t>
  </si>
  <si>
    <t>17.04</t>
  </si>
  <si>
    <t>3.408</t>
  </si>
  <si>
    <t>71.568</t>
  </si>
  <si>
    <t>8:15:00 PM</t>
  </si>
  <si>
    <t>68.16</t>
  </si>
  <si>
    <t>810-60-6344</t>
  </si>
  <si>
    <t>40.86</t>
  </si>
  <si>
    <t>16.344</t>
  </si>
  <si>
    <t>343.224</t>
  </si>
  <si>
    <t>326.88</t>
  </si>
  <si>
    <t>450-28-2866</t>
  </si>
  <si>
    <t>17.44</t>
  </si>
  <si>
    <t>4.36</t>
  </si>
  <si>
    <t>87.2</t>
  </si>
  <si>
    <t>394-30-3170</t>
  </si>
  <si>
    <t>88.43</t>
  </si>
  <si>
    <t>35.372</t>
  </si>
  <si>
    <t>742.812</t>
  </si>
  <si>
    <t>7:35:00 PM</t>
  </si>
  <si>
    <t>707.44</t>
  </si>
  <si>
    <t>138-17-5109</t>
  </si>
  <si>
    <t>89.21</t>
  </si>
  <si>
    <t>40.1445</t>
  </si>
  <si>
    <t>843.0345</t>
  </si>
  <si>
    <t>3:42:00 PM</t>
  </si>
  <si>
    <t>802.89</t>
  </si>
  <si>
    <t>192-98-7397</t>
  </si>
  <si>
    <t>12.78</t>
  </si>
  <si>
    <t>0.639</t>
  </si>
  <si>
    <t>13.419</t>
  </si>
  <si>
    <t>2:11:00 PM</t>
  </si>
  <si>
    <t>301-11-9629</t>
  </si>
  <si>
    <t>19.1</t>
  </si>
  <si>
    <t>6.685</t>
  </si>
  <si>
    <t>140.385</t>
  </si>
  <si>
    <t>133.7</t>
  </si>
  <si>
    <t>390-80-5128</t>
  </si>
  <si>
    <t>0.9575</t>
  </si>
  <si>
    <t>20.1075</t>
  </si>
  <si>
    <t>5:58:00 PM</t>
  </si>
  <si>
    <t>235-46-8343</t>
  </si>
  <si>
    <t>27.66</t>
  </si>
  <si>
    <t>13.83</t>
  </si>
  <si>
    <t>290.43</t>
  </si>
  <si>
    <t>276.6</t>
  </si>
  <si>
    <t>453-12-7053</t>
  </si>
  <si>
    <t>45.74</t>
  </si>
  <si>
    <t>6.861</t>
  </si>
  <si>
    <t>144.081</t>
  </si>
  <si>
    <t>137.22</t>
  </si>
  <si>
    <t>296-11-7041</t>
  </si>
  <si>
    <t>27.07</t>
  </si>
  <si>
    <t>1.3535</t>
  </si>
  <si>
    <t>28.4235</t>
  </si>
  <si>
    <t>449-27-2918</t>
  </si>
  <si>
    <t>39.12</t>
  </si>
  <si>
    <t>1.956</t>
  </si>
  <si>
    <t>41.076</t>
  </si>
  <si>
    <t>11:02:00 AM</t>
  </si>
  <si>
    <t>891-01-7034</t>
  </si>
  <si>
    <t>74.71</t>
  </si>
  <si>
    <t>22.413</t>
  </si>
  <si>
    <t>470.673</t>
  </si>
  <si>
    <t>448.26</t>
  </si>
  <si>
    <t>744-09-5786</t>
  </si>
  <si>
    <t>6.603</t>
  </si>
  <si>
    <t>138.663</t>
  </si>
  <si>
    <t>132.06</t>
  </si>
  <si>
    <t>727-17-0390</t>
  </si>
  <si>
    <t>63.61</t>
  </si>
  <si>
    <t>15.9025</t>
  </si>
  <si>
    <t>333.9525</t>
  </si>
  <si>
    <t>318.05</t>
  </si>
  <si>
    <t>568-88-3448</t>
  </si>
  <si>
    <t>25</t>
  </si>
  <si>
    <t>1.25</t>
  </si>
  <si>
    <t>26.25</t>
  </si>
  <si>
    <t>3:09:00 PM</t>
  </si>
  <si>
    <t>187-83-5490</t>
  </si>
  <si>
    <t>20.77</t>
  </si>
  <si>
    <t>4.154</t>
  </si>
  <si>
    <t>87.234</t>
  </si>
  <si>
    <t>1:47:00 PM</t>
  </si>
  <si>
    <t>83.08</t>
  </si>
  <si>
    <t>767-54-1907</t>
  </si>
  <si>
    <t>29.56</t>
  </si>
  <si>
    <t>7.39</t>
  </si>
  <si>
    <t>155.19</t>
  </si>
  <si>
    <t>4:59:00 PM</t>
  </si>
  <si>
    <t>147.8</t>
  </si>
  <si>
    <t>710-46-4433</t>
  </si>
  <si>
    <t>77.4</t>
  </si>
  <si>
    <t>34.83</t>
  </si>
  <si>
    <t>731.43</t>
  </si>
  <si>
    <t>2:15:00 PM</t>
  </si>
  <si>
    <t>696.6</t>
  </si>
  <si>
    <t>533-33-5337</t>
  </si>
  <si>
    <t>79.39</t>
  </si>
  <si>
    <t>39.695</t>
  </si>
  <si>
    <t>833.595</t>
  </si>
  <si>
    <t>793.9</t>
  </si>
  <si>
    <t>325-90-8763</t>
  </si>
  <si>
    <t>46.57</t>
  </si>
  <si>
    <t>23.285</t>
  </si>
  <si>
    <t>488.985</t>
  </si>
  <si>
    <t>465.7</t>
  </si>
  <si>
    <t>729-46-7422</t>
  </si>
  <si>
    <t>35.89</t>
  </si>
  <si>
    <t>1.7945</t>
  </si>
  <si>
    <t>37.6845</t>
  </si>
  <si>
    <t>639-76-1242</t>
  </si>
  <si>
    <t>40.52</t>
  </si>
  <si>
    <t>10.13</t>
  </si>
  <si>
    <t>212.73</t>
  </si>
  <si>
    <t>3:19:00 PM</t>
  </si>
  <si>
    <t>202.6</t>
  </si>
  <si>
    <t>234-03-4040</t>
  </si>
  <si>
    <t>73.05</t>
  </si>
  <si>
    <t>36.525</t>
  </si>
  <si>
    <t>767.025</t>
  </si>
  <si>
    <t>730.5</t>
  </si>
  <si>
    <t>326-71-2155</t>
  </si>
  <si>
    <t>73.95</t>
  </si>
  <si>
    <t>14.79</t>
  </si>
  <si>
    <t>310.59</t>
  </si>
  <si>
    <t>295.8</t>
  </si>
  <si>
    <t>320-32-8842</t>
  </si>
  <si>
    <t>22.62</t>
  </si>
  <si>
    <t>1.131</t>
  </si>
  <si>
    <t>23.751</t>
  </si>
  <si>
    <t>470-32-9057</t>
  </si>
  <si>
    <t>51.34</t>
  </si>
  <si>
    <t>12.835</t>
  </si>
  <si>
    <t>269.535</t>
  </si>
  <si>
    <t>256.7</t>
  </si>
  <si>
    <t>878-30-2331</t>
  </si>
  <si>
    <t>54.55</t>
  </si>
  <si>
    <t>27.275</t>
  </si>
  <si>
    <t>572.775</t>
  </si>
  <si>
    <t>545.5</t>
  </si>
  <si>
    <t>440-59-5691</t>
  </si>
  <si>
    <t>37.15</t>
  </si>
  <si>
    <t>13.0025</t>
  </si>
  <si>
    <t>273.0525</t>
  </si>
  <si>
    <t>260.05</t>
  </si>
  <si>
    <t>554-53-3790</t>
  </si>
  <si>
    <t>37.02</t>
  </si>
  <si>
    <t>11.106</t>
  </si>
  <si>
    <t>233.226</t>
  </si>
  <si>
    <t>6:33:00 PM</t>
  </si>
  <si>
    <t>222.12</t>
  </si>
  <si>
    <t>746-19-0921</t>
  </si>
  <si>
    <t>21.58</t>
  </si>
  <si>
    <t>1.079</t>
  </si>
  <si>
    <t>22.659</t>
  </si>
  <si>
    <t>233-34-0817</t>
  </si>
  <si>
    <t>98.84</t>
  </si>
  <si>
    <t>4.942</t>
  </si>
  <si>
    <t>103.782</t>
  </si>
  <si>
    <t>767-05-1286</t>
  </si>
  <si>
    <t>83.77</t>
  </si>
  <si>
    <t>25.131</t>
  </si>
  <si>
    <t>527.751</t>
  </si>
  <si>
    <t>12:10:00 PM</t>
  </si>
  <si>
    <t>502.62</t>
  </si>
  <si>
    <t>340-21-9136</t>
  </si>
  <si>
    <t>40.05</t>
  </si>
  <si>
    <t>8.01</t>
  </si>
  <si>
    <t>168.21</t>
  </si>
  <si>
    <t>11:40:00 AM</t>
  </si>
  <si>
    <t>160.2</t>
  </si>
  <si>
    <t>405-31-3305</t>
  </si>
  <si>
    <t>43.13</t>
  </si>
  <si>
    <t>21.565</t>
  </si>
  <si>
    <t>452.865</t>
  </si>
  <si>
    <t>431.3</t>
  </si>
  <si>
    <t>731-59-7531</t>
  </si>
  <si>
    <t>72.57</t>
  </si>
  <si>
    <t>29.028</t>
  </si>
  <si>
    <t>609.588</t>
  </si>
  <si>
    <t>580.56</t>
  </si>
  <si>
    <t>676-39-6028</t>
  </si>
  <si>
    <t>64.44</t>
  </si>
  <si>
    <t>16.11</t>
  </si>
  <si>
    <t>338.31</t>
  </si>
  <si>
    <t>322.2</t>
  </si>
  <si>
    <t>502-05-1910</t>
  </si>
  <si>
    <t>65.18</t>
  </si>
  <si>
    <t>9.777</t>
  </si>
  <si>
    <t>205.317</t>
  </si>
  <si>
    <t>195.54</t>
  </si>
  <si>
    <t>485-30-8700</t>
  </si>
  <si>
    <t>33.26</t>
  </si>
  <si>
    <t>8.315</t>
  </si>
  <si>
    <t>174.615</t>
  </si>
  <si>
    <t>166.3</t>
  </si>
  <si>
    <t>598-47-9715</t>
  </si>
  <si>
    <t>84.07</t>
  </si>
  <si>
    <t>16.814</t>
  </si>
  <si>
    <t>353.094</t>
  </si>
  <si>
    <t>4:54:00 PM</t>
  </si>
  <si>
    <t>336.28</t>
  </si>
  <si>
    <t>701-69-8742</t>
  </si>
  <si>
    <t>34.37</t>
  </si>
  <si>
    <t>17.185</t>
  </si>
  <si>
    <t>360.885</t>
  </si>
  <si>
    <t>343.7</t>
  </si>
  <si>
    <t>575-67-1508</t>
  </si>
  <si>
    <t>1.93</t>
  </si>
  <si>
    <t>40.53</t>
  </si>
  <si>
    <t>541-08-3113</t>
  </si>
  <si>
    <t>65.97</t>
  </si>
  <si>
    <t>26.388</t>
  </si>
  <si>
    <t>554.148</t>
  </si>
  <si>
    <t>527.76</t>
  </si>
  <si>
    <t>246-11-3901</t>
  </si>
  <si>
    <t>32.8</t>
  </si>
  <si>
    <t>16.4</t>
  </si>
  <si>
    <t>344.4</t>
  </si>
  <si>
    <t>328</t>
  </si>
  <si>
    <t>674-15-9296</t>
  </si>
  <si>
    <t>37.14</t>
  </si>
  <si>
    <t>9.285</t>
  </si>
  <si>
    <t>194.985</t>
  </si>
  <si>
    <t>185.7</t>
  </si>
  <si>
    <t>305-18-3552</t>
  </si>
  <si>
    <t>60.38</t>
  </si>
  <si>
    <t>30.19</t>
  </si>
  <si>
    <t>633.99</t>
  </si>
  <si>
    <t>603.8</t>
  </si>
  <si>
    <t>493-65-6248</t>
  </si>
  <si>
    <t>36.98</t>
  </si>
  <si>
    <t>18.49</t>
  </si>
  <si>
    <t>388.29</t>
  </si>
  <si>
    <t>369.8</t>
  </si>
  <si>
    <t>438-01-4015</t>
  </si>
  <si>
    <t>9.898</t>
  </si>
  <si>
    <t>207.858</t>
  </si>
  <si>
    <t>3:25:00 PM</t>
  </si>
  <si>
    <t>197.96</t>
  </si>
  <si>
    <t>709-58-4068</t>
  </si>
  <si>
    <t>41.09</t>
  </si>
  <si>
    <t>20.545</t>
  </si>
  <si>
    <t>431.445</t>
  </si>
  <si>
    <t>410.9</t>
  </si>
  <si>
    <t>795-49-7276</t>
  </si>
  <si>
    <t>7.43</t>
  </si>
  <si>
    <t>156.03</t>
  </si>
  <si>
    <t>148.6</t>
  </si>
  <si>
    <t>556-72-8512</t>
  </si>
  <si>
    <t>22.96</t>
  </si>
  <si>
    <t>1.148</t>
  </si>
  <si>
    <t>24.108</t>
  </si>
  <si>
    <t>8:47:00 PM</t>
  </si>
  <si>
    <t>627-95-3243</t>
  </si>
  <si>
    <t>77.68</t>
  </si>
  <si>
    <t>34.956</t>
  </si>
  <si>
    <t>734.076</t>
  </si>
  <si>
    <t>699.12</t>
  </si>
  <si>
    <t>686-41-0932</t>
  </si>
  <si>
    <t>34.7</t>
  </si>
  <si>
    <t>3.47</t>
  </si>
  <si>
    <t>72.87</t>
  </si>
  <si>
    <t>69.4</t>
  </si>
  <si>
    <t>510-09-5628</t>
  </si>
  <si>
    <t>19.66</t>
  </si>
  <si>
    <t>9.83</t>
  </si>
  <si>
    <t>206.43</t>
  </si>
  <si>
    <t>6:20:00 PM</t>
  </si>
  <si>
    <t>196.6</t>
  </si>
  <si>
    <t>608-04-3797</t>
  </si>
  <si>
    <t>25.32</t>
  </si>
  <si>
    <t>10.128</t>
  </si>
  <si>
    <t>212.688</t>
  </si>
  <si>
    <t>202.56</t>
  </si>
  <si>
    <t>148-82-2527</t>
  </si>
  <si>
    <t>12.12</t>
  </si>
  <si>
    <t>6.06</t>
  </si>
  <si>
    <t>127.26</t>
  </si>
  <si>
    <t>121.2</t>
  </si>
  <si>
    <t>437-53-3084</t>
  </si>
  <si>
    <t>99.89</t>
  </si>
  <si>
    <t>9.989</t>
  </si>
  <si>
    <t>209.769</t>
  </si>
  <si>
    <t>11:48:00 AM</t>
  </si>
  <si>
    <t>199.78</t>
  </si>
  <si>
    <t>632-32-4574</t>
  </si>
  <si>
    <t>75.92</t>
  </si>
  <si>
    <t>30.368</t>
  </si>
  <si>
    <t>637.728</t>
  </si>
  <si>
    <t>2:14:00 PM</t>
  </si>
  <si>
    <t>607.36</t>
  </si>
  <si>
    <t>556-97-7101</t>
  </si>
  <si>
    <t>63.22</t>
  </si>
  <si>
    <t>6.322</t>
  </si>
  <si>
    <t>132.762</t>
  </si>
  <si>
    <t>126.44</t>
  </si>
  <si>
    <t>862-59-8517</t>
  </si>
  <si>
    <t>90.24</t>
  </si>
  <si>
    <t>27.072</t>
  </si>
  <si>
    <t>568.512</t>
  </si>
  <si>
    <t>11:17:00 AM</t>
  </si>
  <si>
    <t>541.44</t>
  </si>
  <si>
    <t>401-18-8016</t>
  </si>
  <si>
    <t>98.13</t>
  </si>
  <si>
    <t>4.9065</t>
  </si>
  <si>
    <t>103.0365</t>
  </si>
  <si>
    <t>420-18-8989</t>
  </si>
  <si>
    <t>51.52</t>
  </si>
  <si>
    <t>20.608</t>
  </si>
  <si>
    <t>432.768</t>
  </si>
  <si>
    <t>412.16</t>
  </si>
  <si>
    <t>277-63-2961</t>
  </si>
  <si>
    <t>73.97</t>
  </si>
  <si>
    <t>3.6985</t>
  </si>
  <si>
    <t>77.6685</t>
  </si>
  <si>
    <t>573-98-8548</t>
  </si>
  <si>
    <t>31.9</t>
  </si>
  <si>
    <t>1.595</t>
  </si>
  <si>
    <t>33.495</t>
  </si>
  <si>
    <t>12:40:00 PM</t>
  </si>
  <si>
    <t>620-02-2046</t>
  </si>
  <si>
    <t>6.94</t>
  </si>
  <si>
    <t>145.74</t>
  </si>
  <si>
    <t>138.8</t>
  </si>
  <si>
    <t>282-35-2475</t>
  </si>
  <si>
    <t>93.31</t>
  </si>
  <si>
    <t>9.331</t>
  </si>
  <si>
    <t>195.951</t>
  </si>
  <si>
    <t>5:53:00 PM</t>
  </si>
  <si>
    <t>186.62</t>
  </si>
  <si>
    <t>511-54-3087</t>
  </si>
  <si>
    <t>88.45</t>
  </si>
  <si>
    <t>4.4225</t>
  </si>
  <si>
    <t>92.8725</t>
  </si>
  <si>
    <t>4:36:00 PM</t>
  </si>
  <si>
    <t>726-29-6793</t>
  </si>
  <si>
    <t>24.18</t>
  </si>
  <si>
    <t>9.672</t>
  </si>
  <si>
    <t>203.112</t>
  </si>
  <si>
    <t>193.44</t>
  </si>
  <si>
    <t>387-49-4215</t>
  </si>
  <si>
    <t>48.5</t>
  </si>
  <si>
    <t>7.275</t>
  </si>
  <si>
    <t>152.775</t>
  </si>
  <si>
    <t>145.5</t>
  </si>
  <si>
    <t>862-17-9201</t>
  </si>
  <si>
    <t>25.215</t>
  </si>
  <si>
    <t>529.515</t>
  </si>
  <si>
    <t>10:48:00 AM</t>
  </si>
  <si>
    <t>504.3</t>
  </si>
  <si>
    <t>291-21-5991</t>
  </si>
  <si>
    <t>61.29</t>
  </si>
  <si>
    <t>15.3225</t>
  </si>
  <si>
    <t>321.7725</t>
  </si>
  <si>
    <t>306.45</t>
  </si>
  <si>
    <t>602-80-9671</t>
  </si>
  <si>
    <t>15.95</t>
  </si>
  <si>
    <t>4.785</t>
  </si>
  <si>
    <t>100.485</t>
  </si>
  <si>
    <t>95.7</t>
  </si>
  <si>
    <t>347-72-6115</t>
  </si>
  <si>
    <t>90.74</t>
  </si>
  <si>
    <t>31.759</t>
  </si>
  <si>
    <t>666.939</t>
  </si>
  <si>
    <t>635.18</t>
  </si>
  <si>
    <t>209-61-0206</t>
  </si>
  <si>
    <t>42.91</t>
  </si>
  <si>
    <t>10.7275</t>
  </si>
  <si>
    <t>225.2775</t>
  </si>
  <si>
    <t>214.55</t>
  </si>
  <si>
    <t>595-27-4851</t>
  </si>
  <si>
    <t>54.28</t>
  </si>
  <si>
    <t>18.998</t>
  </si>
  <si>
    <t>398.958</t>
  </si>
  <si>
    <t>6:05:00 PM</t>
  </si>
  <si>
    <t>379.96</t>
  </si>
  <si>
    <t>189-52-0236</t>
  </si>
  <si>
    <t>99.55</t>
  </si>
  <si>
    <t>34.8425</t>
  </si>
  <si>
    <t>731.6925</t>
  </si>
  <si>
    <t>12:07:00 PM</t>
  </si>
  <si>
    <t>696.85</t>
  </si>
  <si>
    <t>503-07-0930</t>
  </si>
  <si>
    <t>58.39</t>
  </si>
  <si>
    <t>20.4365</t>
  </si>
  <si>
    <t>429.1665</t>
  </si>
  <si>
    <t>7:49:00 PM</t>
  </si>
  <si>
    <t>408.73</t>
  </si>
  <si>
    <t>413-20-6708</t>
  </si>
  <si>
    <t>51.47</t>
  </si>
  <si>
    <t>2.5735</t>
  </si>
  <si>
    <t>54.0435</t>
  </si>
  <si>
    <t>3:52:00 PM</t>
  </si>
  <si>
    <t>425-85-2085</t>
  </si>
  <si>
    <t>54.86</t>
  </si>
  <si>
    <t>13.715</t>
  </si>
  <si>
    <t>288.015</t>
  </si>
  <si>
    <t>274.3</t>
  </si>
  <si>
    <t>521-18-7827</t>
  </si>
  <si>
    <t>39.39</t>
  </si>
  <si>
    <t>9.8475</t>
  </si>
  <si>
    <t>206.7975</t>
  </si>
  <si>
    <t>8:46:00 PM</t>
  </si>
  <si>
    <t>196.95</t>
  </si>
  <si>
    <t>220-28-1851</t>
  </si>
  <si>
    <t>34.73</t>
  </si>
  <si>
    <t>3.473</t>
  </si>
  <si>
    <t>72.933</t>
  </si>
  <si>
    <t>69.46</t>
  </si>
  <si>
    <t>600-38-9738</t>
  </si>
  <si>
    <t>71.92</t>
  </si>
  <si>
    <t>17.98</t>
  </si>
  <si>
    <t>377.58</t>
  </si>
  <si>
    <t>359.6</t>
  </si>
  <si>
    <t>734-91-1155</t>
  </si>
  <si>
    <t>45.71</t>
  </si>
  <si>
    <t>6.8565</t>
  </si>
  <si>
    <t>143.9865</t>
  </si>
  <si>
    <t>10:34:00 AM</t>
  </si>
  <si>
    <t>137.13</t>
  </si>
  <si>
    <t>451-28-5717</t>
  </si>
  <si>
    <t>83.17</t>
  </si>
  <si>
    <t>24.951</t>
  </si>
  <si>
    <t>523.971</t>
  </si>
  <si>
    <t>499.02</t>
  </si>
  <si>
    <t>609-81-8548</t>
  </si>
  <si>
    <t>37.44</t>
  </si>
  <si>
    <t>11.232</t>
  </si>
  <si>
    <t>235.872</t>
  </si>
  <si>
    <t>1:55:00 PM</t>
  </si>
  <si>
    <t>224.64</t>
  </si>
  <si>
    <t>133-14-7229</t>
  </si>
  <si>
    <t>62.87</t>
  </si>
  <si>
    <t>6.287</t>
  </si>
  <si>
    <t>132.027</t>
  </si>
  <si>
    <t>11:43:00 AM</t>
  </si>
  <si>
    <t>125.74</t>
  </si>
  <si>
    <t>534-01-4457</t>
  </si>
  <si>
    <t>81.71</t>
  </si>
  <si>
    <t>24.513</t>
  </si>
  <si>
    <t>514.773</t>
  </si>
  <si>
    <t>490.26</t>
  </si>
  <si>
    <t>719-89-8991</t>
  </si>
  <si>
    <t>91.41</t>
  </si>
  <si>
    <t>22.8525</t>
  </si>
  <si>
    <t>479.9025</t>
  </si>
  <si>
    <t>4:03:00 PM</t>
  </si>
  <si>
    <t>457.05</t>
  </si>
  <si>
    <t>286-62-6248</t>
  </si>
  <si>
    <t>39.21</t>
  </si>
  <si>
    <t>7.842</t>
  </si>
  <si>
    <t>164.682</t>
  </si>
  <si>
    <t>8:03:00 PM</t>
  </si>
  <si>
    <t>156.84</t>
  </si>
  <si>
    <t>339-38-9982</t>
  </si>
  <si>
    <t>59.86</t>
  </si>
  <si>
    <t>5.986</t>
  </si>
  <si>
    <t>125.706</t>
  </si>
  <si>
    <t>119.72</t>
  </si>
  <si>
    <t>827-44-5872</t>
  </si>
  <si>
    <t>54.36</t>
  </si>
  <si>
    <t>27.18</t>
  </si>
  <si>
    <t>570.78</t>
  </si>
  <si>
    <t>543.6</t>
  </si>
  <si>
    <t>827-77-7633</t>
  </si>
  <si>
    <t>98.09</t>
  </si>
  <si>
    <t>44.1405</t>
  </si>
  <si>
    <t>926.9505</t>
  </si>
  <si>
    <t>7:41:00 PM</t>
  </si>
  <si>
    <t>882.81</t>
  </si>
  <si>
    <t>287-83-1405</t>
  </si>
  <si>
    <t>25.43</t>
  </si>
  <si>
    <t>7.629</t>
  </si>
  <si>
    <t>160.209</t>
  </si>
  <si>
    <t>152.58</t>
  </si>
  <si>
    <t>435-13-4908</t>
  </si>
  <si>
    <t>86.68</t>
  </si>
  <si>
    <t>34.672</t>
  </si>
  <si>
    <t>728.112</t>
  </si>
  <si>
    <t>6:04:00 PM</t>
  </si>
  <si>
    <t>693.44</t>
  </si>
  <si>
    <t>857-67-9057</t>
  </si>
  <si>
    <t>22.95</t>
  </si>
  <si>
    <t>11.475</t>
  </si>
  <si>
    <t>240.975</t>
  </si>
  <si>
    <t>229.5</t>
  </si>
  <si>
    <t>236-27-1144</t>
  </si>
  <si>
    <t>16.31</t>
  </si>
  <si>
    <t>7.3395</t>
  </si>
  <si>
    <t>154.1295</t>
  </si>
  <si>
    <t>10:31:00 AM</t>
  </si>
  <si>
    <t>146.79</t>
  </si>
  <si>
    <t>892-05-6689</t>
  </si>
  <si>
    <t>28.32</t>
  </si>
  <si>
    <t>7.08</t>
  </si>
  <si>
    <t>148.68</t>
  </si>
  <si>
    <t>1:28:00 PM</t>
  </si>
  <si>
    <t>141.6</t>
  </si>
  <si>
    <t>583-41-4548</t>
  </si>
  <si>
    <t>5.8345</t>
  </si>
  <si>
    <t>122.5245</t>
  </si>
  <si>
    <t>116.69</t>
  </si>
  <si>
    <t>339-12-4827</t>
  </si>
  <si>
    <t>73.96</t>
  </si>
  <si>
    <t>3.698</t>
  </si>
  <si>
    <t>77.658</t>
  </si>
  <si>
    <t>643-38-7867</t>
  </si>
  <si>
    <t>97.94</t>
  </si>
  <si>
    <t>4.897</t>
  </si>
  <si>
    <t>102.837</t>
  </si>
  <si>
    <t>308-81-0538</t>
  </si>
  <si>
    <t>14.61</t>
  </si>
  <si>
    <t>306.81</t>
  </si>
  <si>
    <t>5:16:00 PM</t>
  </si>
  <si>
    <t>292.2</t>
  </si>
  <si>
    <t>358-88-9262</t>
  </si>
  <si>
    <t>87.48</t>
  </si>
  <si>
    <t>26.244</t>
  </si>
  <si>
    <t>551.124</t>
  </si>
  <si>
    <t>6:43:00 PM</t>
  </si>
  <si>
    <t>524.88</t>
  </si>
  <si>
    <t>460-35-4390</t>
  </si>
  <si>
    <t>30.68</t>
  </si>
  <si>
    <t>4.602</t>
  </si>
  <si>
    <t>96.642</t>
  </si>
  <si>
    <t>92.04</t>
  </si>
  <si>
    <t>343-87-0864</t>
  </si>
  <si>
    <t>75.88</t>
  </si>
  <si>
    <t>3.794</t>
  </si>
  <si>
    <t>79.674</t>
  </si>
  <si>
    <t>10:30:00 AM</t>
  </si>
  <si>
    <t>173-50-1108</t>
  </si>
  <si>
    <t>20.18</t>
  </si>
  <si>
    <t>4.036</t>
  </si>
  <si>
    <t>84.756</t>
  </si>
  <si>
    <t>80.72</t>
  </si>
  <si>
    <t>243-47-2663</t>
  </si>
  <si>
    <t>18.77</t>
  </si>
  <si>
    <t>5.631</t>
  </si>
  <si>
    <t>118.251</t>
  </si>
  <si>
    <t>112.62</t>
  </si>
  <si>
    <t>841-18-8232</t>
  </si>
  <si>
    <t>71.2</t>
  </si>
  <si>
    <t>3.56</t>
  </si>
  <si>
    <t>74.76</t>
  </si>
  <si>
    <t>8:40:00 PM</t>
  </si>
  <si>
    <t>701-23-5550</t>
  </si>
  <si>
    <t>38.81</t>
  </si>
  <si>
    <t>7.762</t>
  </si>
  <si>
    <t>163.002</t>
  </si>
  <si>
    <t>155.24</t>
  </si>
  <si>
    <t>647-50-1224</t>
  </si>
  <si>
    <t>29.42</t>
  </si>
  <si>
    <t>14.71</t>
  </si>
  <si>
    <t>308.91</t>
  </si>
  <si>
    <t>294.2</t>
  </si>
  <si>
    <t>541-48-8554</t>
  </si>
  <si>
    <t>60.95</t>
  </si>
  <si>
    <t>27.4275</t>
  </si>
  <si>
    <t>575.9775</t>
  </si>
  <si>
    <t>12:08:00 PM</t>
  </si>
  <si>
    <t>548.55</t>
  </si>
  <si>
    <t>539-21-7227</t>
  </si>
  <si>
    <t>51.54</t>
  </si>
  <si>
    <t>12.885</t>
  </si>
  <si>
    <t>270.585</t>
  </si>
  <si>
    <t>5:45:00 PM</t>
  </si>
  <si>
    <t>257.7</t>
  </si>
  <si>
    <t>213-32-1216</t>
  </si>
  <si>
    <t>66.06</t>
  </si>
  <si>
    <t>19.818</t>
  </si>
  <si>
    <t>416.178</t>
  </si>
  <si>
    <t>10:28:00 AM</t>
  </si>
  <si>
    <t>396.36</t>
  </si>
  <si>
    <t>747-58-7183</t>
  </si>
  <si>
    <t>57.27</t>
  </si>
  <si>
    <t>8.5905</t>
  </si>
  <si>
    <t>180.4005</t>
  </si>
  <si>
    <t>171.81</t>
  </si>
  <si>
    <t>582-52-8065</t>
  </si>
  <si>
    <t>54.31</t>
  </si>
  <si>
    <t>24.4395</t>
  </si>
  <si>
    <t>513.2295</t>
  </si>
  <si>
    <t>10:49:00 AM</t>
  </si>
  <si>
    <t>488.79</t>
  </si>
  <si>
    <t>210-57-1719</t>
  </si>
  <si>
    <t>58.24</t>
  </si>
  <si>
    <t>26.208</t>
  </si>
  <si>
    <t>550.368</t>
  </si>
  <si>
    <t>12:34:00 PM</t>
  </si>
  <si>
    <t>524.16</t>
  </si>
  <si>
    <t>399-69-4630</t>
  </si>
  <si>
    <t>22.21</t>
  </si>
  <si>
    <t>6.663</t>
  </si>
  <si>
    <t>139.923</t>
  </si>
  <si>
    <t>133.26</t>
  </si>
  <si>
    <t>134-75-2619</t>
  </si>
  <si>
    <t>19.32</t>
  </si>
  <si>
    <t>6.762</t>
  </si>
  <si>
    <t>142.002</t>
  </si>
  <si>
    <t>6:51:00 PM</t>
  </si>
  <si>
    <t>135.24</t>
  </si>
  <si>
    <t>356-44-8813</t>
  </si>
  <si>
    <t>37.48</t>
  </si>
  <si>
    <t>5.622</t>
  </si>
  <si>
    <t>118.062</t>
  </si>
  <si>
    <t>112.44</t>
  </si>
  <si>
    <t>198-66-9832</t>
  </si>
  <si>
    <t>72.04</t>
  </si>
  <si>
    <t>7.204</t>
  </si>
  <si>
    <t>151.284</t>
  </si>
  <si>
    <t>7:38:00 PM</t>
  </si>
  <si>
    <t>144.08</t>
  </si>
  <si>
    <t>283-26-5248</t>
  </si>
  <si>
    <t>98.52</t>
  </si>
  <si>
    <t>49.26</t>
  </si>
  <si>
    <t>1034.46</t>
  </si>
  <si>
    <t>985.2</t>
  </si>
  <si>
    <t>712-39-0363</t>
  </si>
  <si>
    <t>41.66</t>
  </si>
  <si>
    <t>12.498</t>
  </si>
  <si>
    <t>262.458</t>
  </si>
  <si>
    <t>249.96</t>
  </si>
  <si>
    <t>218-59-9410</t>
  </si>
  <si>
    <t>72.42</t>
  </si>
  <si>
    <t>10.863</t>
  </si>
  <si>
    <t>228.123</t>
  </si>
  <si>
    <t>217.26</t>
  </si>
  <si>
    <t>174-75-0888</t>
  </si>
  <si>
    <t>9.711</t>
  </si>
  <si>
    <t>203.931</t>
  </si>
  <si>
    <t>12:32:00 PM</t>
  </si>
  <si>
    <t>194.22</t>
  </si>
  <si>
    <t>866-99-7614</t>
  </si>
  <si>
    <t>89.2</t>
  </si>
  <si>
    <t>44.6</t>
  </si>
  <si>
    <t>936.6</t>
  </si>
  <si>
    <t>892</t>
  </si>
  <si>
    <t>134-54-4720</t>
  </si>
  <si>
    <t>42.42</t>
  </si>
  <si>
    <t>16.968</t>
  </si>
  <si>
    <t>356.328</t>
  </si>
  <si>
    <t>760-90-2357</t>
  </si>
  <si>
    <t>74.51</t>
  </si>
  <si>
    <t>22.353</t>
  </si>
  <si>
    <t>469.413</t>
  </si>
  <si>
    <t>447.06</t>
  </si>
  <si>
    <t>514-37-2845</t>
  </si>
  <si>
    <t>99.25</t>
  </si>
  <si>
    <t>9.925</t>
  </si>
  <si>
    <t>208.425</t>
  </si>
  <si>
    <t>198.5</t>
  </si>
  <si>
    <t>698-98-5964</t>
  </si>
  <si>
    <t>81.21</t>
  </si>
  <si>
    <t>40.605</t>
  </si>
  <si>
    <t>852.705</t>
  </si>
  <si>
    <t>812.1</t>
  </si>
  <si>
    <t>718-57-9773</t>
  </si>
  <si>
    <t>49.33</t>
  </si>
  <si>
    <t>24.665</t>
  </si>
  <si>
    <t>517.965</t>
  </si>
  <si>
    <t>493.3</t>
  </si>
  <si>
    <t>651-88-7328</t>
  </si>
  <si>
    <t>65.74</t>
  </si>
  <si>
    <t>29.583</t>
  </si>
  <si>
    <t>621.243</t>
  </si>
  <si>
    <t>591.66</t>
  </si>
  <si>
    <t>241-11-2261</t>
  </si>
  <si>
    <t>79.86</t>
  </si>
  <si>
    <t>27.951</t>
  </si>
  <si>
    <t>586.971</t>
  </si>
  <si>
    <t>10:33:00 AM</t>
  </si>
  <si>
    <t>559.02</t>
  </si>
  <si>
    <t>408-26-9866</t>
  </si>
  <si>
    <t>73.98</t>
  </si>
  <si>
    <t>25.893</t>
  </si>
  <si>
    <t>543.753</t>
  </si>
  <si>
    <t>517.86</t>
  </si>
  <si>
    <t>834-83-1826</t>
  </si>
  <si>
    <t>82.04</t>
  </si>
  <si>
    <t>20.51</t>
  </si>
  <si>
    <t>430.71</t>
  </si>
  <si>
    <t>410.2</t>
  </si>
  <si>
    <t>343-61-3544</t>
  </si>
  <si>
    <t>26.67</t>
  </si>
  <si>
    <t>13.335</t>
  </si>
  <si>
    <t>280.035</t>
  </si>
  <si>
    <t>266.7</t>
  </si>
  <si>
    <t>239-48-4278</t>
  </si>
  <si>
    <t>3.5455</t>
  </si>
  <si>
    <t>74.4555</t>
  </si>
  <si>
    <t>70.91</t>
  </si>
  <si>
    <t>355-34-6244</t>
  </si>
  <si>
    <t>72.39</t>
  </si>
  <si>
    <t>7.239</t>
  </si>
  <si>
    <t>152.019</t>
  </si>
  <si>
    <t>7:55:00 PM</t>
  </si>
  <si>
    <t>144.78</t>
  </si>
  <si>
    <t>550-84-8664</t>
  </si>
  <si>
    <t>85.91</t>
  </si>
  <si>
    <t>21.4775</t>
  </si>
  <si>
    <t>451.0275</t>
  </si>
  <si>
    <t>2:33:00 PM</t>
  </si>
  <si>
    <t>429.55</t>
  </si>
  <si>
    <t>339-96-8318</t>
  </si>
  <si>
    <t>81.31</t>
  </si>
  <si>
    <t>28.4585</t>
  </si>
  <si>
    <t>597.6285</t>
  </si>
  <si>
    <t>569.17</t>
  </si>
  <si>
    <t>458-61-0011</t>
  </si>
  <si>
    <t>60.3</t>
  </si>
  <si>
    <t>12.06</t>
  </si>
  <si>
    <t>253.26</t>
  </si>
  <si>
    <t>241.2</t>
  </si>
  <si>
    <t>592-34-6155</t>
  </si>
  <si>
    <t>6.354</t>
  </si>
  <si>
    <t>133.434</t>
  </si>
  <si>
    <t>127.08</t>
  </si>
  <si>
    <t>797-88-0493</t>
  </si>
  <si>
    <t>64.27</t>
  </si>
  <si>
    <t>12.854</t>
  </si>
  <si>
    <t>269.934</t>
  </si>
  <si>
    <t>1:54:00 PM</t>
  </si>
  <si>
    <t>257.08</t>
  </si>
  <si>
    <t>207-73-1363</t>
  </si>
  <si>
    <t>69.51</t>
  </si>
  <si>
    <t>6.951</t>
  </si>
  <si>
    <t>145.971</t>
  </si>
  <si>
    <t>12:15:00 PM</t>
  </si>
  <si>
    <t>139.02</t>
  </si>
  <si>
    <t>390-31-6381</t>
  </si>
  <si>
    <t>27.22</t>
  </si>
  <si>
    <t>4.083</t>
  </si>
  <si>
    <t>85.743</t>
  </si>
  <si>
    <t>12:37:00 PM</t>
  </si>
  <si>
    <t>81.66</t>
  </si>
  <si>
    <t>443-82-0585</t>
  </si>
  <si>
    <t>15.536</t>
  </si>
  <si>
    <t>326.256</t>
  </si>
  <si>
    <t>310.72</t>
  </si>
  <si>
    <t>339-18-7061</t>
  </si>
  <si>
    <t>92.98</t>
  </si>
  <si>
    <t>9.298</t>
  </si>
  <si>
    <t>195.258</t>
  </si>
  <si>
    <t>3:06:00 PM</t>
  </si>
  <si>
    <t>185.96</t>
  </si>
  <si>
    <t>359-90-3665</t>
  </si>
  <si>
    <t>3.616</t>
  </si>
  <si>
    <t>75.936</t>
  </si>
  <si>
    <t>72.32</t>
  </si>
  <si>
    <t>375-72-3056</t>
  </si>
  <si>
    <t>63.06</t>
  </si>
  <si>
    <t>9.459</t>
  </si>
  <si>
    <t>198.639</t>
  </si>
  <si>
    <t>3:58:00 PM</t>
  </si>
  <si>
    <t>189.18</t>
  </si>
  <si>
    <t>127-47-6963</t>
  </si>
  <si>
    <t>51.71</t>
  </si>
  <si>
    <t>10.342</t>
  </si>
  <si>
    <t>217.182</t>
  </si>
  <si>
    <t>206.84</t>
  </si>
  <si>
    <t>278-86-2735</t>
  </si>
  <si>
    <t>52.34</t>
  </si>
  <si>
    <t>7.851</t>
  </si>
  <si>
    <t>164.871</t>
  </si>
  <si>
    <t>2:03:00 PM</t>
  </si>
  <si>
    <t>157.02</t>
  </si>
  <si>
    <t>695-28-6250</t>
  </si>
  <si>
    <t>43.06</t>
  </si>
  <si>
    <t>10.765</t>
  </si>
  <si>
    <t>226.065</t>
  </si>
  <si>
    <t>4:38:00 PM</t>
  </si>
  <si>
    <t>215.3</t>
  </si>
  <si>
    <t>379-17-6588</t>
  </si>
  <si>
    <t>59.61</t>
  </si>
  <si>
    <t>29.805</t>
  </si>
  <si>
    <t>625.905</t>
  </si>
  <si>
    <t>11:07:00 AM</t>
  </si>
  <si>
    <t>596.1</t>
  </si>
  <si>
    <t>227-50-3718</t>
  </si>
  <si>
    <t>14.62</t>
  </si>
  <si>
    <t>3.655</t>
  </si>
  <si>
    <t>76.755</t>
  </si>
  <si>
    <t>12:23:00 PM</t>
  </si>
  <si>
    <t>73.1</t>
  </si>
  <si>
    <t>302-15-2162</t>
  </si>
  <si>
    <t>46.53</t>
  </si>
  <si>
    <t>13.959</t>
  </si>
  <si>
    <t>293.139</t>
  </si>
  <si>
    <t>279.18</t>
  </si>
  <si>
    <t>788-07-8452</t>
  </si>
  <si>
    <t>24.24</t>
  </si>
  <si>
    <t>8.484</t>
  </si>
  <si>
    <t>178.164</t>
  </si>
  <si>
    <t>169.68</t>
  </si>
  <si>
    <t>560-49-6611</t>
  </si>
  <si>
    <t>45.58</t>
  </si>
  <si>
    <t>2.279</t>
  </si>
  <si>
    <t>47.859</t>
  </si>
  <si>
    <t>2:13:00 PM</t>
  </si>
  <si>
    <t>880-35-0356</t>
  </si>
  <si>
    <t>75.2</t>
  </si>
  <si>
    <t>11.28</t>
  </si>
  <si>
    <t>236.88</t>
  </si>
  <si>
    <t>225.6</t>
  </si>
  <si>
    <t>585-11-6748</t>
  </si>
  <si>
    <t>96.8</t>
  </si>
  <si>
    <t>14.52</t>
  </si>
  <si>
    <t>304.92</t>
  </si>
  <si>
    <t>290.4</t>
  </si>
  <si>
    <t>470-31-3286</t>
  </si>
  <si>
    <t>14.82</t>
  </si>
  <si>
    <t>2.223</t>
  </si>
  <si>
    <t>46.683</t>
  </si>
  <si>
    <t>44.46</t>
  </si>
  <si>
    <t>152-68-2907</t>
  </si>
  <si>
    <t>52.2</t>
  </si>
  <si>
    <t>7.83</t>
  </si>
  <si>
    <t>164.43</t>
  </si>
  <si>
    <t>156.6</t>
  </si>
  <si>
    <t>123-35-4896</t>
  </si>
  <si>
    <t>46.66</t>
  </si>
  <si>
    <t>20.997</t>
  </si>
  <si>
    <t>440.937</t>
  </si>
  <si>
    <t>7:11:00 PM</t>
  </si>
  <si>
    <t>419.94</t>
  </si>
  <si>
    <t>258-69-7810</t>
  </si>
  <si>
    <t>36.85</t>
  </si>
  <si>
    <t>9.2125</t>
  </si>
  <si>
    <t>193.4625</t>
  </si>
  <si>
    <t>6:53:00 PM</t>
  </si>
  <si>
    <t>184.25</t>
  </si>
  <si>
    <t>334-64-2006</t>
  </si>
  <si>
    <t>70.32</t>
  </si>
  <si>
    <t>7.032</t>
  </si>
  <si>
    <t>147.672</t>
  </si>
  <si>
    <t>2:22:00 PM</t>
  </si>
  <si>
    <t>140.64</t>
  </si>
  <si>
    <t>219-61-4139</t>
  </si>
  <si>
    <t>881-41-7302</t>
  </si>
  <si>
    <t>64.99</t>
  </si>
  <si>
    <t>3.2495</t>
  </si>
  <si>
    <t>68.2395</t>
  </si>
  <si>
    <t>10:06:00 AM</t>
  </si>
  <si>
    <t>373-09-4567</t>
  </si>
  <si>
    <t>77.56</t>
  </si>
  <si>
    <t>38.78</t>
  </si>
  <si>
    <t>814.38</t>
  </si>
  <si>
    <t>775.6</t>
  </si>
  <si>
    <t>642-30-6693</t>
  </si>
  <si>
    <t>54.51</t>
  </si>
  <si>
    <t>16.353</t>
  </si>
  <si>
    <t>343.413</t>
  </si>
  <si>
    <t>327.06</t>
  </si>
  <si>
    <t>484-22-8230</t>
  </si>
  <si>
    <t>51.89</t>
  </si>
  <si>
    <t>18.1615</t>
  </si>
  <si>
    <t>381.3915</t>
  </si>
  <si>
    <t>8:08:00 PM</t>
  </si>
  <si>
    <t>363.23</t>
  </si>
  <si>
    <t>830-58-2383</t>
  </si>
  <si>
    <t>31.75</t>
  </si>
  <si>
    <t>6.35</t>
  </si>
  <si>
    <t>133.35</t>
  </si>
  <si>
    <t>127</t>
  </si>
  <si>
    <t>559-98-9873</t>
  </si>
  <si>
    <t>53.65</t>
  </si>
  <si>
    <t>18.7775</t>
  </si>
  <si>
    <t>394.3275</t>
  </si>
  <si>
    <t>12:56:00 PM</t>
  </si>
  <si>
    <t>375.55</t>
  </si>
  <si>
    <t>544-32-5024</t>
  </si>
  <si>
    <t>49.79</t>
  </si>
  <si>
    <t>9.958</t>
  </si>
  <si>
    <t>209.118</t>
  </si>
  <si>
    <t>199.16</t>
  </si>
  <si>
    <t>318-12-0304</t>
  </si>
  <si>
    <t>1.5305</t>
  </si>
  <si>
    <t>32.1405</t>
  </si>
  <si>
    <t>349-97-8902</t>
  </si>
  <si>
    <t>57.89</t>
  </si>
  <si>
    <t>5.789</t>
  </si>
  <si>
    <t>121.569</t>
  </si>
  <si>
    <t>115.78</t>
  </si>
  <si>
    <t>421-95-9805</t>
  </si>
  <si>
    <t>28.96</t>
  </si>
  <si>
    <t>1.448</t>
  </si>
  <si>
    <t>30.408</t>
  </si>
  <si>
    <t>10:18:00 AM</t>
  </si>
  <si>
    <t>277-35-5865</t>
  </si>
  <si>
    <t>98.97</t>
  </si>
  <si>
    <t>44.5365</t>
  </si>
  <si>
    <t>935.2665</t>
  </si>
  <si>
    <t>890.73</t>
  </si>
  <si>
    <t>789-23-8625</t>
  </si>
  <si>
    <t>93.22</t>
  </si>
  <si>
    <t>13.983</t>
  </si>
  <si>
    <t>293.643</t>
  </si>
  <si>
    <t>11:45:00 AM</t>
  </si>
  <si>
    <t>279.66</t>
  </si>
  <si>
    <t>284-54-4231</t>
  </si>
  <si>
    <t>80.93</t>
  </si>
  <si>
    <t>4.0465</t>
  </si>
  <si>
    <t>84.9765</t>
  </si>
  <si>
    <t>4:08:00 PM</t>
  </si>
  <si>
    <t>443-59-0061</t>
  </si>
  <si>
    <t>67.45</t>
  </si>
  <si>
    <t>33.725</t>
  </si>
  <si>
    <t>708.225</t>
  </si>
  <si>
    <t>674.5</t>
  </si>
  <si>
    <t>509-29-3912</t>
  </si>
  <si>
    <t>38.72</t>
  </si>
  <si>
    <t>17.424</t>
  </si>
  <si>
    <t>365.904</t>
  </si>
  <si>
    <t>12:24:00 PM</t>
  </si>
  <si>
    <t>348.48</t>
  </si>
  <si>
    <t>327-40-9673</t>
  </si>
  <si>
    <t>72.6</t>
  </si>
  <si>
    <t>21.78</t>
  </si>
  <si>
    <t>457.38</t>
  </si>
  <si>
    <t>7:51:00 PM</t>
  </si>
  <si>
    <t>435.6</t>
  </si>
  <si>
    <t>840-19-2096</t>
  </si>
  <si>
    <t>87.91</t>
  </si>
  <si>
    <t>21.9775</t>
  </si>
  <si>
    <t>461.5275</t>
  </si>
  <si>
    <t>6:10:00 PM</t>
  </si>
  <si>
    <t>439.55</t>
  </si>
  <si>
    <t>828-46-6863</t>
  </si>
  <si>
    <t>98.53</t>
  </si>
  <si>
    <t>29.559</t>
  </si>
  <si>
    <t>620.739</t>
  </si>
  <si>
    <t>591.18</t>
  </si>
  <si>
    <t>641-96-3695</t>
  </si>
  <si>
    <t>43.46</t>
  </si>
  <si>
    <t>13.038</t>
  </si>
  <si>
    <t>273.798</t>
  </si>
  <si>
    <t>260.76</t>
  </si>
  <si>
    <t>420-97-3340</t>
  </si>
  <si>
    <t>71.68</t>
  </si>
  <si>
    <t>10.752</t>
  </si>
  <si>
    <t>225.792</t>
  </si>
  <si>
    <t>215.04</t>
  </si>
  <si>
    <t>436-54-4512</t>
  </si>
  <si>
    <t>91.61</t>
  </si>
  <si>
    <t>4.5805</t>
  </si>
  <si>
    <t>96.1905</t>
  </si>
  <si>
    <t>670-79-6321</t>
  </si>
  <si>
    <t>94.59</t>
  </si>
  <si>
    <t>33.1065</t>
  </si>
  <si>
    <t>695.2365</t>
  </si>
  <si>
    <t>3:27:00 PM</t>
  </si>
  <si>
    <t>662.13</t>
  </si>
  <si>
    <t>852-62-7105</t>
  </si>
  <si>
    <t>83.25</t>
  </si>
  <si>
    <t>41.625</t>
  </si>
  <si>
    <t>874.125</t>
  </si>
  <si>
    <t>832.5</t>
  </si>
  <si>
    <t>598-06-7312</t>
  </si>
  <si>
    <t>91.35</t>
  </si>
  <si>
    <t>4.5675</t>
  </si>
  <si>
    <t>95.9175</t>
  </si>
  <si>
    <t>135-13-8269</t>
  </si>
  <si>
    <t>78.88</t>
  </si>
  <si>
    <t>7.888</t>
  </si>
  <si>
    <t>165.648</t>
  </si>
  <si>
    <t>4:04:00 PM</t>
  </si>
  <si>
    <t>157.76</t>
  </si>
  <si>
    <t>816-57-2053</t>
  </si>
  <si>
    <t>60.87</t>
  </si>
  <si>
    <t>6.087</t>
  </si>
  <si>
    <t>127.827</t>
  </si>
  <si>
    <t>121.74</t>
  </si>
  <si>
    <t>628-90-8624</t>
  </si>
  <si>
    <t>82.58</t>
  </si>
  <si>
    <t>41.29</t>
  </si>
  <si>
    <t>867.09</t>
  </si>
  <si>
    <t>2:41:00 PM</t>
  </si>
  <si>
    <t>825.8</t>
  </si>
  <si>
    <t>856-66-2701</t>
  </si>
  <si>
    <t>53.3</t>
  </si>
  <si>
    <t>7.995</t>
  </si>
  <si>
    <t>167.895</t>
  </si>
  <si>
    <t>2:19:00 PM</t>
  </si>
  <si>
    <t>159.9</t>
  </si>
  <si>
    <t>308-39-1707</t>
  </si>
  <si>
    <t>12.09</t>
  </si>
  <si>
    <t>0.6045</t>
  </si>
  <si>
    <t>12.6945</t>
  </si>
  <si>
    <t>149-61-1929</t>
  </si>
  <si>
    <t>64.19</t>
  </si>
  <si>
    <t>32.095</t>
  </si>
  <si>
    <t>673.995</t>
  </si>
  <si>
    <t>2:08:00 PM</t>
  </si>
  <si>
    <t>641.9</t>
  </si>
  <si>
    <t>655-07-2265</t>
  </si>
  <si>
    <t>11.7465</t>
  </si>
  <si>
    <t>246.6765</t>
  </si>
  <si>
    <t>234.93</t>
  </si>
  <si>
    <t>589-02-8023</t>
  </si>
  <si>
    <t>8.377</t>
  </si>
  <si>
    <t>175.917</t>
  </si>
  <si>
    <t>167.54</t>
  </si>
  <si>
    <t>420-04-7590</t>
  </si>
  <si>
    <t>99.7</t>
  </si>
  <si>
    <t>14.955</t>
  </si>
  <si>
    <t>314.055</t>
  </si>
  <si>
    <t>11:29:00 AM</t>
  </si>
  <si>
    <t>299.1</t>
  </si>
  <si>
    <t>182-88-2763</t>
  </si>
  <si>
    <t>79.91</t>
  </si>
  <si>
    <t>11.9865</t>
  </si>
  <si>
    <t>251.7165</t>
  </si>
  <si>
    <t>239.73</t>
  </si>
  <si>
    <t>188-55-0967</t>
  </si>
  <si>
    <t>66.47</t>
  </si>
  <si>
    <t>33.235</t>
  </si>
  <si>
    <t>697.935</t>
  </si>
  <si>
    <t>664.7</t>
  </si>
  <si>
    <t>610-46-4100</t>
  </si>
  <si>
    <t>28.95</t>
  </si>
  <si>
    <t>10.1325</t>
  </si>
  <si>
    <t>212.7825</t>
  </si>
  <si>
    <t>202.65</t>
  </si>
  <si>
    <t>318-81-2368</t>
  </si>
  <si>
    <t>46.2</t>
  </si>
  <si>
    <t>2.31</t>
  </si>
  <si>
    <t>12:16:00 PM</t>
  </si>
  <si>
    <t>364-33-8584</t>
  </si>
  <si>
    <t>17.63</t>
  </si>
  <si>
    <t>4.4075</t>
  </si>
  <si>
    <t>92.5575</t>
  </si>
  <si>
    <t>88.15</t>
  </si>
  <si>
    <t>665-63-9737</t>
  </si>
  <si>
    <t>52.42</t>
  </si>
  <si>
    <t>7.863</t>
  </si>
  <si>
    <t>165.123</t>
  </si>
  <si>
    <t>157.26</t>
  </si>
  <si>
    <t>695-09-5146</t>
  </si>
  <si>
    <t>98.79</t>
  </si>
  <si>
    <t>14.8185</t>
  </si>
  <si>
    <t>311.1885</t>
  </si>
  <si>
    <t>8:00:00 PM</t>
  </si>
  <si>
    <t>296.37</t>
  </si>
  <si>
    <t>155-45-3814</t>
  </si>
  <si>
    <t>88.55</t>
  </si>
  <si>
    <t>35.42</t>
  </si>
  <si>
    <t>743.82</t>
  </si>
  <si>
    <t>3:29:00 PM</t>
  </si>
  <si>
    <t>708.4</t>
  </si>
  <si>
    <t>794-32-2436</t>
  </si>
  <si>
    <t>55.67</t>
  </si>
  <si>
    <t>5.567</t>
  </si>
  <si>
    <t>116.907</t>
  </si>
  <si>
    <t>111.34</t>
  </si>
  <si>
    <t>131-15-8856</t>
  </si>
  <si>
    <t>29.008</t>
  </si>
  <si>
    <t>609.168</t>
  </si>
  <si>
    <t>580.16</t>
  </si>
  <si>
    <t>273-84-2164</t>
  </si>
  <si>
    <t>12.05</t>
  </si>
  <si>
    <t>3.0125</t>
  </si>
  <si>
    <t>63.2625</t>
  </si>
  <si>
    <t>60.25</t>
  </si>
  <si>
    <t>706-36-6154</t>
  </si>
  <si>
    <t>19.36</t>
  </si>
  <si>
    <t>8.712</t>
  </si>
  <si>
    <t>182.952</t>
  </si>
  <si>
    <t>174.24</t>
  </si>
  <si>
    <t>778-89-7974</t>
  </si>
  <si>
    <t>70.21</t>
  </si>
  <si>
    <t>21.063</t>
  </si>
  <si>
    <t>442.323</t>
  </si>
  <si>
    <t>2:58:00 PM</t>
  </si>
  <si>
    <t>421.26</t>
  </si>
  <si>
    <t>574-31-8277</t>
  </si>
  <si>
    <t>33.63</t>
  </si>
  <si>
    <t>1.6815</t>
  </si>
  <si>
    <t>35.3115</t>
  </si>
  <si>
    <t>859-71-0933</t>
  </si>
  <si>
    <t>15.49</t>
  </si>
  <si>
    <t>1.549</t>
  </si>
  <si>
    <t>32.529</t>
  </si>
  <si>
    <t>30.98</t>
  </si>
  <si>
    <t>740-11-5257</t>
  </si>
  <si>
    <t>12.37</t>
  </si>
  <si>
    <t>259.77</t>
  </si>
  <si>
    <t>247.4</t>
  </si>
  <si>
    <t>369-82-2676</t>
  </si>
  <si>
    <t>75.66</t>
  </si>
  <si>
    <t>18.915</t>
  </si>
  <si>
    <t>397.215</t>
  </si>
  <si>
    <t>378.3</t>
  </si>
  <si>
    <t>563-47-4072</t>
  </si>
  <si>
    <t>55.81</t>
  </si>
  <si>
    <t>16.743</t>
  </si>
  <si>
    <t>351.603</t>
  </si>
  <si>
    <t>11:52:00 AM</t>
  </si>
  <si>
    <t>334.86</t>
  </si>
  <si>
    <t>742-04-5161</t>
  </si>
  <si>
    <t>72.78</t>
  </si>
  <si>
    <t>36.39</t>
  </si>
  <si>
    <t>764.19</t>
  </si>
  <si>
    <t>727.8</t>
  </si>
  <si>
    <t>149-15-7606</t>
  </si>
  <si>
    <t>37.32</t>
  </si>
  <si>
    <t>16.794</t>
  </si>
  <si>
    <t>352.674</t>
  </si>
  <si>
    <t>335.88</t>
  </si>
  <si>
    <t>133-77-3154</t>
  </si>
  <si>
    <t>60.18</t>
  </si>
  <si>
    <t>12.036</t>
  </si>
  <si>
    <t>252.756</t>
  </si>
  <si>
    <t>240.72</t>
  </si>
  <si>
    <t>169-52-4504</t>
  </si>
  <si>
    <t>15.69</t>
  </si>
  <si>
    <t>2.3535</t>
  </si>
  <si>
    <t>49.4235</t>
  </si>
  <si>
    <t>47.07</t>
  </si>
  <si>
    <t>250-81-7186</t>
  </si>
  <si>
    <t>4.9845</t>
  </si>
  <si>
    <t>104.6745</t>
  </si>
  <si>
    <t>562-12-5430</t>
  </si>
  <si>
    <t>13.2225</t>
  </si>
  <si>
    <t>277.6725</t>
  </si>
  <si>
    <t>264.45</t>
  </si>
  <si>
    <t>816-72-8853</t>
  </si>
  <si>
    <t>27.93</t>
  </si>
  <si>
    <t>6.9825</t>
  </si>
  <si>
    <t>146.6325</t>
  </si>
  <si>
    <t>139.65</t>
  </si>
  <si>
    <t>491-38-3499</t>
  </si>
  <si>
    <t>55.45</t>
  </si>
  <si>
    <t>2.7725</t>
  </si>
  <si>
    <t>58.2225</t>
  </si>
  <si>
    <t>5:46:00 PM</t>
  </si>
  <si>
    <t>322-02-2271</t>
  </si>
  <si>
    <t>42.97</t>
  </si>
  <si>
    <t>6.4455</t>
  </si>
  <si>
    <t>135.3555</t>
  </si>
  <si>
    <t>128.91</t>
  </si>
  <si>
    <t>842-29-4695</t>
  </si>
  <si>
    <t>17.14</t>
  </si>
  <si>
    <t>5.999</t>
  </si>
  <si>
    <t>125.979</t>
  </si>
  <si>
    <t>119.98</t>
  </si>
  <si>
    <t>725-67-2480</t>
  </si>
  <si>
    <t>58.75</t>
  </si>
  <si>
    <t>17.625</t>
  </si>
  <si>
    <t>370.125</t>
  </si>
  <si>
    <t>352.5</t>
  </si>
  <si>
    <t>641-51-2661</t>
  </si>
  <si>
    <t>87.1</t>
  </si>
  <si>
    <t>43.55</t>
  </si>
  <si>
    <t>914.55</t>
  </si>
  <si>
    <t>2:45:00 PM</t>
  </si>
  <si>
    <t>871</t>
  </si>
  <si>
    <t>714-02-3114</t>
  </si>
  <si>
    <t>98.8</t>
  </si>
  <si>
    <t>9.88</t>
  </si>
  <si>
    <t>207.48</t>
  </si>
  <si>
    <t>11:39:00 AM</t>
  </si>
  <si>
    <t>197.6</t>
  </si>
  <si>
    <t>518-17-2983</t>
  </si>
  <si>
    <t>48.63</t>
  </si>
  <si>
    <t>9.726</t>
  </si>
  <si>
    <t>204.246</t>
  </si>
  <si>
    <t>194.52</t>
  </si>
  <si>
    <t>779-42-2410</t>
  </si>
  <si>
    <t>57.74</t>
  </si>
  <si>
    <t>8.661</t>
  </si>
  <si>
    <t>181.881</t>
  </si>
  <si>
    <t>1:06:00 PM</t>
  </si>
  <si>
    <t>173.22</t>
  </si>
  <si>
    <t>190-14-3147</t>
  </si>
  <si>
    <t>17.97</t>
  </si>
  <si>
    <t>3.594</t>
  </si>
  <si>
    <t>75.474</t>
  </si>
  <si>
    <t>8:43:00 PM</t>
  </si>
  <si>
    <t>71.88</t>
  </si>
  <si>
    <t>408-66-6712</t>
  </si>
  <si>
    <t>47.71</t>
  </si>
  <si>
    <t>14.313</t>
  </si>
  <si>
    <t>300.573</t>
  </si>
  <si>
    <t>286.26</t>
  </si>
  <si>
    <t>679-22-6530</t>
  </si>
  <si>
    <t>40.62</t>
  </si>
  <si>
    <t>4.062</t>
  </si>
  <si>
    <t>85.302</t>
  </si>
  <si>
    <t>81.24</t>
  </si>
  <si>
    <t>588-47-8641</t>
  </si>
  <si>
    <t>56.04</t>
  </si>
  <si>
    <t>28.02</t>
  </si>
  <si>
    <t>588.42</t>
  </si>
  <si>
    <t>560.4</t>
  </si>
  <si>
    <t>642-61-4706</t>
  </si>
  <si>
    <t>93.4</t>
  </si>
  <si>
    <t>9.34</t>
  </si>
  <si>
    <t>196.14</t>
  </si>
  <si>
    <t>4:34:00 PM</t>
  </si>
  <si>
    <t>186.8</t>
  </si>
  <si>
    <t>576-31-4774</t>
  </si>
  <si>
    <t>73.41</t>
  </si>
  <si>
    <t>11.0115</t>
  </si>
  <si>
    <t>231.2415</t>
  </si>
  <si>
    <t>1:10:00 PM</t>
  </si>
  <si>
    <t>220.23</t>
  </si>
  <si>
    <t>556-41-6224</t>
  </si>
  <si>
    <t>33.64</t>
  </si>
  <si>
    <t>13.456</t>
  </si>
  <si>
    <t>282.576</t>
  </si>
  <si>
    <t>5:10:00 PM</t>
  </si>
  <si>
    <t>269.12</t>
  </si>
  <si>
    <t>811-03-8790</t>
  </si>
  <si>
    <t>45.48</t>
  </si>
  <si>
    <t>22.74</t>
  </si>
  <si>
    <t>477.54</t>
  </si>
  <si>
    <t>10:22:00 AM</t>
  </si>
  <si>
    <t>454.8</t>
  </si>
  <si>
    <t>242-11-3142</t>
  </si>
  <si>
    <t>752-23-3760</t>
  </si>
  <si>
    <t>64.08</t>
  </si>
  <si>
    <t>22.428</t>
  </si>
  <si>
    <t>470.988</t>
  </si>
  <si>
    <t>7:29:00 PM</t>
  </si>
  <si>
    <t>448.56</t>
  </si>
  <si>
    <t>274-05-5470</t>
  </si>
  <si>
    <t>73.47</t>
  </si>
  <si>
    <t>14.694</t>
  </si>
  <si>
    <t>308.574</t>
  </si>
  <si>
    <t>293.88</t>
  </si>
  <si>
    <t>648-94-3045</t>
  </si>
  <si>
    <t>58.95</t>
  </si>
  <si>
    <t>29.475</t>
  </si>
  <si>
    <t>618.975</t>
  </si>
  <si>
    <t>2:27:00 PM</t>
  </si>
  <si>
    <t>589.5</t>
  </si>
  <si>
    <t>130-67-4723</t>
  </si>
  <si>
    <t>14.55</t>
  </si>
  <si>
    <t>305.55</t>
  </si>
  <si>
    <t>291</t>
  </si>
  <si>
    <t>528-87-5606</t>
  </si>
  <si>
    <t>1.974</t>
  </si>
  <si>
    <t>41.454</t>
  </si>
  <si>
    <t>320-85-2052</t>
  </si>
  <si>
    <t>34.81</t>
  </si>
  <si>
    <t>1.7405</t>
  </si>
  <si>
    <t>36.5505</t>
  </si>
  <si>
    <t>370-96-0655</t>
  </si>
  <si>
    <t>49.32</t>
  </si>
  <si>
    <t>14.796</t>
  </si>
  <si>
    <t>310.716</t>
  </si>
  <si>
    <t>295.92</t>
  </si>
  <si>
    <t>105-10-6182</t>
  </si>
  <si>
    <t>21.48</t>
  </si>
  <si>
    <t>2.148</t>
  </si>
  <si>
    <t>45.108</t>
  </si>
  <si>
    <t>12:22:00 PM</t>
  </si>
  <si>
    <t>42.96</t>
  </si>
  <si>
    <t>510-79-0415</t>
  </si>
  <si>
    <t>23.08</t>
  </si>
  <si>
    <t>6.924</t>
  </si>
  <si>
    <t>145.404</t>
  </si>
  <si>
    <t>138.48</t>
  </si>
  <si>
    <t>241-96-5076</t>
  </si>
  <si>
    <t>49.1</t>
  </si>
  <si>
    <t>4.91</t>
  </si>
  <si>
    <t>103.11</t>
  </si>
  <si>
    <t>98.2</t>
  </si>
  <si>
    <t>767-97-4650</t>
  </si>
  <si>
    <t>64.83</t>
  </si>
  <si>
    <t>6.483</t>
  </si>
  <si>
    <t>136.143</t>
  </si>
  <si>
    <t>11:59:00 AM</t>
  </si>
  <si>
    <t>129.66</t>
  </si>
  <si>
    <t>648-83-1321</t>
  </si>
  <si>
    <t>63.56</t>
  </si>
  <si>
    <t>31.78</t>
  </si>
  <si>
    <t>667.38</t>
  </si>
  <si>
    <t>5:59:00 PM</t>
  </si>
  <si>
    <t>635.6</t>
  </si>
  <si>
    <t>173-57-2300</t>
  </si>
  <si>
    <t>72.88</t>
  </si>
  <si>
    <t>7.288</t>
  </si>
  <si>
    <t>153.048</t>
  </si>
  <si>
    <t>12:51:00 PM</t>
  </si>
  <si>
    <t>145.76</t>
  </si>
  <si>
    <t>305-03-2383</t>
  </si>
  <si>
    <t>67.1</t>
  </si>
  <si>
    <t>10.065</t>
  </si>
  <si>
    <t>211.365</t>
  </si>
  <si>
    <t>201.3</t>
  </si>
  <si>
    <t>394-55-6384</t>
  </si>
  <si>
    <t>70.19</t>
  </si>
  <si>
    <t>31.5855</t>
  </si>
  <si>
    <t>663.2955</t>
  </si>
  <si>
    <t>631.71</t>
  </si>
  <si>
    <t>266-20-6657</t>
  </si>
  <si>
    <t>55.04</t>
  </si>
  <si>
    <t>19.264</t>
  </si>
  <si>
    <t>404.544</t>
  </si>
  <si>
    <t>385.28</t>
  </si>
  <si>
    <t>689-05-1884</t>
  </si>
  <si>
    <t>24.315</t>
  </si>
  <si>
    <t>510.615</t>
  </si>
  <si>
    <t>486.3</t>
  </si>
  <si>
    <t>196-01-2849</t>
  </si>
  <si>
    <t>73.38</t>
  </si>
  <si>
    <t>25.683</t>
  </si>
  <si>
    <t>539.343</t>
  </si>
  <si>
    <t>1:56:00 PM</t>
  </si>
  <si>
    <t>513.66</t>
  </si>
  <si>
    <t>372-62-5264</t>
  </si>
  <si>
    <t>52.6</t>
  </si>
  <si>
    <t>23.67</t>
  </si>
  <si>
    <t>497.07</t>
  </si>
  <si>
    <t>473.4</t>
  </si>
  <si>
    <t>800-09-8606</t>
  </si>
  <si>
    <t>87.37</t>
  </si>
  <si>
    <t>21.8425</t>
  </si>
  <si>
    <t>458.6925</t>
  </si>
  <si>
    <t>7:45:00 PM</t>
  </si>
  <si>
    <t>436.85</t>
  </si>
  <si>
    <t>182-52-7000</t>
  </si>
  <si>
    <t>27.04</t>
  </si>
  <si>
    <t>5.408</t>
  </si>
  <si>
    <t>113.568</t>
  </si>
  <si>
    <t>108.16</t>
  </si>
  <si>
    <t>826-58-8051</t>
  </si>
  <si>
    <t>62.19</t>
  </si>
  <si>
    <t>12.438</t>
  </si>
  <si>
    <t>261.198</t>
  </si>
  <si>
    <t>248.76</t>
  </si>
  <si>
    <t>868-06-0466</t>
  </si>
  <si>
    <t>69.58</t>
  </si>
  <si>
    <t>31.311</t>
  </si>
  <si>
    <t>657.531</t>
  </si>
  <si>
    <t>626.22</t>
  </si>
  <si>
    <t>751-41-9720</t>
  </si>
  <si>
    <t>97.5</t>
  </si>
  <si>
    <t>48.75</t>
  </si>
  <si>
    <t>1023.75</t>
  </si>
  <si>
    <t>4:18:00 PM</t>
  </si>
  <si>
    <t>975</t>
  </si>
  <si>
    <t>626-43-7888</t>
  </si>
  <si>
    <t>60.41</t>
  </si>
  <si>
    <t>24.164</t>
  </si>
  <si>
    <t>507.444</t>
  </si>
  <si>
    <t>483.28</t>
  </si>
  <si>
    <t>176-64-7711</t>
  </si>
  <si>
    <t>4.848</t>
  </si>
  <si>
    <t>101.808</t>
  </si>
  <si>
    <t>96.96</t>
  </si>
  <si>
    <t>191-29-0321</t>
  </si>
  <si>
    <t>19.77</t>
  </si>
  <si>
    <t>9.885</t>
  </si>
  <si>
    <t>207.585</t>
  </si>
  <si>
    <t>6:57:00 PM</t>
  </si>
  <si>
    <t>197.7</t>
  </si>
  <si>
    <t>729-06-2010</t>
  </si>
  <si>
    <t>80.47</t>
  </si>
  <si>
    <t>36.2115</t>
  </si>
  <si>
    <t>760.4415</t>
  </si>
  <si>
    <t>11:18:00 AM</t>
  </si>
  <si>
    <t>724.23</t>
  </si>
  <si>
    <t>640-48-5028</t>
  </si>
  <si>
    <t>88.39</t>
  </si>
  <si>
    <t>39.7755</t>
  </si>
  <si>
    <t>835.2855</t>
  </si>
  <si>
    <t>795.51</t>
  </si>
  <si>
    <t>186-79-9562</t>
  </si>
  <si>
    <t>71.77</t>
  </si>
  <si>
    <t>25.1195</t>
  </si>
  <si>
    <t>527.5095</t>
  </si>
  <si>
    <t>2:06:00 PM</t>
  </si>
  <si>
    <t>502.39</t>
  </si>
  <si>
    <t>834-45-5519</t>
  </si>
  <si>
    <t>43</t>
  </si>
  <si>
    <t>180.6</t>
  </si>
  <si>
    <t>172</t>
  </si>
  <si>
    <t>162-65-8559</t>
  </si>
  <si>
    <t>68.98</t>
  </si>
  <si>
    <t>3.449</t>
  </si>
  <si>
    <t>72.429</t>
  </si>
  <si>
    <t>8:13:00 PM</t>
  </si>
  <si>
    <t>760-27-5490</t>
  </si>
  <si>
    <t>15.62</t>
  </si>
  <si>
    <t>6.248</t>
  </si>
  <si>
    <t>131.208</t>
  </si>
  <si>
    <t>124.96</t>
  </si>
  <si>
    <t>445-30-9252</t>
  </si>
  <si>
    <t>25.7</t>
  </si>
  <si>
    <t>3.855</t>
  </si>
  <si>
    <t>80.955</t>
  </si>
  <si>
    <t>77.1</t>
  </si>
  <si>
    <t>786-94-2700</t>
  </si>
  <si>
    <t>80.62</t>
  </si>
  <si>
    <t>24.186</t>
  </si>
  <si>
    <t>507.906</t>
  </si>
  <si>
    <t>483.72</t>
  </si>
  <si>
    <t>728-88-7867</t>
  </si>
  <si>
    <t>75.53</t>
  </si>
  <si>
    <t>15.106</t>
  </si>
  <si>
    <t>317.226</t>
  </si>
  <si>
    <t>302.12</t>
  </si>
  <si>
    <t>183-21-3799</t>
  </si>
  <si>
    <t>77.63</t>
  </si>
  <si>
    <t>34.9335</t>
  </si>
  <si>
    <t>733.6035</t>
  </si>
  <si>
    <t>3:14:00 PM</t>
  </si>
  <si>
    <t>698.67</t>
  </si>
  <si>
    <t>268-20-3585</t>
  </si>
  <si>
    <t>13.85</t>
  </si>
  <si>
    <t>6.2325</t>
  </si>
  <si>
    <t>130.8825</t>
  </si>
  <si>
    <t>124.65</t>
  </si>
  <si>
    <t>735-32-9839</t>
  </si>
  <si>
    <t>258-92-7466</t>
  </si>
  <si>
    <t>35.68</t>
  </si>
  <si>
    <t>8.92</t>
  </si>
  <si>
    <t>187.32</t>
  </si>
  <si>
    <t>178.4</t>
  </si>
  <si>
    <t>857-16-3520</t>
  </si>
  <si>
    <t>71.46</t>
  </si>
  <si>
    <t>25.011</t>
  </si>
  <si>
    <t>525.231</t>
  </si>
  <si>
    <t>4:06:00 PM</t>
  </si>
  <si>
    <t>500.22</t>
  </si>
  <si>
    <t>482-17-1179</t>
  </si>
  <si>
    <t>11.94</t>
  </si>
  <si>
    <t>1.791</t>
  </si>
  <si>
    <t>37.611</t>
  </si>
  <si>
    <t>12:47:00 PM</t>
  </si>
  <si>
    <t>35.82</t>
  </si>
  <si>
    <t>788-21-5741</t>
  </si>
  <si>
    <t>6.807</t>
  </si>
  <si>
    <t>142.947</t>
  </si>
  <si>
    <t>136.14</t>
  </si>
  <si>
    <t>821-14-9046</t>
  </si>
  <si>
    <t>17.48</t>
  </si>
  <si>
    <t>5.244</t>
  </si>
  <si>
    <t>110.124</t>
  </si>
  <si>
    <t>104.88</t>
  </si>
  <si>
    <t>418-05-0656</t>
  </si>
  <si>
    <t>25.56</t>
  </si>
  <si>
    <t>8.946</t>
  </si>
  <si>
    <t>187.866</t>
  </si>
  <si>
    <t>8:42:00 PM</t>
  </si>
  <si>
    <t>178.92</t>
  </si>
  <si>
    <t>678-79-0726</t>
  </si>
  <si>
    <t>90.63</t>
  </si>
  <si>
    <t>40.7835</t>
  </si>
  <si>
    <t>856.4535</t>
  </si>
  <si>
    <t>815.67</t>
  </si>
  <si>
    <t>776-68-1096</t>
  </si>
  <si>
    <t>44.12</t>
  </si>
  <si>
    <t>6.618</t>
  </si>
  <si>
    <t>138.978</t>
  </si>
  <si>
    <t>132.36</t>
  </si>
  <si>
    <t>592-46-1692</t>
  </si>
  <si>
    <t>36.77</t>
  </si>
  <si>
    <t>12.8695</t>
  </si>
  <si>
    <t>270.2595</t>
  </si>
  <si>
    <t>8:10:00 PM</t>
  </si>
  <si>
    <t>257.39</t>
  </si>
  <si>
    <t>434-35-9162</t>
  </si>
  <si>
    <t>23.34</t>
  </si>
  <si>
    <t>4.668</t>
  </si>
  <si>
    <t>98.028</t>
  </si>
  <si>
    <t>93.36</t>
  </si>
  <si>
    <t>149-14-0304</t>
  </si>
  <si>
    <t>28.5</t>
  </si>
  <si>
    <t>11.4</t>
  </si>
  <si>
    <t>239.4</t>
  </si>
  <si>
    <t>2:24:00 PM</t>
  </si>
  <si>
    <t>228</t>
  </si>
  <si>
    <t>442-44-6497</t>
  </si>
  <si>
    <t>55.57</t>
  </si>
  <si>
    <t>8.3355</t>
  </si>
  <si>
    <t>175.0455</t>
  </si>
  <si>
    <t>11:42:00 AM</t>
  </si>
  <si>
    <t>166.71</t>
  </si>
  <si>
    <t>174-64-0215</t>
  </si>
  <si>
    <t>69.74</t>
  </si>
  <si>
    <t>34.87</t>
  </si>
  <si>
    <t>732.27</t>
  </si>
  <si>
    <t>5:49:00 PM</t>
  </si>
  <si>
    <t>697.4</t>
  </si>
  <si>
    <t>210-74-9613</t>
  </si>
  <si>
    <t>97.26</t>
  </si>
  <si>
    <t>19.452</t>
  </si>
  <si>
    <t>408.492</t>
  </si>
  <si>
    <t>3:33:00 PM</t>
  </si>
  <si>
    <t>389.04</t>
  </si>
  <si>
    <t>299-29-0180</t>
  </si>
  <si>
    <t>52.18</t>
  </si>
  <si>
    <t>18.263</t>
  </si>
  <si>
    <t>383.523</t>
  </si>
  <si>
    <t>365.26</t>
  </si>
  <si>
    <t>247-11-2470</t>
  </si>
  <si>
    <t>22.32</t>
  </si>
  <si>
    <t>4.464</t>
  </si>
  <si>
    <t>93.744</t>
  </si>
  <si>
    <t>89.28</t>
  </si>
  <si>
    <t>635-28-5728</t>
  </si>
  <si>
    <t>56</t>
  </si>
  <si>
    <t>176.4</t>
  </si>
  <si>
    <t>168</t>
  </si>
  <si>
    <t>756-49-0168</t>
  </si>
  <si>
    <t>19.7</t>
  </si>
  <si>
    <t>0.985</t>
  </si>
  <si>
    <t>20.685</t>
  </si>
  <si>
    <t>438-23-1242</t>
  </si>
  <si>
    <t>26.558</t>
  </si>
  <si>
    <t>557.718</t>
  </si>
  <si>
    <t>10:38:00 AM</t>
  </si>
  <si>
    <t>531.16</t>
  </si>
  <si>
    <t>238-45-6950</t>
  </si>
  <si>
    <t>53.72</t>
  </si>
  <si>
    <t>2.686</t>
  </si>
  <si>
    <t>56.406</t>
  </si>
  <si>
    <t>607-65-2441</t>
  </si>
  <si>
    <t>81.95</t>
  </si>
  <si>
    <t>40.975</t>
  </si>
  <si>
    <t>860.475</t>
  </si>
  <si>
    <t>12:39:00 PM</t>
  </si>
  <si>
    <t>819.5</t>
  </si>
  <si>
    <t>386-27-7606</t>
  </si>
  <si>
    <t>81.2</t>
  </si>
  <si>
    <t>28.42</t>
  </si>
  <si>
    <t>596.82</t>
  </si>
  <si>
    <t>568.4</t>
  </si>
  <si>
    <t>137-63-5492</t>
  </si>
  <si>
    <t>58.76</t>
  </si>
  <si>
    <t>29.38</t>
  </si>
  <si>
    <t>616.98</t>
  </si>
  <si>
    <t>2:26:00 PM</t>
  </si>
  <si>
    <t>587.6</t>
  </si>
  <si>
    <t>197-77-7132</t>
  </si>
  <si>
    <t>36.624</t>
  </si>
  <si>
    <t>769.104</t>
  </si>
  <si>
    <t>732.48</t>
  </si>
  <si>
    <t>805-86-0265</t>
  </si>
  <si>
    <t>42.282</t>
  </si>
  <si>
    <t>887.922</t>
  </si>
  <si>
    <t>845.64</t>
  </si>
  <si>
    <t>733-29-1227</t>
  </si>
  <si>
    <t>55.61</t>
  </si>
  <si>
    <t>19.4635</t>
  </si>
  <si>
    <t>408.7335</t>
  </si>
  <si>
    <t>12:41:00 PM</t>
  </si>
  <si>
    <t>389.27</t>
  </si>
  <si>
    <t>451-73-2711</t>
  </si>
  <si>
    <t>84.83</t>
  </si>
  <si>
    <t>4.2415</t>
  </si>
  <si>
    <t>89.0715</t>
  </si>
  <si>
    <t>3:20:00 PM</t>
  </si>
  <si>
    <t>373-14-0504</t>
  </si>
  <si>
    <t>71.63</t>
  </si>
  <si>
    <t>7.163</t>
  </si>
  <si>
    <t>150.423</t>
  </si>
  <si>
    <t>143.26</t>
  </si>
  <si>
    <t>546-80-2899</t>
  </si>
  <si>
    <t>37.69</t>
  </si>
  <si>
    <t>3.769</t>
  </si>
  <si>
    <t>79.149</t>
  </si>
  <si>
    <t>75.38</t>
  </si>
  <si>
    <t>345-68-9016</t>
  </si>
  <si>
    <t>31.67</t>
  </si>
  <si>
    <t>12.668</t>
  </si>
  <si>
    <t>266.028</t>
  </si>
  <si>
    <t>253.36</t>
  </si>
  <si>
    <t>390-17-5806</t>
  </si>
  <si>
    <t>38.42</t>
  </si>
  <si>
    <t>1.921</t>
  </si>
  <si>
    <t>40.341</t>
  </si>
  <si>
    <t>4:33:00 PM</t>
  </si>
  <si>
    <t>457-13-1708</t>
  </si>
  <si>
    <t>65.23</t>
  </si>
  <si>
    <t>32.615</t>
  </si>
  <si>
    <t>684.915</t>
  </si>
  <si>
    <t>652.3</t>
  </si>
  <si>
    <t>664-14-2882</t>
  </si>
  <si>
    <t>10.53</t>
  </si>
  <si>
    <t>2.6325</t>
  </si>
  <si>
    <t>55.2825</t>
  </si>
  <si>
    <t>52.65</t>
  </si>
  <si>
    <t>487-79-6868</t>
  </si>
  <si>
    <t>12.29</t>
  </si>
  <si>
    <t>5.5305</t>
  </si>
  <si>
    <t>116.1405</t>
  </si>
  <si>
    <t>110.61</t>
  </si>
  <si>
    <t>314-23-4520</t>
  </si>
  <si>
    <t>81.23</t>
  </si>
  <si>
    <t>28.4305</t>
  </si>
  <si>
    <t>597.0405</t>
  </si>
  <si>
    <t>8:44:00 PM</t>
  </si>
  <si>
    <t>568.61</t>
  </si>
  <si>
    <t>210-30-7976</t>
  </si>
  <si>
    <t>11:16:00 AM</t>
  </si>
  <si>
    <t>585-86-8361</t>
  </si>
  <si>
    <t>27.28</t>
  </si>
  <si>
    <t>6.82</t>
  </si>
  <si>
    <t>143.22</t>
  </si>
  <si>
    <t>136.4</t>
  </si>
  <si>
    <t>807-14-7833</t>
  </si>
  <si>
    <t>17.42</t>
  </si>
  <si>
    <t>8.71</t>
  </si>
  <si>
    <t>182.91</t>
  </si>
  <si>
    <t>12:30:00 PM</t>
  </si>
  <si>
    <t>174.2</t>
  </si>
  <si>
    <t>775-72-1988</t>
  </si>
  <si>
    <t>73.28</t>
  </si>
  <si>
    <t>18.32</t>
  </si>
  <si>
    <t>384.72</t>
  </si>
  <si>
    <t>366.4</t>
  </si>
  <si>
    <t>288-38-3758</t>
  </si>
  <si>
    <t>84.87</t>
  </si>
  <si>
    <t>12.7305</t>
  </si>
  <si>
    <t>267.3405</t>
  </si>
  <si>
    <t>254.61</t>
  </si>
  <si>
    <t>652-43-6591</t>
  </si>
  <si>
    <t>97.29</t>
  </si>
  <si>
    <t>38.916</t>
  </si>
  <si>
    <t>817.236</t>
  </si>
  <si>
    <t>778.32</t>
  </si>
  <si>
    <t>785-96-0615</t>
  </si>
  <si>
    <t>35.74</t>
  </si>
  <si>
    <t>14.296</t>
  </si>
  <si>
    <t>300.216</t>
  </si>
  <si>
    <t>285.92</t>
  </si>
  <si>
    <t>406-46-7107</t>
  </si>
  <si>
    <t>96.52</t>
  </si>
  <si>
    <t>28.956</t>
  </si>
  <si>
    <t>608.076</t>
  </si>
  <si>
    <t>579.12</t>
  </si>
  <si>
    <t>250-17-5703</t>
  </si>
  <si>
    <t>18.85</t>
  </si>
  <si>
    <t>9.425</t>
  </si>
  <si>
    <t>197.925</t>
  </si>
  <si>
    <t>188.5</t>
  </si>
  <si>
    <t>156-95-3964</t>
  </si>
  <si>
    <t>55.39</t>
  </si>
  <si>
    <t>11.078</t>
  </si>
  <si>
    <t>232.638</t>
  </si>
  <si>
    <t>221.56</t>
  </si>
  <si>
    <t>842-40-8179</t>
  </si>
  <si>
    <t>77.2</t>
  </si>
  <si>
    <t>810.6</t>
  </si>
  <si>
    <t>772</t>
  </si>
  <si>
    <t>525-09-8450</t>
  </si>
  <si>
    <t>72.13</t>
  </si>
  <si>
    <t>36.065</t>
  </si>
  <si>
    <t>757.365</t>
  </si>
  <si>
    <t>721.3</t>
  </si>
  <si>
    <t>410-67-1709</t>
  </si>
  <si>
    <t>63.88</t>
  </si>
  <si>
    <t>25.552</t>
  </si>
  <si>
    <t>536.592</t>
  </si>
  <si>
    <t>5:48:00 PM</t>
  </si>
  <si>
    <t>511.04</t>
  </si>
  <si>
    <t>587-73-4862</t>
  </si>
  <si>
    <t>10.69</t>
  </si>
  <si>
    <t>2.6725</t>
  </si>
  <si>
    <t>56.1225</t>
  </si>
  <si>
    <t>53.45</t>
  </si>
  <si>
    <t>787-87-2010</t>
  </si>
  <si>
    <t>55.5</t>
  </si>
  <si>
    <t>11.1</t>
  </si>
  <si>
    <t>233.1</t>
  </si>
  <si>
    <t>222</t>
  </si>
  <si>
    <t>593-14-4239</t>
  </si>
  <si>
    <t>95.46</t>
  </si>
  <si>
    <t>38.184</t>
  </si>
  <si>
    <t>801.864</t>
  </si>
  <si>
    <t>763.68</t>
  </si>
  <si>
    <t>801-88-0346</t>
  </si>
  <si>
    <t>76.06</t>
  </si>
  <si>
    <t>11.409</t>
  </si>
  <si>
    <t>239.589</t>
  </si>
  <si>
    <t>8:30:00 PM</t>
  </si>
  <si>
    <t>228.18</t>
  </si>
  <si>
    <t>388-76-2555</t>
  </si>
  <si>
    <t>13.69</t>
  </si>
  <si>
    <t>4.107</t>
  </si>
  <si>
    <t>86.247</t>
  </si>
  <si>
    <t>1:59:00 PM</t>
  </si>
  <si>
    <t>82.14</t>
  </si>
  <si>
    <t>711-31-1234</t>
  </si>
  <si>
    <t>95.64</t>
  </si>
  <si>
    <t>19.128</t>
  </si>
  <si>
    <t>401.688</t>
  </si>
  <si>
    <t>382.56</t>
  </si>
  <si>
    <t>886-54-6089</t>
  </si>
  <si>
    <t>11.43</t>
  </si>
  <si>
    <t>3.429</t>
  </si>
  <si>
    <t>72.009</t>
  </si>
  <si>
    <t>68.58</t>
  </si>
  <si>
    <t>707-32-7409</t>
  </si>
  <si>
    <t>19.108</t>
  </si>
  <si>
    <t>401.268</t>
  </si>
  <si>
    <t>11:58:00 AM</t>
  </si>
  <si>
    <t>382.16</t>
  </si>
  <si>
    <t>759-98-4285</t>
  </si>
  <si>
    <t>85.87</t>
  </si>
  <si>
    <t>30.0545</t>
  </si>
  <si>
    <t>631.1445</t>
  </si>
  <si>
    <t>601.09</t>
  </si>
  <si>
    <t>201-63-8275</t>
  </si>
  <si>
    <t>67.99</t>
  </si>
  <si>
    <t>23.7965</t>
  </si>
  <si>
    <t>499.7265</t>
  </si>
  <si>
    <t>4:50:00 PM</t>
  </si>
  <si>
    <t>475.93</t>
  </si>
  <si>
    <t>471-06-8611</t>
  </si>
  <si>
    <t>2.621</t>
  </si>
  <si>
    <t>55.041</t>
  </si>
  <si>
    <t>200-16-5952</t>
  </si>
  <si>
    <t>65.65</t>
  </si>
  <si>
    <t>6.565</t>
  </si>
  <si>
    <t>137.865</t>
  </si>
  <si>
    <t>131.3</t>
  </si>
  <si>
    <t>120-54-2248</t>
  </si>
  <si>
    <t>28.86</t>
  </si>
  <si>
    <t>7.215</t>
  </si>
  <si>
    <t>151.515</t>
  </si>
  <si>
    <t>144.3</t>
  </si>
  <si>
    <t>102-77-2261</t>
  </si>
  <si>
    <t>65.31</t>
  </si>
  <si>
    <t>22.8585</t>
  </si>
  <si>
    <t>480.0285</t>
  </si>
  <si>
    <t>6:02:00 PM</t>
  </si>
  <si>
    <t>457.17</t>
  </si>
  <si>
    <t>875-31-8302</t>
  </si>
  <si>
    <t>93.38</t>
  </si>
  <si>
    <t>4.669</t>
  </si>
  <si>
    <t>98.049</t>
  </si>
  <si>
    <t>102-06-2002</t>
  </si>
  <si>
    <t>25.25</t>
  </si>
  <si>
    <t>6.3125</t>
  </si>
  <si>
    <t>132.5625</t>
  </si>
  <si>
    <t>5:52:00 PM</t>
  </si>
  <si>
    <t>126.25</t>
  </si>
  <si>
    <t>457-94-0464</t>
  </si>
  <si>
    <t>39.5415</t>
  </si>
  <si>
    <t>830.3715</t>
  </si>
  <si>
    <t>8:32:00 PM</t>
  </si>
  <si>
    <t>790.83</t>
  </si>
  <si>
    <t>629-42-4133</t>
  </si>
  <si>
    <t>21.8</t>
  </si>
  <si>
    <t>8.72</t>
  </si>
  <si>
    <t>183.12</t>
  </si>
  <si>
    <t>174.4</t>
  </si>
  <si>
    <t>534-53-3526</t>
  </si>
  <si>
    <t>94.76</t>
  </si>
  <si>
    <t>18.952</t>
  </si>
  <si>
    <t>397.992</t>
  </si>
  <si>
    <t>379.04</t>
  </si>
  <si>
    <t>307-04-2070</t>
  </si>
  <si>
    <t>30.62</t>
  </si>
  <si>
    <t>1.531</t>
  </si>
  <si>
    <t>32.151</t>
  </si>
  <si>
    <t>468-99-7231</t>
  </si>
  <si>
    <t>44.01</t>
  </si>
  <si>
    <t>17.604</t>
  </si>
  <si>
    <t>369.684</t>
  </si>
  <si>
    <t>352.08</t>
  </si>
  <si>
    <t>516-77-6464</t>
  </si>
  <si>
    <t>10.16</t>
  </si>
  <si>
    <t>2.54</t>
  </si>
  <si>
    <t>53.34</t>
  </si>
  <si>
    <t>50.8</t>
  </si>
  <si>
    <t>404-91-5964</t>
  </si>
  <si>
    <t>74.58</t>
  </si>
  <si>
    <t>26.103</t>
  </si>
  <si>
    <t>548.163</t>
  </si>
  <si>
    <t>4:09:00 PM</t>
  </si>
  <si>
    <t>522.06</t>
  </si>
  <si>
    <t>886-77-9084</t>
  </si>
  <si>
    <t>71.89</t>
  </si>
  <si>
    <t>28.756</t>
  </si>
  <si>
    <t>603.876</t>
  </si>
  <si>
    <t>11:33:00 AM</t>
  </si>
  <si>
    <t>575.12</t>
  </si>
  <si>
    <t>790-38-4466</t>
  </si>
  <si>
    <t>10.99</t>
  </si>
  <si>
    <t>2.7475</t>
  </si>
  <si>
    <t>57.6975</t>
  </si>
  <si>
    <t>54.95</t>
  </si>
  <si>
    <t>704-10-4056</t>
  </si>
  <si>
    <t>60.47</t>
  </si>
  <si>
    <t>9.0705</t>
  </si>
  <si>
    <t>190.4805</t>
  </si>
  <si>
    <t>181.41</t>
  </si>
  <si>
    <t>497-37-6538</t>
  </si>
  <si>
    <t>58.91</t>
  </si>
  <si>
    <t>20.6185</t>
  </si>
  <si>
    <t>432.9885</t>
  </si>
  <si>
    <t>3:15:00 PM</t>
  </si>
  <si>
    <t>412.37</t>
  </si>
  <si>
    <t>651-96-5970</t>
  </si>
  <si>
    <t>46.41</t>
  </si>
  <si>
    <t>2.3205</t>
  </si>
  <si>
    <t>48.7305</t>
  </si>
  <si>
    <t>8:06:00 PM</t>
  </si>
  <si>
    <t>400-80-4065</t>
  </si>
  <si>
    <t>68.55</t>
  </si>
  <si>
    <t>13.71</t>
  </si>
  <si>
    <t>287.91</t>
  </si>
  <si>
    <t>274.2</t>
  </si>
  <si>
    <t>744-16-7898</t>
  </si>
  <si>
    <t>97.37</t>
  </si>
  <si>
    <t>48.685</t>
  </si>
  <si>
    <t>1022.385</t>
  </si>
  <si>
    <t>973.7</t>
  </si>
  <si>
    <t>263-12-5321</t>
  </si>
  <si>
    <t>92.6</t>
  </si>
  <si>
    <t>32.41</t>
  </si>
  <si>
    <t>680.61</t>
  </si>
  <si>
    <t>648.2</t>
  </si>
  <si>
    <t>702-72-0487</t>
  </si>
  <si>
    <t>46.61</t>
  </si>
  <si>
    <t>4.661</t>
  </si>
  <si>
    <t>97.881</t>
  </si>
  <si>
    <t>605-83-1050</t>
  </si>
  <si>
    <t>2.718</t>
  </si>
  <si>
    <t>57.078</t>
  </si>
  <si>
    <t>4:26:00 PM</t>
  </si>
  <si>
    <t>443-60-9639</t>
  </si>
  <si>
    <t>3.0435</t>
  </si>
  <si>
    <t>63.9135</t>
  </si>
  <si>
    <t>864-24-7918</t>
  </si>
  <si>
    <t>24.49</t>
  </si>
  <si>
    <t>12.245</t>
  </si>
  <si>
    <t>257.145</t>
  </si>
  <si>
    <t>244.9</t>
  </si>
  <si>
    <t>359-94-5395</t>
  </si>
  <si>
    <t>92.78</t>
  </si>
  <si>
    <t>4.639</t>
  </si>
  <si>
    <t>97.419</t>
  </si>
  <si>
    <t>401-09-4232</t>
  </si>
  <si>
    <t>86.69</t>
  </si>
  <si>
    <t>21.6725</t>
  </si>
  <si>
    <t>455.1225</t>
  </si>
  <si>
    <t>6:38:00 PM</t>
  </si>
  <si>
    <t>433.45</t>
  </si>
  <si>
    <t>751-15-6198</t>
  </si>
  <si>
    <t>23.01</t>
  </si>
  <si>
    <t>6.903</t>
  </si>
  <si>
    <t>144.963</t>
  </si>
  <si>
    <t>4:45:00 PM</t>
  </si>
  <si>
    <t>138.06</t>
  </si>
  <si>
    <t>324-41-6833</t>
  </si>
  <si>
    <t>30.2</t>
  </si>
  <si>
    <t>12.08</t>
  </si>
  <si>
    <t>253.68</t>
  </si>
  <si>
    <t>241.6</t>
  </si>
  <si>
    <t>474-33-8305</t>
  </si>
  <si>
    <t>67.39</t>
  </si>
  <si>
    <t>23.5865</t>
  </si>
  <si>
    <t>495.3165</t>
  </si>
  <si>
    <t>471.73</t>
  </si>
  <si>
    <t>759-29-9521</t>
  </si>
  <si>
    <t>48.96</t>
  </si>
  <si>
    <t>22.032</t>
  </si>
  <si>
    <t>462.672</t>
  </si>
  <si>
    <t>440.64</t>
  </si>
  <si>
    <t>831-81-6575</t>
  </si>
  <si>
    <t>75.59</t>
  </si>
  <si>
    <t>34.0155</t>
  </si>
  <si>
    <t>714.3255</t>
  </si>
  <si>
    <t>680.31</t>
  </si>
  <si>
    <t>220-68-6701</t>
  </si>
  <si>
    <t>77.47</t>
  </si>
  <si>
    <t>15.494</t>
  </si>
  <si>
    <t>325.374</t>
  </si>
  <si>
    <t>309.88</t>
  </si>
  <si>
    <t>618-34-8551</t>
  </si>
  <si>
    <t>93.18</t>
  </si>
  <si>
    <t>9.318</t>
  </si>
  <si>
    <t>195.678</t>
  </si>
  <si>
    <t>6:41:00 PM</t>
  </si>
  <si>
    <t>186.36</t>
  </si>
  <si>
    <t>257-60-7754</t>
  </si>
  <si>
    <t>50.23</t>
  </si>
  <si>
    <t>10.046</t>
  </si>
  <si>
    <t>210.966</t>
  </si>
  <si>
    <t>5:12:00 PM</t>
  </si>
  <si>
    <t>200.92</t>
  </si>
  <si>
    <t>559-61-5987</t>
  </si>
  <si>
    <t>17.75</t>
  </si>
  <si>
    <t>0.8875</t>
  </si>
  <si>
    <t>18.6375</t>
  </si>
  <si>
    <t>189-55-2313</t>
  </si>
  <si>
    <t>62.18</t>
  </si>
  <si>
    <t>31.09</t>
  </si>
  <si>
    <t>652.89</t>
  </si>
  <si>
    <t>621.8</t>
  </si>
  <si>
    <t>565-91-4567</t>
  </si>
  <si>
    <t>10.75</t>
  </si>
  <si>
    <t>90.3</t>
  </si>
  <si>
    <t>86</t>
  </si>
  <si>
    <t>380-60-5336</t>
  </si>
  <si>
    <t>40.26</t>
  </si>
  <si>
    <t>20.13</t>
  </si>
  <si>
    <t>422.73</t>
  </si>
  <si>
    <t>402.6</t>
  </si>
  <si>
    <t>815-04-6282</t>
  </si>
  <si>
    <t>64.97</t>
  </si>
  <si>
    <t>16.2425</t>
  </si>
  <si>
    <t>341.0925</t>
  </si>
  <si>
    <t>324.85</t>
  </si>
  <si>
    <t>674-56-6360</t>
  </si>
  <si>
    <t>95.15</t>
  </si>
  <si>
    <t>4.7575</t>
  </si>
  <si>
    <t>99.9075</t>
  </si>
  <si>
    <t>2:00:00 PM</t>
  </si>
  <si>
    <t>778-34-2523</t>
  </si>
  <si>
    <t>48.62</t>
  </si>
  <si>
    <t>19.448</t>
  </si>
  <si>
    <t>408.408</t>
  </si>
  <si>
    <t>388.96</t>
  </si>
  <si>
    <t>499-27-7781</t>
  </si>
  <si>
    <t>53.21</t>
  </si>
  <si>
    <t>21.284</t>
  </si>
  <si>
    <t>446.964</t>
  </si>
  <si>
    <t>425.68</t>
  </si>
  <si>
    <t>477-59-2456</t>
  </si>
  <si>
    <t>45.44</t>
  </si>
  <si>
    <t>15.904</t>
  </si>
  <si>
    <t>333.984</t>
  </si>
  <si>
    <t>318.08</t>
  </si>
  <si>
    <t>832-51-6761</t>
  </si>
  <si>
    <t>33.88</t>
  </si>
  <si>
    <t>13.552</t>
  </si>
  <si>
    <t>284.592</t>
  </si>
  <si>
    <t>271.04</t>
  </si>
  <si>
    <t>869-11-3082</t>
  </si>
  <si>
    <t>96.16</t>
  </si>
  <si>
    <t>19.232</t>
  </si>
  <si>
    <t>403.872</t>
  </si>
  <si>
    <t>384.64</t>
  </si>
  <si>
    <t>190-59-3964</t>
  </si>
  <si>
    <t>47.16</t>
  </si>
  <si>
    <t>11.79</t>
  </si>
  <si>
    <t>247.59</t>
  </si>
  <si>
    <t>235.8</t>
  </si>
  <si>
    <t>366-43-6862</t>
  </si>
  <si>
    <t>10.578</t>
  </si>
  <si>
    <t>222.138</t>
  </si>
  <si>
    <t>4:32:00 PM</t>
  </si>
  <si>
    <t>211.56</t>
  </si>
  <si>
    <t>186-43-8965</t>
  </si>
  <si>
    <t>47.68</t>
  </si>
  <si>
    <t>4.768</t>
  </si>
  <si>
    <t>100.128</t>
  </si>
  <si>
    <t>10:10:00 AM</t>
  </si>
  <si>
    <t>95.36</t>
  </si>
  <si>
    <t>784-21-9238</t>
  </si>
  <si>
    <t>10.17</t>
  </si>
  <si>
    <t>0.5085</t>
  </si>
  <si>
    <t>10.6785</t>
  </si>
  <si>
    <t>276-75-6884</t>
  </si>
  <si>
    <t>10.3065</t>
  </si>
  <si>
    <t>216.4365</t>
  </si>
  <si>
    <t>10:05:00 AM</t>
  </si>
  <si>
    <t>206.13</t>
  </si>
  <si>
    <t>109-86-4363</t>
  </si>
  <si>
    <t>60.08</t>
  </si>
  <si>
    <t>21.028</t>
  </si>
  <si>
    <t>441.588</t>
  </si>
  <si>
    <t>420.56</t>
  </si>
  <si>
    <t>569-76-2760</t>
  </si>
  <si>
    <t>4.402</t>
  </si>
  <si>
    <t>92.442</t>
  </si>
  <si>
    <t>6:15:00 PM</t>
  </si>
  <si>
    <t>88.04</t>
  </si>
  <si>
    <t>222-42-0244</t>
  </si>
  <si>
    <t>72.11</t>
  </si>
  <si>
    <t>32.4495</t>
  </si>
  <si>
    <t>681.4395</t>
  </si>
  <si>
    <t>648.99</t>
  </si>
  <si>
    <t>760-53-9233</t>
  </si>
  <si>
    <t>41.28</t>
  </si>
  <si>
    <t>6.192</t>
  </si>
  <si>
    <t>130.032</t>
  </si>
  <si>
    <t>123.84</t>
  </si>
  <si>
    <t>538-22-0304</t>
  </si>
  <si>
    <t>64.95</t>
  </si>
  <si>
    <t>32.475</t>
  </si>
  <si>
    <t>681.975</t>
  </si>
  <si>
    <t>649.5</t>
  </si>
  <si>
    <t>416-17-9926</t>
  </si>
  <si>
    <t>37.11</t>
  </si>
  <si>
    <t>779.31</t>
  </si>
  <si>
    <t>742.2</t>
  </si>
  <si>
    <t>237-44-6163</t>
  </si>
  <si>
    <t>10.56</t>
  </si>
  <si>
    <t>4.224</t>
  </si>
  <si>
    <t>88.704</t>
  </si>
  <si>
    <t>84.48</t>
  </si>
  <si>
    <t>636-17-0325</t>
  </si>
  <si>
    <t>62.57</t>
  </si>
  <si>
    <t>12.514</t>
  </si>
  <si>
    <t>262.794</t>
  </si>
  <si>
    <t>250.28</t>
  </si>
  <si>
    <t>343-75-9322</t>
  </si>
  <si>
    <t>11.85</t>
  </si>
  <si>
    <t>4.74</t>
  </si>
  <si>
    <t>99.54</t>
  </si>
  <si>
    <t>94.8</t>
  </si>
  <si>
    <t>528-14-9470</t>
  </si>
  <si>
    <t>91.3</t>
  </si>
  <si>
    <t>4.565</t>
  </si>
  <si>
    <t>95.865</t>
  </si>
  <si>
    <t>427-45-9297</t>
  </si>
  <si>
    <t>40.73</t>
  </si>
  <si>
    <t>14.2555</t>
  </si>
  <si>
    <t>299.3655</t>
  </si>
  <si>
    <t>11:01:00 AM</t>
  </si>
  <si>
    <t>285.11</t>
  </si>
  <si>
    <t>807-34-3742</t>
  </si>
  <si>
    <t>52.38</t>
  </si>
  <si>
    <t>2.619</t>
  </si>
  <si>
    <t>54.999</t>
  </si>
  <si>
    <t>288-62-1085</t>
  </si>
  <si>
    <t>38.54</t>
  </si>
  <si>
    <t>9.635</t>
  </si>
  <si>
    <t>202.335</t>
  </si>
  <si>
    <t>192.7</t>
  </si>
  <si>
    <t>670-71-7306</t>
  </si>
  <si>
    <t>44.63</t>
  </si>
  <si>
    <t>13.389</t>
  </si>
  <si>
    <t>281.169</t>
  </si>
  <si>
    <t>267.78</t>
  </si>
  <si>
    <t>660-29-7083</t>
  </si>
  <si>
    <t>55.87</t>
  </si>
  <si>
    <t>27.935</t>
  </si>
  <si>
    <t>586.635</t>
  </si>
  <si>
    <t>558.7</t>
  </si>
  <si>
    <t>271-77-8740</t>
  </si>
  <si>
    <t>29.22</t>
  </si>
  <si>
    <t>8.766</t>
  </si>
  <si>
    <t>184.086</t>
  </si>
  <si>
    <t>175.32</t>
  </si>
  <si>
    <t>497-36-0989</t>
  </si>
  <si>
    <t>7.791</t>
  </si>
  <si>
    <t>163.611</t>
  </si>
  <si>
    <t>3:21:00 PM</t>
  </si>
  <si>
    <t>155.82</t>
  </si>
  <si>
    <t>291-59-1384</t>
  </si>
  <si>
    <t>3.015</t>
  </si>
  <si>
    <t>63.315</t>
  </si>
  <si>
    <t>860-73-6466</t>
  </si>
  <si>
    <t>39.47</t>
  </si>
  <si>
    <t>3.947</t>
  </si>
  <si>
    <t>82.887</t>
  </si>
  <si>
    <t>4:16:00 PM</t>
  </si>
  <si>
    <t>78.94</t>
  </si>
  <si>
    <t>549-23-9016</t>
  </si>
  <si>
    <t>14.87</t>
  </si>
  <si>
    <t>1.487</t>
  </si>
  <si>
    <t>31.227</t>
  </si>
  <si>
    <t>29.74</t>
  </si>
  <si>
    <t>896-34-0956</t>
  </si>
  <si>
    <t>21.32</t>
  </si>
  <si>
    <t>1.066</t>
  </si>
  <si>
    <t>22.386</t>
  </si>
  <si>
    <t>804-38-3935</t>
  </si>
  <si>
    <t>93.78</t>
  </si>
  <si>
    <t>14.067</t>
  </si>
  <si>
    <t>295.407</t>
  </si>
  <si>
    <t>281.34</t>
  </si>
  <si>
    <t>585-90-0249</t>
  </si>
  <si>
    <t>73.26</t>
  </si>
  <si>
    <t>3.663</t>
  </si>
  <si>
    <t>76.923</t>
  </si>
  <si>
    <t>862-29-5914</t>
  </si>
  <si>
    <t>22.38</t>
  </si>
  <si>
    <t>1.119</t>
  </si>
  <si>
    <t>23.499</t>
  </si>
  <si>
    <t>845-94-6841</t>
  </si>
  <si>
    <t>32.796</t>
  </si>
  <si>
    <t>688.716</t>
  </si>
  <si>
    <t>655.92</t>
  </si>
  <si>
    <t>125-45-2293</t>
  </si>
  <si>
    <t>99.1</t>
  </si>
  <si>
    <t>29.73</t>
  </si>
  <si>
    <t>594.6</t>
  </si>
  <si>
    <t>843-73-4724</t>
  </si>
  <si>
    <t>74.1</t>
  </si>
  <si>
    <t>3.705</t>
  </si>
  <si>
    <t>77.805</t>
  </si>
  <si>
    <t>11:05:00 AM</t>
  </si>
  <si>
    <t>409-33-9708</t>
  </si>
  <si>
    <t>98.48</t>
  </si>
  <si>
    <t>9.848</t>
  </si>
  <si>
    <t>206.808</t>
  </si>
  <si>
    <t>196.96</t>
  </si>
  <si>
    <t>658-66-3967</t>
  </si>
  <si>
    <t>53.19</t>
  </si>
  <si>
    <t>18.6165</t>
  </si>
  <si>
    <t>390.9465</t>
  </si>
  <si>
    <t>372.33</t>
  </si>
  <si>
    <t>866-70-2814</t>
  </si>
  <si>
    <t>52.79</t>
  </si>
  <si>
    <t>26.395</t>
  </si>
  <si>
    <t>554.295</t>
  </si>
  <si>
    <t>527.9</t>
  </si>
  <si>
    <t>160-22-2687</t>
  </si>
  <si>
    <t>95.95</t>
  </si>
  <si>
    <t>23.9875</t>
  </si>
  <si>
    <t>503.7375</t>
  </si>
  <si>
    <t>479.75</t>
  </si>
  <si>
    <t>895-03-6665</t>
  </si>
  <si>
    <t>36.51</t>
  </si>
  <si>
    <t>16.4295</t>
  </si>
  <si>
    <t>345.0195</t>
  </si>
  <si>
    <t>328.59</t>
  </si>
  <si>
    <t>770-42-8960</t>
  </si>
  <si>
    <t>8.448</t>
  </si>
  <si>
    <t>177.408</t>
  </si>
  <si>
    <t>7:31:00 PM</t>
  </si>
  <si>
    <t>168.96</t>
  </si>
  <si>
    <t>748-45-2862</t>
  </si>
  <si>
    <t>28.31</t>
  </si>
  <si>
    <t>5.662</t>
  </si>
  <si>
    <t>118.902</t>
  </si>
  <si>
    <t>6:35:00 PM</t>
  </si>
  <si>
    <t>113.24</t>
  </si>
  <si>
    <t>234-36-2483</t>
  </si>
  <si>
    <t>57.59</t>
  </si>
  <si>
    <t>17.277</t>
  </si>
  <si>
    <t>362.817</t>
  </si>
  <si>
    <t>1:51:00 PM</t>
  </si>
  <si>
    <t>345.54</t>
  </si>
  <si>
    <t>316-66-3011</t>
  </si>
  <si>
    <t>47.63</t>
  </si>
  <si>
    <t>21.4335</t>
  </si>
  <si>
    <t>450.1035</t>
  </si>
  <si>
    <t>12:35:00 PM</t>
  </si>
  <si>
    <t>428.67</t>
  </si>
  <si>
    <t>848-95-6252</t>
  </si>
  <si>
    <t>86.27</t>
  </si>
  <si>
    <t>4.3135</t>
  </si>
  <si>
    <t>90.5835</t>
  </si>
  <si>
    <t>840-76-5966</t>
  </si>
  <si>
    <t>12.76</t>
  </si>
  <si>
    <t>1.276</t>
  </si>
  <si>
    <t>26.796</t>
  </si>
  <si>
    <t>25.52</t>
  </si>
  <si>
    <t>152-03-4217</t>
  </si>
  <si>
    <t>5.076</t>
  </si>
  <si>
    <t>106.596</t>
  </si>
  <si>
    <t>11:55:00 AM</t>
  </si>
  <si>
    <t>101.52</t>
  </si>
  <si>
    <t>533-66-5566</t>
  </si>
  <si>
    <t>51.07</t>
  </si>
  <si>
    <t>17.8745</t>
  </si>
  <si>
    <t>375.3645</t>
  </si>
  <si>
    <t>357.49</t>
  </si>
  <si>
    <t>124-31-1458</t>
  </si>
  <si>
    <t>79.59</t>
  </si>
  <si>
    <t>11.9385</t>
  </si>
  <si>
    <t>250.7085</t>
  </si>
  <si>
    <t>238.77</t>
  </si>
  <si>
    <t>176-78-1170</t>
  </si>
  <si>
    <t>33.81</t>
  </si>
  <si>
    <t>5.0715</t>
  </si>
  <si>
    <t>106.5015</t>
  </si>
  <si>
    <t>3:11:00 PM</t>
  </si>
  <si>
    <t>101.43</t>
  </si>
  <si>
    <t>361-59-0574</t>
  </si>
  <si>
    <t>90.53</t>
  </si>
  <si>
    <t>36.212</t>
  </si>
  <si>
    <t>760.452</t>
  </si>
  <si>
    <t>2:48:00 PM</t>
  </si>
  <si>
    <t>724.24</t>
  </si>
  <si>
    <t>101-81-4070</t>
  </si>
  <si>
    <t>62.82</t>
  </si>
  <si>
    <t>6.282</t>
  </si>
  <si>
    <t>131.922</t>
  </si>
  <si>
    <t>12:36:00 PM</t>
  </si>
  <si>
    <t>125.64</t>
  </si>
  <si>
    <t>631-34-1880</t>
  </si>
  <si>
    <t>24.31</t>
  </si>
  <si>
    <t>3.6465</t>
  </si>
  <si>
    <t>76.5765</t>
  </si>
  <si>
    <t>72.93</t>
  </si>
  <si>
    <t>852-82-2749</t>
  </si>
  <si>
    <t>64.59</t>
  </si>
  <si>
    <t>12.918</t>
  </si>
  <si>
    <t>271.278</t>
  </si>
  <si>
    <t>1:35:00 PM</t>
  </si>
  <si>
    <t>258.36</t>
  </si>
  <si>
    <t>873-14-6353</t>
  </si>
  <si>
    <t>24.82</t>
  </si>
  <si>
    <t>8.687</t>
  </si>
  <si>
    <t>182.427</t>
  </si>
  <si>
    <t>173.74</t>
  </si>
  <si>
    <t>584-66-4073</t>
  </si>
  <si>
    <t>56.5</t>
  </si>
  <si>
    <t>2.825</t>
  </si>
  <si>
    <t>59.325</t>
  </si>
  <si>
    <t>3:45:00 PM</t>
  </si>
  <si>
    <t>544-55-9589</t>
  </si>
  <si>
    <t>21.43</t>
  </si>
  <si>
    <t>10.715</t>
  </si>
  <si>
    <t>225.015</t>
  </si>
  <si>
    <t>214.3</t>
  </si>
  <si>
    <t>166-19-2553</t>
  </si>
  <si>
    <t>89.06</t>
  </si>
  <si>
    <t>26.718</t>
  </si>
  <si>
    <t>561.078</t>
  </si>
  <si>
    <t>534.36</t>
  </si>
  <si>
    <t>737-88-5876</t>
  </si>
  <si>
    <t>23.29</t>
  </si>
  <si>
    <t>4.658</t>
  </si>
  <si>
    <t>97.818</t>
  </si>
  <si>
    <t>93.16</t>
  </si>
  <si>
    <t>154-87-7367</t>
  </si>
  <si>
    <t>65.26</t>
  </si>
  <si>
    <t>26.104</t>
  </si>
  <si>
    <t>548.184</t>
  </si>
  <si>
    <t>522.08</t>
  </si>
  <si>
    <t>885-56-0389</t>
  </si>
  <si>
    <t>52.35</t>
  </si>
  <si>
    <t>2.6175</t>
  </si>
  <si>
    <t>54.9675</t>
  </si>
  <si>
    <t>608-05-3804</t>
  </si>
  <si>
    <t>1.9875</t>
  </si>
  <si>
    <t>41.7375</t>
  </si>
  <si>
    <t>448-61-3783</t>
  </si>
  <si>
    <t>90.02</t>
  </si>
  <si>
    <t>36.008</t>
  </si>
  <si>
    <t>756.168</t>
  </si>
  <si>
    <t>720.16</t>
  </si>
  <si>
    <t>761-49-0439</t>
  </si>
  <si>
    <t>12.1</t>
  </si>
  <si>
    <t>4.84</t>
  </si>
  <si>
    <t>101.64</t>
  </si>
  <si>
    <t>490-95-0021</t>
  </si>
  <si>
    <t>33.21</t>
  </si>
  <si>
    <t>16.605</t>
  </si>
  <si>
    <t>348.705</t>
  </si>
  <si>
    <t>2:25:00 PM</t>
  </si>
  <si>
    <t>332.1</t>
  </si>
  <si>
    <t>115-38-7388</t>
  </si>
  <si>
    <t>10.18</t>
  </si>
  <si>
    <t>4.072</t>
  </si>
  <si>
    <t>85.512</t>
  </si>
  <si>
    <t>81.44</t>
  </si>
  <si>
    <t>311-13-6971</t>
  </si>
  <si>
    <t>15.995</t>
  </si>
  <si>
    <t>335.895</t>
  </si>
  <si>
    <t>3:18:00 PM</t>
  </si>
  <si>
    <t>319.9</t>
  </si>
  <si>
    <t>291-55-6563</t>
  </si>
  <si>
    <t>548-48-3156</t>
  </si>
  <si>
    <t>83.34</t>
  </si>
  <si>
    <t>8.334</t>
  </si>
  <si>
    <t>175.014</t>
  </si>
  <si>
    <t>166.68</t>
  </si>
  <si>
    <t>460-93-5834</t>
  </si>
  <si>
    <t>15.953</t>
  </si>
  <si>
    <t>335.013</t>
  </si>
  <si>
    <t>10:03:00 AM</t>
  </si>
  <si>
    <t>319.06</t>
  </si>
  <si>
    <t>325-89-4209</t>
  </si>
  <si>
    <t>87.9</t>
  </si>
  <si>
    <t>4.395</t>
  </si>
  <si>
    <t>92.295</t>
  </si>
  <si>
    <t>884-80-6021</t>
  </si>
  <si>
    <t>36.735</t>
  </si>
  <si>
    <t>771.435</t>
  </si>
  <si>
    <t>1:14:00 PM</t>
  </si>
  <si>
    <t>734.7</t>
  </si>
  <si>
    <t>137-74-8729</t>
  </si>
  <si>
    <t>12.19</t>
  </si>
  <si>
    <t>4.876</t>
  </si>
  <si>
    <t>102.396</t>
  </si>
  <si>
    <t>97.52</t>
  </si>
  <si>
    <t>880-46-5796</t>
  </si>
  <si>
    <t>76.92</t>
  </si>
  <si>
    <t>38.46</t>
  </si>
  <si>
    <t>807.66</t>
  </si>
  <si>
    <t>769.2</t>
  </si>
  <si>
    <t>389-70-2397</t>
  </si>
  <si>
    <t>83.66</t>
  </si>
  <si>
    <t>20.915</t>
  </si>
  <si>
    <t>439.215</t>
  </si>
  <si>
    <t>418.3</t>
  </si>
  <si>
    <t>114-35-5271</t>
  </si>
  <si>
    <t>57.91</t>
  </si>
  <si>
    <t>23.164</t>
  </si>
  <si>
    <t>486.444</t>
  </si>
  <si>
    <t>463.28</t>
  </si>
  <si>
    <t>607-76-6216</t>
  </si>
  <si>
    <t>92.49</t>
  </si>
  <si>
    <t>23.1225</t>
  </si>
  <si>
    <t>485.5725</t>
  </si>
  <si>
    <t>4:35:00 PM</t>
  </si>
  <si>
    <t>462.45</t>
  </si>
  <si>
    <t>715-20-1673</t>
  </si>
  <si>
    <t>28.38</t>
  </si>
  <si>
    <t>7.095</t>
  </si>
  <si>
    <t>148.995</t>
  </si>
  <si>
    <t>8:57:00 PM</t>
  </si>
  <si>
    <t>141.9</t>
  </si>
  <si>
    <t>811-35-1094</t>
  </si>
  <si>
    <t>50.45</t>
  </si>
  <si>
    <t>15.135</t>
  </si>
  <si>
    <t>317.835</t>
  </si>
  <si>
    <t>302.7</t>
  </si>
  <si>
    <t>699-88-1972</t>
  </si>
  <si>
    <t>99.16</t>
  </si>
  <si>
    <t>39.664</t>
  </si>
  <si>
    <t>832.944</t>
  </si>
  <si>
    <t>793.28</t>
  </si>
  <si>
    <t>781-84-8059</t>
  </si>
  <si>
    <t>60.74</t>
  </si>
  <si>
    <t>21.259</t>
  </si>
  <si>
    <t>446.439</t>
  </si>
  <si>
    <t>425.18</t>
  </si>
  <si>
    <t>409-49-6995</t>
  </si>
  <si>
    <t>47.27</t>
  </si>
  <si>
    <t>14.181</t>
  </si>
  <si>
    <t>297.801</t>
  </si>
  <si>
    <t>283.62</t>
  </si>
  <si>
    <t>725-54-0677</t>
  </si>
  <si>
    <t>85.6</t>
  </si>
  <si>
    <t>29.96</t>
  </si>
  <si>
    <t>629.16</t>
  </si>
  <si>
    <t>1:50:00 PM</t>
  </si>
  <si>
    <t>599.2</t>
  </si>
  <si>
    <t>146-09-5432</t>
  </si>
  <si>
    <t>35.04</t>
  </si>
  <si>
    <t>15.768</t>
  </si>
  <si>
    <t>331.128</t>
  </si>
  <si>
    <t>315.36</t>
  </si>
  <si>
    <t>377-79-7592</t>
  </si>
  <si>
    <t>44.84</t>
  </si>
  <si>
    <t>20.178</t>
  </si>
  <si>
    <t>423.738</t>
  </si>
  <si>
    <t>403.56</t>
  </si>
  <si>
    <t>509-10-0516</t>
  </si>
  <si>
    <t>45.97</t>
  </si>
  <si>
    <t>9.194</t>
  </si>
  <si>
    <t>193.074</t>
  </si>
  <si>
    <t>183.88</t>
  </si>
  <si>
    <t>595-94-9924</t>
  </si>
  <si>
    <t>27.73</t>
  </si>
  <si>
    <t>6.9325</t>
  </si>
  <si>
    <t>145.5825</t>
  </si>
  <si>
    <t>138.65</t>
  </si>
  <si>
    <t>865-41-9075</t>
  </si>
  <si>
    <t>11.53</t>
  </si>
  <si>
    <t>4.0355</t>
  </si>
  <si>
    <t>84.7455</t>
  </si>
  <si>
    <t>5:35:00 PM</t>
  </si>
  <si>
    <t>80.71</t>
  </si>
  <si>
    <t>545-07-8534</t>
  </si>
  <si>
    <t>58.32</t>
  </si>
  <si>
    <t>5.832</t>
  </si>
  <si>
    <t>122.472</t>
  </si>
  <si>
    <t>116.64</t>
  </si>
  <si>
    <t>118-62-1812</t>
  </si>
  <si>
    <t>15.676</t>
  </si>
  <si>
    <t>329.196</t>
  </si>
  <si>
    <t>5:56:00 PM</t>
  </si>
  <si>
    <t>313.52</t>
  </si>
  <si>
    <t>450-42-3339</t>
  </si>
  <si>
    <t>84.61</t>
  </si>
  <si>
    <t>42.305</t>
  </si>
  <si>
    <t>888.405</t>
  </si>
  <si>
    <t>846.1</t>
  </si>
  <si>
    <t>851-98-3555</t>
  </si>
  <si>
    <t>82.88</t>
  </si>
  <si>
    <t>20.72</t>
  </si>
  <si>
    <t>435.12</t>
  </si>
  <si>
    <t>414.4</t>
  </si>
  <si>
    <t>186-71-5196</t>
  </si>
  <si>
    <t>79.54</t>
  </si>
  <si>
    <t>7.954</t>
  </si>
  <si>
    <t>167.034</t>
  </si>
  <si>
    <t>159.08</t>
  </si>
  <si>
    <t>624-01-8356</t>
  </si>
  <si>
    <t>49.01</t>
  </si>
  <si>
    <t>24.505</t>
  </si>
  <si>
    <t>514.605</t>
  </si>
  <si>
    <t>10:44:00 AM</t>
  </si>
  <si>
    <t>490.1</t>
  </si>
  <si>
    <t>313-66-9943</t>
  </si>
  <si>
    <t>29.15</t>
  </si>
  <si>
    <t>4.3725</t>
  </si>
  <si>
    <t>91.8225</t>
  </si>
  <si>
    <t>151-27-8496</t>
  </si>
  <si>
    <t>56.13</t>
  </si>
  <si>
    <t>11.226</t>
  </si>
  <si>
    <t>235.746</t>
  </si>
  <si>
    <t>224.52</t>
  </si>
  <si>
    <t>453-33-6436</t>
  </si>
  <si>
    <t>93.12</t>
  </si>
  <si>
    <t>37.248</t>
  </si>
  <si>
    <t>782.208</t>
  </si>
  <si>
    <t>10:09:00 AM</t>
  </si>
  <si>
    <t>744.96</t>
  </si>
  <si>
    <t>522-57-8364</t>
  </si>
  <si>
    <t>20.536</t>
  </si>
  <si>
    <t>431.256</t>
  </si>
  <si>
    <t>410.72</t>
  </si>
  <si>
    <t>459-45-2396</t>
  </si>
  <si>
    <t>99.6</t>
  </si>
  <si>
    <t>14.94</t>
  </si>
  <si>
    <t>313.74</t>
  </si>
  <si>
    <t>298.8</t>
  </si>
  <si>
    <t>717-96-4189</t>
  </si>
  <si>
    <t>35.49</t>
  </si>
  <si>
    <t>10.647</t>
  </si>
  <si>
    <t>223.587</t>
  </si>
  <si>
    <t>212.94</t>
  </si>
  <si>
    <t>722-13-2115</t>
  </si>
  <si>
    <t>42.85</t>
  </si>
  <si>
    <t>2.1425</t>
  </si>
  <si>
    <t>44.9925</t>
  </si>
  <si>
    <t>749-81-8133</t>
  </si>
  <si>
    <t>94.67</t>
  </si>
  <si>
    <t>18.934</t>
  </si>
  <si>
    <t>397.614</t>
  </si>
  <si>
    <t>378.68</t>
  </si>
  <si>
    <t>777-67-2495</t>
  </si>
  <si>
    <t>68.97</t>
  </si>
  <si>
    <t>10.3455</t>
  </si>
  <si>
    <t>217.2555</t>
  </si>
  <si>
    <t>206.91</t>
  </si>
  <si>
    <t>636-98-3364</t>
  </si>
  <si>
    <t>3.939</t>
  </si>
  <si>
    <t>82.719</t>
  </si>
  <si>
    <t>78.78</t>
  </si>
  <si>
    <t>246-55-6923</t>
  </si>
  <si>
    <t>35.79</t>
  </si>
  <si>
    <t>16.1055</t>
  </si>
  <si>
    <t>338.2155</t>
  </si>
  <si>
    <t>322.11</t>
  </si>
  <si>
    <t>181-82-6255</t>
  </si>
  <si>
    <t>16.37</t>
  </si>
  <si>
    <t>4.911</t>
  </si>
  <si>
    <t>103.131</t>
  </si>
  <si>
    <t>10:58:00 AM</t>
  </si>
  <si>
    <t>98.22</t>
  </si>
  <si>
    <t>838-02-1821</t>
  </si>
  <si>
    <t>12.73</t>
  </si>
  <si>
    <t>1.273</t>
  </si>
  <si>
    <t>26.733</t>
  </si>
  <si>
    <t>25.46</t>
  </si>
  <si>
    <t>887-42-0517</t>
  </si>
  <si>
    <t>83.14</t>
  </si>
  <si>
    <t>29.099</t>
  </si>
  <si>
    <t>611.079</t>
  </si>
  <si>
    <t>581.98</t>
  </si>
  <si>
    <t>457-12-0244</t>
  </si>
  <si>
    <t>35.22</t>
  </si>
  <si>
    <t>10.566</t>
  </si>
  <si>
    <t>221.886</t>
  </si>
  <si>
    <t>1:49:00 PM</t>
  </si>
  <si>
    <t>211.32</t>
  </si>
  <si>
    <t>226-34-0034</t>
  </si>
  <si>
    <t>13.78</t>
  </si>
  <si>
    <t>2.756</t>
  </si>
  <si>
    <t>57.876</t>
  </si>
  <si>
    <t>11:10:00 AM</t>
  </si>
  <si>
    <t>55.12</t>
  </si>
  <si>
    <t>321-49-7382</t>
  </si>
  <si>
    <t>88.31</t>
  </si>
  <si>
    <t>4.4155</t>
  </si>
  <si>
    <t>92.7255</t>
  </si>
  <si>
    <t>397-25-8725</t>
  </si>
  <si>
    <t>17.829</t>
  </si>
  <si>
    <t>374.409</t>
  </si>
  <si>
    <t>356.58</t>
  </si>
  <si>
    <t>431-66-2305</t>
  </si>
  <si>
    <t>88.25</t>
  </si>
  <si>
    <t>39.7125</t>
  </si>
  <si>
    <t>833.9625</t>
  </si>
  <si>
    <t>794.25</t>
  </si>
  <si>
    <t>825-94-5922</t>
  </si>
  <si>
    <t>25.31</t>
  </si>
  <si>
    <t>2.531</t>
  </si>
  <si>
    <t>53.151</t>
  </si>
  <si>
    <t>50.62</t>
  </si>
  <si>
    <t>641-62-7288</t>
  </si>
  <si>
    <t>99.92</t>
  </si>
  <si>
    <t>29.976</t>
  </si>
  <si>
    <t>629.496</t>
  </si>
  <si>
    <t>1:33:00 PM</t>
  </si>
  <si>
    <t>599.52</t>
  </si>
  <si>
    <t>756-93-1854</t>
  </si>
  <si>
    <t>83.35</t>
  </si>
  <si>
    <t>8.335</t>
  </si>
  <si>
    <t>175.035</t>
  </si>
  <si>
    <t>2:05:00 PM</t>
  </si>
  <si>
    <t>166.7</t>
  </si>
  <si>
    <t>243-55-8457</t>
  </si>
  <si>
    <t>74.44</t>
  </si>
  <si>
    <t>37.22</t>
  </si>
  <si>
    <t>781.62</t>
  </si>
  <si>
    <t>744.4</t>
  </si>
  <si>
    <t>458-10-8612</t>
  </si>
  <si>
    <t>501-61-1753</t>
  </si>
  <si>
    <t>63.15</t>
  </si>
  <si>
    <t>18.945</t>
  </si>
  <si>
    <t>397.845</t>
  </si>
  <si>
    <t>378.9</t>
  </si>
  <si>
    <t>235-06-8510</t>
  </si>
  <si>
    <t>85.72</t>
  </si>
  <si>
    <t>12.858</t>
  </si>
  <si>
    <t>270.018</t>
  </si>
  <si>
    <t>257.16</t>
  </si>
  <si>
    <t>433-08-7822</t>
  </si>
  <si>
    <t>78.89</t>
  </si>
  <si>
    <t>27.6115</t>
  </si>
  <si>
    <t>579.8415</t>
  </si>
  <si>
    <t>552.23</t>
  </si>
  <si>
    <t>361-85-2571</t>
  </si>
  <si>
    <t>22.37</t>
  </si>
  <si>
    <t>469.77</t>
  </si>
  <si>
    <t>447.4</t>
  </si>
  <si>
    <t>131-70-8179</t>
  </si>
  <si>
    <t>92.09</t>
  </si>
  <si>
    <t>13.8135</t>
  </si>
  <si>
    <t>290.0835</t>
  </si>
  <si>
    <t>4:27:00 PM</t>
  </si>
  <si>
    <t>276.27</t>
  </si>
  <si>
    <t>500-02-2261</t>
  </si>
  <si>
    <t>57.29</t>
  </si>
  <si>
    <t>17.187</t>
  </si>
  <si>
    <t>360.927</t>
  </si>
  <si>
    <t>343.74</t>
  </si>
  <si>
    <t>720-72-2436</t>
  </si>
  <si>
    <t>66.52</t>
  </si>
  <si>
    <t>13.304</t>
  </si>
  <si>
    <t>279.384</t>
  </si>
  <si>
    <t>266.08</t>
  </si>
  <si>
    <t>702-83-5291</t>
  </si>
  <si>
    <t>44.919</t>
  </si>
  <si>
    <t>943.299</t>
  </si>
  <si>
    <t>898.38</t>
  </si>
  <si>
    <t>809-69-9497</t>
  </si>
  <si>
    <t>45.68</t>
  </si>
  <si>
    <t>22.84</t>
  </si>
  <si>
    <t>479.64</t>
  </si>
  <si>
    <t>456.8</t>
  </si>
  <si>
    <t>449-16-6770</t>
  </si>
  <si>
    <t>50.79</t>
  </si>
  <si>
    <t>12.6975</t>
  </si>
  <si>
    <t>266.6475</t>
  </si>
  <si>
    <t>253.95</t>
  </si>
  <si>
    <t>333-23-2632</t>
  </si>
  <si>
    <t>10.08</t>
  </si>
  <si>
    <t>3.528</t>
  </si>
  <si>
    <t>74.088</t>
  </si>
  <si>
    <t>70.56</t>
  </si>
  <si>
    <t>489-82-1237</t>
  </si>
  <si>
    <t>93.88</t>
  </si>
  <si>
    <t>32.858</t>
  </si>
  <si>
    <t>690.018</t>
  </si>
  <si>
    <t>657.16</t>
  </si>
  <si>
    <t>859-97-6048</t>
  </si>
  <si>
    <t>84.25</t>
  </si>
  <si>
    <t>8.425</t>
  </si>
  <si>
    <t>176.925</t>
  </si>
  <si>
    <t>168.5</t>
  </si>
  <si>
    <t>676-10-2200</t>
  </si>
  <si>
    <t>53.78</t>
  </si>
  <si>
    <t>2.689</t>
  </si>
  <si>
    <t>56.469</t>
  </si>
  <si>
    <t>373-88-1424</t>
  </si>
  <si>
    <t>35.81</t>
  </si>
  <si>
    <t>8.9525</t>
  </si>
  <si>
    <t>188.0025</t>
  </si>
  <si>
    <t>179.05</t>
  </si>
  <si>
    <t>365-16-4334</t>
  </si>
  <si>
    <t>26.43</t>
  </si>
  <si>
    <t>10.572</t>
  </si>
  <si>
    <t>222.012</t>
  </si>
  <si>
    <t>211.44</t>
  </si>
  <si>
    <t>503-21-4385</t>
  </si>
  <si>
    <t>39.91</t>
  </si>
  <si>
    <t>5.9865</t>
  </si>
  <si>
    <t>125.7165</t>
  </si>
  <si>
    <t>119.73</t>
  </si>
  <si>
    <t>305-89-2768</t>
  </si>
  <si>
    <t>21.9</t>
  </si>
  <si>
    <t>3.285</t>
  </si>
  <si>
    <t>68.985</t>
  </si>
  <si>
    <t>65.7</t>
  </si>
  <si>
    <t>574-80-1489</t>
  </si>
  <si>
    <t>62.85</t>
  </si>
  <si>
    <t>784-08-0310</t>
  </si>
  <si>
    <t>21.04</t>
  </si>
  <si>
    <t>4.208</t>
  </si>
  <si>
    <t>88.368</t>
  </si>
  <si>
    <t>84.16</t>
  </si>
  <si>
    <t>200-40-6154</t>
  </si>
  <si>
    <t>65.91</t>
  </si>
  <si>
    <t>19.773</t>
  </si>
  <si>
    <t>415.233</t>
  </si>
  <si>
    <t>395.46</t>
  </si>
  <si>
    <t>846-10-0341</t>
  </si>
  <si>
    <t>14.8995</t>
  </si>
  <si>
    <t>312.8895</t>
  </si>
  <si>
    <t>297.99</t>
  </si>
  <si>
    <t>577-34-7579</t>
  </si>
  <si>
    <t>50.49</t>
  </si>
  <si>
    <t>22.7205</t>
  </si>
  <si>
    <t>477.1305</t>
  </si>
  <si>
    <t>454.41</t>
  </si>
  <si>
    <t>430-02-3888</t>
  </si>
  <si>
    <t>46.02</t>
  </si>
  <si>
    <t>13.806</t>
  </si>
  <si>
    <t>289.926</t>
  </si>
  <si>
    <t>276.12</t>
  </si>
  <si>
    <t>867-47-1948</t>
  </si>
  <si>
    <t>15.8</t>
  </si>
  <si>
    <t>165.9</t>
  </si>
  <si>
    <t>158</t>
  </si>
  <si>
    <t>384-59-6655</t>
  </si>
  <si>
    <t>98.66</t>
  </si>
  <si>
    <t>44.397</t>
  </si>
  <si>
    <t>932.337</t>
  </si>
  <si>
    <t>887.94</t>
  </si>
  <si>
    <t>256-58-3609</t>
  </si>
  <si>
    <t>91.98</t>
  </si>
  <si>
    <t>4.599</t>
  </si>
  <si>
    <t>96.579</t>
  </si>
  <si>
    <t>324-92-3863</t>
  </si>
  <si>
    <t>20.89</t>
  </si>
  <si>
    <t>2.089</t>
  </si>
  <si>
    <t>43.869</t>
  </si>
  <si>
    <t>41.78</t>
  </si>
  <si>
    <t>593-08-5916</t>
  </si>
  <si>
    <t>0.775</t>
  </si>
  <si>
    <t>16.275</t>
  </si>
  <si>
    <t>3:23:00 PM</t>
  </si>
  <si>
    <t>364-34-2972</t>
  </si>
  <si>
    <t>96.82</t>
  </si>
  <si>
    <t>14.523</t>
  </si>
  <si>
    <t>304.983</t>
  </si>
  <si>
    <t>290.46</t>
  </si>
  <si>
    <t>794-42-3736</t>
  </si>
  <si>
    <t>33.33</t>
  </si>
  <si>
    <t>3.333</t>
  </si>
  <si>
    <t>69.993</t>
  </si>
  <si>
    <t>66.66</t>
  </si>
  <si>
    <t>172-42-8274</t>
  </si>
  <si>
    <t>38.27</t>
  </si>
  <si>
    <t>3.827</t>
  </si>
  <si>
    <t>80.367</t>
  </si>
  <si>
    <t>6:18:00 PM</t>
  </si>
  <si>
    <t>76.54</t>
  </si>
  <si>
    <t>558-60-5016</t>
  </si>
  <si>
    <t>33.3</t>
  </si>
  <si>
    <t>14.985</t>
  </si>
  <si>
    <t>314.685</t>
  </si>
  <si>
    <t>299.7</t>
  </si>
  <si>
    <t>195-06-0432</t>
  </si>
  <si>
    <t>81.01</t>
  </si>
  <si>
    <t>12.1515</t>
  </si>
  <si>
    <t>255.1815</t>
  </si>
  <si>
    <t>243.03</t>
  </si>
  <si>
    <t>605-03-2706</t>
  </si>
  <si>
    <t>2.37</t>
  </si>
  <si>
    <t>49.77</t>
  </si>
  <si>
    <t>47.4</t>
  </si>
  <si>
    <t>214-30-2776</t>
  </si>
  <si>
    <t>34.49</t>
  </si>
  <si>
    <t>8.6225</t>
  </si>
  <si>
    <t>181.0725</t>
  </si>
  <si>
    <t>172.45</t>
  </si>
  <si>
    <t>746-04-1077</t>
  </si>
  <si>
    <t>42.315</t>
  </si>
  <si>
    <t>888.615</t>
  </si>
  <si>
    <t>846.3</t>
  </si>
  <si>
    <t>448-34-8700</t>
  </si>
  <si>
    <t>36.91</t>
  </si>
  <si>
    <t>12.9185</t>
  </si>
  <si>
    <t>271.2885</t>
  </si>
  <si>
    <t>258.37</t>
  </si>
  <si>
    <t>452-04-8808</t>
  </si>
  <si>
    <t>87.08</t>
  </si>
  <si>
    <t>30.478</t>
  </si>
  <si>
    <t>640.038</t>
  </si>
  <si>
    <t>3:17:00 PM</t>
  </si>
  <si>
    <t>609.56</t>
  </si>
  <si>
    <t>531-56-4728</t>
  </si>
  <si>
    <t>80.08</t>
  </si>
  <si>
    <t>12.012</t>
  </si>
  <si>
    <t>252.252</t>
  </si>
  <si>
    <t>240.24</t>
  </si>
  <si>
    <t>744-82-9138</t>
  </si>
  <si>
    <t>86.13</t>
  </si>
  <si>
    <t>8.613</t>
  </si>
  <si>
    <t>180.873</t>
  </si>
  <si>
    <t>172.26</t>
  </si>
  <si>
    <t>883-69-1285</t>
  </si>
  <si>
    <t>49.92</t>
  </si>
  <si>
    <t>4.992</t>
  </si>
  <si>
    <t>104.832</t>
  </si>
  <si>
    <t>99.84</t>
  </si>
  <si>
    <t>221-25-5073</t>
  </si>
  <si>
    <t>74.66</t>
  </si>
  <si>
    <t>14.932</t>
  </si>
  <si>
    <t>313.572</t>
  </si>
  <si>
    <t>298.64</t>
  </si>
  <si>
    <t>518-71-6847</t>
  </si>
  <si>
    <t>26.6</t>
  </si>
  <si>
    <t>7.98</t>
  </si>
  <si>
    <t>167.58</t>
  </si>
  <si>
    <t>159.6</t>
  </si>
  <si>
    <t>156-20-0370</t>
  </si>
  <si>
    <t>25.45</t>
  </si>
  <si>
    <t>1.2725</t>
  </si>
  <si>
    <t>26.7225</t>
  </si>
  <si>
    <t>151-33-7434</t>
  </si>
  <si>
    <t>67.77</t>
  </si>
  <si>
    <t>3.3885</t>
  </si>
  <si>
    <t>71.1585</t>
  </si>
  <si>
    <t>728-47-9078</t>
  </si>
  <si>
    <t>59.59</t>
  </si>
  <si>
    <t>11.918</t>
  </si>
  <si>
    <t>250.278</t>
  </si>
  <si>
    <t>238.36</t>
  </si>
  <si>
    <t>809-46-1866</t>
  </si>
  <si>
    <t>58.15</t>
  </si>
  <si>
    <t>11.63</t>
  </si>
  <si>
    <t>244.23</t>
  </si>
  <si>
    <t>232.6</t>
  </si>
  <si>
    <t>139-32-4183</t>
  </si>
  <si>
    <t>97.48</t>
  </si>
  <si>
    <t>43.866</t>
  </si>
  <si>
    <t>921.186</t>
  </si>
  <si>
    <t>877.32</t>
  </si>
  <si>
    <t>148-41-7930</t>
  </si>
  <si>
    <t>34.986</t>
  </si>
  <si>
    <t>734.706</t>
  </si>
  <si>
    <t>699.72</t>
  </si>
  <si>
    <t>189-40-5216</t>
  </si>
  <si>
    <t>96.37</t>
  </si>
  <si>
    <t>33.7295</t>
  </si>
  <si>
    <t>708.3195</t>
  </si>
  <si>
    <t>674.59</t>
  </si>
  <si>
    <t>374-38-5555</t>
  </si>
  <si>
    <t>63.71</t>
  </si>
  <si>
    <t>15.9275</t>
  </si>
  <si>
    <t>334.4775</t>
  </si>
  <si>
    <t>318.55</t>
  </si>
  <si>
    <t>764-44-8999</t>
  </si>
  <si>
    <t>14.76</t>
  </si>
  <si>
    <t>1.476</t>
  </si>
  <si>
    <t>30.996</t>
  </si>
  <si>
    <t>29.52</t>
  </si>
  <si>
    <t>552-44-5977</t>
  </si>
  <si>
    <t>62</t>
  </si>
  <si>
    <t>24.8</t>
  </si>
  <si>
    <t>520.8</t>
  </si>
  <si>
    <t>496</t>
  </si>
  <si>
    <t>267-62-7380</t>
  </si>
  <si>
    <t>82.34</t>
  </si>
  <si>
    <t>41.17</t>
  </si>
  <si>
    <t>864.57</t>
  </si>
  <si>
    <t>7:12:00 PM</t>
  </si>
  <si>
    <t>823.4</t>
  </si>
  <si>
    <t>430-53-4718</t>
  </si>
  <si>
    <t>75.37</t>
  </si>
  <si>
    <t>30.148</t>
  </si>
  <si>
    <t>633.108</t>
  </si>
  <si>
    <t>602.96</t>
  </si>
  <si>
    <t>886-18-2897</t>
  </si>
  <si>
    <t>56.56</t>
  </si>
  <si>
    <t>14.14</t>
  </si>
  <si>
    <t>296.94</t>
  </si>
  <si>
    <t>282.8</t>
  </si>
  <si>
    <t>602-16-6955</t>
  </si>
  <si>
    <t>76.6</t>
  </si>
  <si>
    <t>804.3</t>
  </si>
  <si>
    <t>766</t>
  </si>
  <si>
    <t>745-74-0715</t>
  </si>
  <si>
    <t>58.03</t>
  </si>
  <si>
    <t>5.803</t>
  </si>
  <si>
    <t>121.863</t>
  </si>
  <si>
    <t>116.06</t>
  </si>
  <si>
    <t>690-01-6631</t>
  </si>
  <si>
    <t>17.49</t>
  </si>
  <si>
    <t>8.745</t>
  </si>
  <si>
    <t>183.645</t>
  </si>
  <si>
    <t>174.9</t>
  </si>
  <si>
    <t>652-49-6720</t>
  </si>
  <si>
    <t>3.0475</t>
  </si>
  <si>
    <t>63.9975</t>
  </si>
  <si>
    <t>233-67-5758</t>
  </si>
  <si>
    <t>40.35</t>
  </si>
  <si>
    <t>2.0175</t>
  </si>
  <si>
    <t>42.3675</t>
  </si>
  <si>
    <t>303-96-2227</t>
  </si>
  <si>
    <t>97.38</t>
  </si>
  <si>
    <t>48.69</t>
  </si>
  <si>
    <t>1022.49</t>
  </si>
  <si>
    <t>973.8</t>
  </si>
  <si>
    <t>727-02-1313</t>
  </si>
  <si>
    <t>31.84</t>
  </si>
  <si>
    <t>1.592</t>
  </si>
  <si>
    <t>33.432</t>
  </si>
  <si>
    <t>347-56-2442</t>
  </si>
  <si>
    <t>65.82</t>
  </si>
  <si>
    <t>3.291</t>
  </si>
  <si>
    <t>69.111</t>
  </si>
  <si>
    <t>849-09-3807</t>
  </si>
  <si>
    <t>88.34</t>
  </si>
  <si>
    <t>30.919</t>
  </si>
  <si>
    <t>649.299</t>
  </si>
  <si>
    <t>618.38</t>
  </si>
  <si>
    <t>Invoice_ID</t>
  </si>
  <si>
    <t>Column2</t>
  </si>
  <si>
    <t>Column3</t>
  </si>
  <si>
    <t>Month</t>
  </si>
  <si>
    <t>Month Number</t>
  </si>
  <si>
    <t>Order Size</t>
  </si>
  <si>
    <t>Order Status</t>
  </si>
  <si>
    <t>Metric</t>
  </si>
  <si>
    <t>Value</t>
  </si>
  <si>
    <t>_22</t>
  </si>
  <si>
    <t>Total Sales</t>
  </si>
  <si>
    <t>Total Quantity</t>
  </si>
  <si>
    <t>Total COGS</t>
  </si>
  <si>
    <t>Total Gross Income</t>
  </si>
  <si>
    <t>Average Rating</t>
  </si>
  <si>
    <t>January</t>
  </si>
  <si>
    <t>February</t>
  </si>
  <si>
    <t>March</t>
  </si>
  <si>
    <t>Number of Orders</t>
  </si>
  <si>
    <t>Standard</t>
  </si>
  <si>
    <t>High Value</t>
  </si>
  <si>
    <t>Product Line</t>
  </si>
  <si>
    <t>Total Profit</t>
  </si>
  <si>
    <t>Profit %</t>
  </si>
  <si>
    <t>MONTHLY SALES PERFORMANCE</t>
  </si>
  <si>
    <t>TOP 10 PRODUCTS BY SALES</t>
  </si>
  <si>
    <t>SALES BY PAYMENT METHOD</t>
  </si>
  <si>
    <t>Count of Invoice_ID</t>
  </si>
  <si>
    <t>Row Labels</t>
  </si>
  <si>
    <t>Sum of Sales</t>
  </si>
  <si>
    <t>Transactions</t>
  </si>
  <si>
    <t>Grand Total</t>
  </si>
  <si>
    <t>PRODUCT LINE PERFORMANCE</t>
  </si>
  <si>
    <t>KPI PIVOT_CHARTS</t>
  </si>
  <si>
    <t>TOP 10 ORDERS BY SALES</t>
  </si>
  <si>
    <t>Sum of cogs</t>
  </si>
  <si>
    <t>Sum of Quantity</t>
  </si>
  <si>
    <t>Count of Product line</t>
  </si>
  <si>
    <t>Sum of gross income</t>
  </si>
  <si>
    <t>Average of Rating</t>
  </si>
  <si>
    <t>BRANCH PERFORMANCE</t>
  </si>
  <si>
    <t>SUPERMARKET SALES ANALYTICS DASHBOARD</t>
  </si>
  <si>
    <t>TOTAL SALES</t>
  </si>
  <si>
    <t>TOTAL PROFIT</t>
  </si>
  <si>
    <t>TOTAL QUANTITY</t>
  </si>
  <si>
    <t>TOTAL COGS</t>
  </si>
  <si>
    <t>TOTAL GROSS INCOME</t>
  </si>
  <si>
    <t>AVERAGE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</si>
</sst>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1009]#,##0.00"/>
    <numFmt numFmtId="166" formatCode="0.0"/>
  </numFmts>
  <fonts count="11">
    <font>
      <sz val="11"/>
      <color theme="1"/>
      <name val="Calibri"/>
      <family val="2"/>
      <scheme val="minor"/>
    </font>
    <font>
      <sz val="8"/>
      <name val="Calibri"/>
      <family val="2"/>
      <scheme val="minor"/>
    </font>
    <font>
      <b/>
      <sz val="11"/>
      <color theme="1"/>
      <name val="Calibri"/>
      <family val="2"/>
      <scheme val="minor"/>
    </font>
    <font>
      <b/>
      <sz val="12"/>
      <color theme="1"/>
      <name val="Arial Black"/>
      <family val="2"/>
    </font>
    <font>
      <sz val="14"/>
      <color theme="1"/>
      <name val="Arial Black"/>
      <family val="2"/>
    </font>
    <font>
      <sz val="12"/>
      <color theme="1"/>
      <name val="Arial Black"/>
      <family val="2"/>
    </font>
    <font>
      <b/>
      <sz val="18"/>
      <color theme="1"/>
      <name val="Calibri"/>
      <family val="2"/>
      <scheme val="minor"/>
    </font>
    <font>
      <b/>
      <sz val="14"/>
      <color theme="1"/>
      <name val="Calibri"/>
      <family val="2"/>
      <scheme val="minor"/>
    </font>
    <font>
      <b/>
      <sz val="14"/>
      <color theme="1"/>
      <name val="Arial Rounded MT Bold"/>
      <family val="2"/>
    </font>
    <font>
      <b/>
      <sz val="12"/>
      <color theme="1"/>
      <name val="Calibri"/>
      <family val="2"/>
      <scheme val="minor"/>
    </font>
    <font>
      <b/>
      <sz val="18"/>
      <color theme="1"/>
      <name val="Algerian"/>
      <family val="5"/>
    </font>
  </fonts>
  <fills count="16">
    <fill>
      <patternFill patternType="none"/>
    </fill>
    <fill>
      <patternFill patternType="gray125"/>
    </fill>
    <fill>
      <patternFill patternType="solid">
        <fgColor rgb="FFFFFF00"/>
        <bgColor indexed="64"/>
      </patternFill>
    </fill>
    <fill>
      <patternFill patternType="solid">
        <fgColor theme="5"/>
        <bgColor indexed="64"/>
      </patternFill>
    </fill>
    <fill>
      <patternFill patternType="solid">
        <fgColor theme="9" tint="-0.249977111117893"/>
        <bgColor indexed="64"/>
      </patternFill>
    </fill>
    <fill>
      <patternFill patternType="solid">
        <fgColor theme="0"/>
        <bgColor indexed="64"/>
      </patternFill>
    </fill>
    <fill>
      <patternFill patternType="solid">
        <fgColor theme="0"/>
        <bgColor theme="4" tint="0.79998168889431442"/>
      </patternFill>
    </fill>
    <fill>
      <patternFill patternType="solid">
        <fgColor rgb="FF92D050"/>
        <bgColor indexed="64"/>
      </patternFill>
    </fill>
    <fill>
      <patternFill patternType="solid">
        <fgColor rgb="FF00B050"/>
        <bgColor indexed="64"/>
      </patternFill>
    </fill>
    <fill>
      <patternFill patternType="solid">
        <fgColor rgb="FF00B0F0"/>
        <bgColor indexed="64"/>
      </patternFill>
    </fill>
    <fill>
      <patternFill patternType="solid">
        <fgColor rgb="FFFF0000"/>
        <bgColor indexed="64"/>
      </patternFill>
    </fill>
    <fill>
      <patternFill patternType="solid">
        <fgColor rgb="FFFFC000"/>
        <bgColor indexed="64"/>
      </patternFill>
    </fill>
    <fill>
      <patternFill patternType="solid">
        <fgColor theme="6" tint="-0.249977111117893"/>
        <bgColor indexed="64"/>
      </patternFill>
    </fill>
    <fill>
      <patternFill patternType="solid">
        <fgColor theme="4" tint="-0.249977111117893"/>
        <bgColor indexed="64"/>
      </patternFill>
    </fill>
    <fill>
      <patternFill patternType="solid">
        <fgColor theme="9" tint="0.59999389629810485"/>
        <bgColor indexed="64"/>
      </patternFill>
    </fill>
    <fill>
      <patternFill patternType="solid">
        <fgColor theme="9" tint="0.39997558519241921"/>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2">
    <xf numFmtId="0" fontId="0" fillId="0" borderId="0" xfId="0"/>
    <xf numFmtId="0" fontId="0" fillId="0" borderId="0" xfId="0" applyNumberFormat="1"/>
    <xf numFmtId="0" fontId="0" fillId="0" borderId="0" xfId="0" applyAlignment="1">
      <alignment horizontal="center"/>
    </xf>
    <xf numFmtId="0" fontId="0" fillId="0" borderId="0" xfId="0" applyNumberFormat="1" applyAlignment="1">
      <alignment horizontal="center"/>
    </xf>
    <xf numFmtId="164" fontId="0" fillId="0" borderId="0" xfId="0" applyNumberFormat="1" applyAlignment="1">
      <alignment horizontal="center"/>
    </xf>
    <xf numFmtId="14" fontId="0" fillId="0" borderId="0" xfId="0" applyNumberFormat="1" applyAlignment="1">
      <alignment horizontal="center"/>
    </xf>
    <xf numFmtId="0" fontId="2" fillId="0" borderId="0" xfId="0" applyNumberFormat="1" applyFont="1"/>
    <xf numFmtId="0" fontId="0" fillId="0" borderId="0" xfId="0" pivotButton="1" applyAlignment="1">
      <alignment horizontal="center"/>
    </xf>
    <xf numFmtId="2" fontId="0" fillId="0" borderId="0" xfId="0" applyNumberFormat="1" applyAlignment="1">
      <alignment horizontal="center"/>
    </xf>
    <xf numFmtId="0" fontId="0" fillId="4" borderId="0" xfId="0" applyFill="1" applyAlignment="1">
      <alignment horizontal="center"/>
    </xf>
    <xf numFmtId="0" fontId="0" fillId="4" borderId="0" xfId="0" applyFill="1"/>
    <xf numFmtId="0" fontId="0" fillId="0" borderId="0" xfId="0" applyAlignment="1">
      <alignment horizontal="left"/>
    </xf>
    <xf numFmtId="0" fontId="0" fillId="5" borderId="2" xfId="0" applyFill="1" applyBorder="1" applyAlignment="1">
      <alignment horizontal="center"/>
    </xf>
    <xf numFmtId="0" fontId="2" fillId="6" borderId="2" xfId="0" applyFont="1" applyFill="1" applyBorder="1" applyAlignment="1">
      <alignment horizontal="center"/>
    </xf>
    <xf numFmtId="0" fontId="9" fillId="7" borderId="0" xfId="0" applyNumberFormat="1" applyFont="1" applyFill="1" applyAlignment="1">
      <alignment horizontal="center"/>
    </xf>
    <xf numFmtId="0" fontId="9" fillId="7" borderId="0" xfId="0" applyNumberFormat="1" applyFont="1" applyFill="1"/>
    <xf numFmtId="0" fontId="2" fillId="0" borderId="2" xfId="0" applyNumberFormat="1" applyFont="1" applyBorder="1" applyAlignment="1">
      <alignment horizontal="center"/>
    </xf>
    <xf numFmtId="0" fontId="2" fillId="0" borderId="0" xfId="0" applyNumberFormat="1" applyFont="1" applyAlignment="1">
      <alignment horizontal="center"/>
    </xf>
    <xf numFmtId="0" fontId="2" fillId="0" borderId="0" xfId="0" applyFont="1" applyAlignment="1">
      <alignment horizontal="center"/>
    </xf>
    <xf numFmtId="0" fontId="2" fillId="0" borderId="0" xfId="0" applyFont="1"/>
    <xf numFmtId="0" fontId="0" fillId="7" borderId="0" xfId="0" applyFill="1" applyAlignment="1">
      <alignment horizontal="center"/>
    </xf>
    <xf numFmtId="0" fontId="0" fillId="7" borderId="0" xfId="0" applyFill="1"/>
    <xf numFmtId="0" fontId="2" fillId="7" borderId="0" xfId="0" applyFont="1" applyFill="1" applyAlignment="1">
      <alignment horizontal="center"/>
    </xf>
    <xf numFmtId="0" fontId="2" fillId="7" borderId="0" xfId="0" applyFont="1" applyFill="1"/>
    <xf numFmtId="0" fontId="0" fillId="0" borderId="0" xfId="0" applyFont="1" applyAlignment="1">
      <alignment horizontal="center"/>
    </xf>
    <xf numFmtId="0" fontId="0" fillId="0" borderId="0" xfId="0" applyNumberFormat="1" applyFont="1" applyAlignment="1">
      <alignment horizontal="center"/>
    </xf>
    <xf numFmtId="0" fontId="7" fillId="8" borderId="0" xfId="0" applyFont="1" applyFill="1" applyAlignment="1">
      <alignment horizontal="center"/>
    </xf>
    <xf numFmtId="0" fontId="7" fillId="9" borderId="0" xfId="0" applyFont="1" applyFill="1" applyAlignment="1">
      <alignment horizontal="center"/>
    </xf>
    <xf numFmtId="0" fontId="9" fillId="10" borderId="0" xfId="0" applyFont="1" applyFill="1" applyAlignment="1">
      <alignment horizontal="center"/>
    </xf>
    <xf numFmtId="0" fontId="9" fillId="11" borderId="0" xfId="0" applyFont="1" applyFill="1" applyAlignment="1">
      <alignment horizontal="center"/>
    </xf>
    <xf numFmtId="0" fontId="7" fillId="12" borderId="0" xfId="0" applyFont="1" applyFill="1" applyAlignment="1">
      <alignment horizontal="center"/>
    </xf>
    <xf numFmtId="0" fontId="7" fillId="13" borderId="0" xfId="0" applyFont="1" applyFill="1" applyAlignment="1">
      <alignment horizontal="center"/>
    </xf>
    <xf numFmtId="165" fontId="6" fillId="14" borderId="0" xfId="0" applyNumberFormat="1" applyFont="1" applyFill="1" applyAlignment="1">
      <alignment horizontal="center"/>
    </xf>
    <xf numFmtId="165" fontId="6" fillId="15" borderId="0" xfId="0" applyNumberFormat="1" applyFont="1" applyFill="1" applyAlignment="1">
      <alignment horizontal="center"/>
    </xf>
    <xf numFmtId="3" fontId="6" fillId="15" borderId="0" xfId="0" applyNumberFormat="1" applyFont="1" applyFill="1" applyAlignment="1">
      <alignment horizontal="center"/>
    </xf>
    <xf numFmtId="166" fontId="6" fillId="14" borderId="0" xfId="0" applyNumberFormat="1" applyFont="1" applyFill="1" applyAlignment="1">
      <alignment horizontal="center"/>
    </xf>
    <xf numFmtId="0" fontId="10" fillId="2" borderId="0" xfId="0" applyFont="1" applyFill="1" applyAlignment="1">
      <alignment horizontal="center"/>
    </xf>
    <xf numFmtId="0" fontId="5" fillId="3" borderId="0" xfId="0" applyFont="1" applyFill="1" applyAlignment="1">
      <alignment horizontal="center"/>
    </xf>
    <xf numFmtId="0" fontId="8" fillId="3" borderId="0" xfId="0" applyFont="1" applyFill="1" applyAlignment="1">
      <alignment horizontal="center"/>
    </xf>
    <xf numFmtId="0" fontId="3" fillId="3" borderId="0" xfId="0" applyFont="1" applyFill="1" applyBorder="1" applyAlignment="1">
      <alignment horizontal="center"/>
    </xf>
    <xf numFmtId="0" fontId="3" fillId="3" borderId="1" xfId="0" applyFont="1" applyFill="1" applyBorder="1" applyAlignment="1">
      <alignment horizontal="center"/>
    </xf>
    <xf numFmtId="0" fontId="4" fillId="3" borderId="0" xfId="0" applyFont="1" applyFill="1" applyAlignment="1">
      <alignment horizontal="center"/>
    </xf>
  </cellXfs>
  <cellStyles count="1">
    <cellStyle name="Normal" xfId="0" builtinId="0"/>
  </cellStyles>
  <dxfs count="112">
    <dxf>
      <numFmt numFmtId="0" formatCode="General"/>
    </dxf>
    <dxf>
      <numFmt numFmtId="0" formatCode="General"/>
    </dxf>
    <dxf>
      <numFmt numFmtId="0" formatCode="General"/>
      <alignment horizontal="center" vertical="bottom" textRotation="0" wrapText="0" indent="0" justifyLastLine="0" shrinkToFit="0" readingOrder="0"/>
    </dxf>
    <dxf>
      <numFmt numFmtId="0" formatCode="General"/>
    </dxf>
    <dxf>
      <numFmt numFmtId="0" formatCode="Genera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F400]h:mm:ss\ AM/PM"/>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fill>
        <patternFill patternType="solid">
          <fgColor indexed="64"/>
          <bgColor rgb="FF92D050"/>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F400]h:mm:ss\ AM/PM"/>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fill>
        <patternFill patternType="solid">
          <fgColor indexed="64"/>
          <bgColor theme="9" tint="-0.249977111117893"/>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0"/>
      </font>
    </dxf>
    <dxf>
      <font>
        <b val="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0"/>
      </font>
    </dxf>
    <dxf>
      <font>
        <b val="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analysis.xlsx]Pivot_Analysis!PivotTable1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SALES CHARTS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Pivot_Analysis!$A$4:$A$5</c:f>
              <c:strCache>
                <c:ptCount val="1"/>
                <c:pt idx="0">
                  <c:v>February</c:v>
                </c:pt>
              </c:strCache>
            </c:strRef>
          </c:cat>
          <c:val>
            <c:numRef>
              <c:f>Pivot_Analysis!$B$4:$B$5</c:f>
              <c:numCache>
                <c:formatCode>General</c:formatCode>
                <c:ptCount val="1"/>
                <c:pt idx="0">
                  <c:v>29860.120499999997</c:v>
                </c:pt>
              </c:numCache>
            </c:numRef>
          </c:val>
          <c:extLst>
            <c:ext xmlns:c16="http://schemas.microsoft.com/office/drawing/2014/chart" uri="{C3380CC4-5D6E-409C-BE32-E72D297353CC}">
              <c16:uniqueId val="{00000000-D6B9-4DFB-96E3-3861AEBE54F1}"/>
            </c:ext>
          </c:extLst>
        </c:ser>
        <c:dLbls>
          <c:dLblPos val="inEnd"/>
          <c:showLegendKey val="0"/>
          <c:showVal val="1"/>
          <c:showCatName val="0"/>
          <c:showSerName val="0"/>
          <c:showPercent val="0"/>
          <c:showBubbleSize val="0"/>
        </c:dLbls>
        <c:gapWidth val="65"/>
        <c:axId val="1023478063"/>
        <c:axId val="1023476143"/>
      </c:barChart>
      <c:catAx>
        <c:axId val="10234780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23476143"/>
        <c:crosses val="autoZero"/>
        <c:auto val="1"/>
        <c:lblAlgn val="ctr"/>
        <c:lblOffset val="100"/>
        <c:noMultiLvlLbl val="0"/>
      </c:catAx>
      <c:valAx>
        <c:axId val="102347614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2347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analysis.xlsx]Pivot_Analysis!PivotTable2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BREAKDOWN BY PRODUCT LINE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pivotFmt>
    </c:pivotFmts>
    <c:plotArea>
      <c:layout/>
      <c:pieChart>
        <c:varyColors val="1"/>
        <c:ser>
          <c:idx val="0"/>
          <c:order val="0"/>
          <c:tx>
            <c:strRef>
              <c:f>Pivot_Analysis!$B$12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B2A-4FEA-AF8C-211D40F21E6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B2A-4FEA-AF8C-211D40F21E6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B2A-4FEA-AF8C-211D40F21E6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B2A-4FEA-AF8C-211D40F21E6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B2A-4FEA-AF8C-211D40F21E67}"/>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4B2A-4FEA-AF8C-211D40F21E67}"/>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1053-4D03-83D1-B34CBCD6891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Pivot_Analysis!$A$13:$A$19</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Pivot_Analysis!$B$13:$B$19</c:f>
              <c:numCache>
                <c:formatCode>General</c:formatCode>
                <c:ptCount val="6"/>
                <c:pt idx="0">
                  <c:v>5202.7710000000006</c:v>
                </c:pt>
                <c:pt idx="1">
                  <c:v>5173.6335000000008</c:v>
                </c:pt>
                <c:pt idx="2">
                  <c:v>7054.2255000000014</c:v>
                </c:pt>
                <c:pt idx="3">
                  <c:v>2915.4825000000001</c:v>
                </c:pt>
                <c:pt idx="4">
                  <c:v>4771.6305000000011</c:v>
                </c:pt>
                <c:pt idx="5">
                  <c:v>4742.3774999999996</c:v>
                </c:pt>
              </c:numCache>
            </c:numRef>
          </c:val>
          <c:extLst>
            <c:ext xmlns:c16="http://schemas.microsoft.com/office/drawing/2014/chart" uri="{C3380CC4-5D6E-409C-BE32-E72D297353CC}">
              <c16:uniqueId val="{0000000C-4B2A-4FEA-AF8C-211D40F21E6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analysis.xlsx]Pivot_Analysis!PivotTable3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PERFORMANCE BY BRANCH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Pivot_Analysis!$B$24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Pivot_Analysis!$A$25:$A$26</c:f>
              <c:strCache>
                <c:ptCount val="1"/>
                <c:pt idx="0">
                  <c:v>Alex</c:v>
                </c:pt>
              </c:strCache>
            </c:strRef>
          </c:cat>
          <c:val>
            <c:numRef>
              <c:f>Pivot_Analysis!$B$25:$B$26</c:f>
              <c:numCache>
                <c:formatCode>General</c:formatCode>
                <c:ptCount val="1"/>
                <c:pt idx="0">
                  <c:v>29860.120499999997</c:v>
                </c:pt>
              </c:numCache>
            </c:numRef>
          </c:val>
          <c:extLst>
            <c:ext xmlns:c16="http://schemas.microsoft.com/office/drawing/2014/chart" uri="{C3380CC4-5D6E-409C-BE32-E72D297353CC}">
              <c16:uniqueId val="{00000000-F9CF-4545-AAF0-FA72D53E87A1}"/>
            </c:ext>
          </c:extLst>
        </c:ser>
        <c:dLbls>
          <c:dLblPos val="inEnd"/>
          <c:showLegendKey val="0"/>
          <c:showVal val="1"/>
          <c:showCatName val="0"/>
          <c:showSerName val="0"/>
          <c:showPercent val="0"/>
          <c:showBubbleSize val="0"/>
        </c:dLbls>
        <c:gapWidth val="65"/>
        <c:axId val="678535311"/>
        <c:axId val="678535791"/>
      </c:barChart>
      <c:catAx>
        <c:axId val="67853531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78535791"/>
        <c:crosses val="autoZero"/>
        <c:auto val="1"/>
        <c:lblAlgn val="ctr"/>
        <c:lblOffset val="100"/>
        <c:noMultiLvlLbl val="0"/>
      </c:catAx>
      <c:valAx>
        <c:axId val="67853579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78535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analysis.xlsx]Pivot_Analysis!PivotTable4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TREND BY PRODUCT LINE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Pivot_Analysis!$E$3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Pivot_Analysis!$D$4:$D$10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Pivot_Analysis!$E$4:$E$10</c:f>
              <c:numCache>
                <c:formatCode>General</c:formatCode>
                <c:ptCount val="6"/>
                <c:pt idx="0">
                  <c:v>5202.7710000000006</c:v>
                </c:pt>
                <c:pt idx="1">
                  <c:v>5173.6335000000008</c:v>
                </c:pt>
                <c:pt idx="2">
                  <c:v>7054.2255000000014</c:v>
                </c:pt>
                <c:pt idx="3">
                  <c:v>2915.4825000000001</c:v>
                </c:pt>
                <c:pt idx="4">
                  <c:v>4771.6305000000011</c:v>
                </c:pt>
                <c:pt idx="5">
                  <c:v>4742.3774999999996</c:v>
                </c:pt>
              </c:numCache>
            </c:numRef>
          </c:val>
          <c:smooth val="0"/>
          <c:extLst>
            <c:ext xmlns:c16="http://schemas.microsoft.com/office/drawing/2014/chart" uri="{C3380CC4-5D6E-409C-BE32-E72D297353CC}">
              <c16:uniqueId val="{00000000-4E44-4491-8C5F-EDC191046535}"/>
            </c:ext>
          </c:extLst>
        </c:ser>
        <c:dLbls>
          <c:dLblPos val="ctr"/>
          <c:showLegendKey val="0"/>
          <c:showVal val="1"/>
          <c:showCatName val="0"/>
          <c:showSerName val="0"/>
          <c:showPercent val="0"/>
          <c:showBubbleSize val="0"/>
        </c:dLbls>
        <c:marker val="1"/>
        <c:smooth val="0"/>
        <c:axId val="1099231791"/>
        <c:axId val="1099233231"/>
      </c:lineChart>
      <c:catAx>
        <c:axId val="10992317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99233231"/>
        <c:crosses val="autoZero"/>
        <c:auto val="1"/>
        <c:lblAlgn val="ctr"/>
        <c:lblOffset val="100"/>
        <c:noMultiLvlLbl val="0"/>
      </c:catAx>
      <c:valAx>
        <c:axId val="10992332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9923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analysis.xlsx]Pivot_Analysis!PivotTable5</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INVOICES SALES BREAK</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Pivot_Analysis!$E$15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Pivot_Analysis!$D$16:$D$26</c:f>
              <c:strCache>
                <c:ptCount val="10"/>
                <c:pt idx="0">
                  <c:v>135-84-8019</c:v>
                </c:pt>
                <c:pt idx="1">
                  <c:v>243-55-8457</c:v>
                </c:pt>
                <c:pt idx="2">
                  <c:v>384-59-6655</c:v>
                </c:pt>
                <c:pt idx="3">
                  <c:v>453-33-6436</c:v>
                </c:pt>
                <c:pt idx="4">
                  <c:v>635-40-6220</c:v>
                </c:pt>
                <c:pt idx="5">
                  <c:v>638-60-7125</c:v>
                </c:pt>
                <c:pt idx="6">
                  <c:v>687-47-8271</c:v>
                </c:pt>
                <c:pt idx="7">
                  <c:v>742-04-5161</c:v>
                </c:pt>
                <c:pt idx="8">
                  <c:v>803-17-8013</c:v>
                </c:pt>
                <c:pt idx="9">
                  <c:v>827-77-7633</c:v>
                </c:pt>
              </c:strCache>
            </c:strRef>
          </c:cat>
          <c:val>
            <c:numRef>
              <c:f>Pivot_Analysis!$E$16:$E$26</c:f>
              <c:numCache>
                <c:formatCode>General</c:formatCode>
                <c:ptCount val="10"/>
                <c:pt idx="0">
                  <c:v>736.43849999999998</c:v>
                </c:pt>
                <c:pt idx="1">
                  <c:v>781.62</c:v>
                </c:pt>
                <c:pt idx="2">
                  <c:v>932.33699999999999</c:v>
                </c:pt>
                <c:pt idx="3">
                  <c:v>782.20799999999997</c:v>
                </c:pt>
                <c:pt idx="4">
                  <c:v>752.64</c:v>
                </c:pt>
                <c:pt idx="5">
                  <c:v>836.30399999999997</c:v>
                </c:pt>
                <c:pt idx="6">
                  <c:v>1039.29</c:v>
                </c:pt>
                <c:pt idx="7">
                  <c:v>764.19</c:v>
                </c:pt>
                <c:pt idx="8">
                  <c:v>745.83600000000001</c:v>
                </c:pt>
                <c:pt idx="9">
                  <c:v>926.95050000000003</c:v>
                </c:pt>
              </c:numCache>
            </c:numRef>
          </c:val>
          <c:extLst>
            <c:ext xmlns:c16="http://schemas.microsoft.com/office/drawing/2014/chart" uri="{C3380CC4-5D6E-409C-BE32-E72D297353CC}">
              <c16:uniqueId val="{00000000-6879-47D3-8E38-D0A55130B699}"/>
            </c:ext>
          </c:extLst>
        </c:ser>
        <c:dLbls>
          <c:dLblPos val="inEnd"/>
          <c:showLegendKey val="0"/>
          <c:showVal val="1"/>
          <c:showCatName val="0"/>
          <c:showSerName val="0"/>
          <c:showPercent val="0"/>
          <c:showBubbleSize val="0"/>
        </c:dLbls>
        <c:gapWidth val="65"/>
        <c:axId val="1903777583"/>
        <c:axId val="1903776143"/>
      </c:barChart>
      <c:catAx>
        <c:axId val="190377758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03776143"/>
        <c:crosses val="autoZero"/>
        <c:auto val="1"/>
        <c:lblAlgn val="ctr"/>
        <c:lblOffset val="100"/>
        <c:noMultiLvlLbl val="0"/>
      </c:catAx>
      <c:valAx>
        <c:axId val="190377614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03777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analysis.xlsx]Pivot_Analysis!PivotTable6</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PAYMENT METHOD SHARE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pivotFmt>
    </c:pivotFmts>
    <c:plotArea>
      <c:layout/>
      <c:doughnutChart>
        <c:varyColors val="1"/>
        <c:ser>
          <c:idx val="0"/>
          <c:order val="0"/>
          <c:tx>
            <c:strRef>
              <c:f>Pivot_Analysis!$H$3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EE9-4CB9-9BFD-CEFECCD7B4A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EE9-4CB9-9BFD-CEFECCD7B4A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EE9-4CB9-9BFD-CEFECCD7B4A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97B-4734-8A6D-137E363850F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Pivot_Analysis!$G$4:$G$7</c:f>
              <c:strCache>
                <c:ptCount val="3"/>
                <c:pt idx="0">
                  <c:v>Cash</c:v>
                </c:pt>
                <c:pt idx="1">
                  <c:v>Credit card</c:v>
                </c:pt>
                <c:pt idx="2">
                  <c:v>Ewallet</c:v>
                </c:pt>
              </c:strCache>
            </c:strRef>
          </c:cat>
          <c:val>
            <c:numRef>
              <c:f>Pivot_Analysis!$H$4:$H$7</c:f>
              <c:numCache>
                <c:formatCode>General</c:formatCode>
                <c:ptCount val="3"/>
                <c:pt idx="0">
                  <c:v>32</c:v>
                </c:pt>
                <c:pt idx="1">
                  <c:v>28</c:v>
                </c:pt>
                <c:pt idx="2">
                  <c:v>34</c:v>
                </c:pt>
              </c:numCache>
            </c:numRef>
          </c:val>
          <c:extLst>
            <c:ext xmlns:c16="http://schemas.microsoft.com/office/drawing/2014/chart" uri="{C3380CC4-5D6E-409C-BE32-E72D297353CC}">
              <c16:uniqueId val="{00000006-0EE9-4CB9-9BFD-CEFECCD7B4A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10</xdr:row>
      <xdr:rowOff>175260</xdr:rowOff>
    </xdr:from>
    <xdr:to>
      <xdr:col>3</xdr:col>
      <xdr:colOff>472440</xdr:colOff>
      <xdr:row>23</xdr:row>
      <xdr:rowOff>129540</xdr:rowOff>
    </xdr:to>
    <xdr:graphicFrame macro="">
      <xdr:nvGraphicFramePr>
        <xdr:cNvPr id="3" name="Chart 2">
          <a:extLst>
            <a:ext uri="{FF2B5EF4-FFF2-40B4-BE49-F238E27FC236}">
              <a16:creationId xmlns:a16="http://schemas.microsoft.com/office/drawing/2014/main" id="{7BD640C0-884A-4B01-96FE-CEE301F032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495300</xdr:colOff>
      <xdr:row>11</xdr:row>
      <xdr:rowOff>0</xdr:rowOff>
    </xdr:from>
    <xdr:to>
      <xdr:col>5</xdr:col>
      <xdr:colOff>1173480</xdr:colOff>
      <xdr:row>23</xdr:row>
      <xdr:rowOff>129540</xdr:rowOff>
    </xdr:to>
    <xdr:graphicFrame macro="">
      <xdr:nvGraphicFramePr>
        <xdr:cNvPr id="4" name="Chart 3">
          <a:extLst>
            <a:ext uri="{FF2B5EF4-FFF2-40B4-BE49-F238E27FC236}">
              <a16:creationId xmlns:a16="http://schemas.microsoft.com/office/drawing/2014/main" id="{A4C6733D-7724-4A5D-89DB-838DA40606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1219200</xdr:colOff>
      <xdr:row>10</xdr:row>
      <xdr:rowOff>175260</xdr:rowOff>
    </xdr:from>
    <xdr:to>
      <xdr:col>8</xdr:col>
      <xdr:colOff>381000</xdr:colOff>
      <xdr:row>23</xdr:row>
      <xdr:rowOff>144780</xdr:rowOff>
    </xdr:to>
    <xdr:graphicFrame macro="">
      <xdr:nvGraphicFramePr>
        <xdr:cNvPr id="5" name="Chart 4">
          <a:extLst>
            <a:ext uri="{FF2B5EF4-FFF2-40B4-BE49-F238E27FC236}">
              <a16:creationId xmlns:a16="http://schemas.microsoft.com/office/drawing/2014/main" id="{D3FD2D05-1B64-41D6-95F0-E27410BB94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7620</xdr:colOff>
      <xdr:row>24</xdr:row>
      <xdr:rowOff>7620</xdr:rowOff>
    </xdr:from>
    <xdr:to>
      <xdr:col>3</xdr:col>
      <xdr:colOff>480060</xdr:colOff>
      <xdr:row>38</xdr:row>
      <xdr:rowOff>38100</xdr:rowOff>
    </xdr:to>
    <xdr:graphicFrame macro="">
      <xdr:nvGraphicFramePr>
        <xdr:cNvPr id="6" name="Chart 5">
          <a:extLst>
            <a:ext uri="{FF2B5EF4-FFF2-40B4-BE49-F238E27FC236}">
              <a16:creationId xmlns:a16="http://schemas.microsoft.com/office/drawing/2014/main" id="{19665892-9C42-4176-B48F-205C9663A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502920</xdr:colOff>
      <xdr:row>24</xdr:row>
      <xdr:rowOff>0</xdr:rowOff>
    </xdr:from>
    <xdr:to>
      <xdr:col>5</xdr:col>
      <xdr:colOff>1623060</xdr:colOff>
      <xdr:row>38</xdr:row>
      <xdr:rowOff>45720</xdr:rowOff>
    </xdr:to>
    <xdr:graphicFrame macro="">
      <xdr:nvGraphicFramePr>
        <xdr:cNvPr id="7" name="Chart 6">
          <a:extLst>
            <a:ext uri="{FF2B5EF4-FFF2-40B4-BE49-F238E27FC236}">
              <a16:creationId xmlns:a16="http://schemas.microsoft.com/office/drawing/2014/main" id="{73CA8724-536B-45B9-9E9D-9BF5ABA9D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1653540</xdr:colOff>
      <xdr:row>24</xdr:row>
      <xdr:rowOff>0</xdr:rowOff>
    </xdr:from>
    <xdr:to>
      <xdr:col>8</xdr:col>
      <xdr:colOff>388620</xdr:colOff>
      <xdr:row>38</xdr:row>
      <xdr:rowOff>53340</xdr:rowOff>
    </xdr:to>
    <xdr:graphicFrame macro="">
      <xdr:nvGraphicFramePr>
        <xdr:cNvPr id="8" name="Chart 7">
          <a:extLst>
            <a:ext uri="{FF2B5EF4-FFF2-40B4-BE49-F238E27FC236}">
              <a16:creationId xmlns:a16="http://schemas.microsoft.com/office/drawing/2014/main" id="{E742B000-BF65-42AC-A012-C4BC504E90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0</xdr:colOff>
      <xdr:row>3</xdr:row>
      <xdr:rowOff>38101</xdr:rowOff>
    </xdr:from>
    <xdr:to>
      <xdr:col>2</xdr:col>
      <xdr:colOff>1394460</xdr:colOff>
      <xdr:row>6</xdr:row>
      <xdr:rowOff>144780</xdr:rowOff>
    </xdr:to>
    <mc:AlternateContent xmlns:mc="http://schemas.openxmlformats.org/markup-compatibility/2006" xmlns:a14="http://schemas.microsoft.com/office/drawing/2010/main">
      <mc:Choice Requires="a14">
        <xdr:graphicFrame macro="">
          <xdr:nvGraphicFramePr>
            <xdr:cNvPr id="9" name="Branch">
              <a:extLst>
                <a:ext uri="{FF2B5EF4-FFF2-40B4-BE49-F238E27FC236}">
                  <a16:creationId xmlns:a16="http://schemas.microsoft.com/office/drawing/2014/main" id="{8A98EC3F-206A-4023-B489-DB3782D32B1C}"/>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373380" y="883921"/>
              <a:ext cx="3421380" cy="6553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1478280</xdr:colOff>
      <xdr:row>3</xdr:row>
      <xdr:rowOff>30480</xdr:rowOff>
    </xdr:from>
    <xdr:to>
      <xdr:col>8</xdr:col>
      <xdr:colOff>388620</xdr:colOff>
      <xdr:row>6</xdr:row>
      <xdr:rowOff>144780</xdr:rowOff>
    </xdr:to>
    <mc:AlternateContent xmlns:mc="http://schemas.openxmlformats.org/markup-compatibility/2006" xmlns:a14="http://schemas.microsoft.com/office/drawing/2010/main">
      <mc:Choice Requires="a14">
        <xdr:graphicFrame macro="">
          <xdr:nvGraphicFramePr>
            <xdr:cNvPr id="10" name="Product line">
              <a:extLst>
                <a:ext uri="{FF2B5EF4-FFF2-40B4-BE49-F238E27FC236}">
                  <a16:creationId xmlns:a16="http://schemas.microsoft.com/office/drawing/2014/main" id="{45D4CEC6-3FAE-469B-BE4B-B043DC6B5658}"/>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3878580" y="876300"/>
              <a:ext cx="8747760" cy="6629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7</xdr:row>
      <xdr:rowOff>22861</xdr:rowOff>
    </xdr:from>
    <xdr:to>
      <xdr:col>3</xdr:col>
      <xdr:colOff>1402080</xdr:colOff>
      <xdr:row>10</xdr:row>
      <xdr:rowOff>152400</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D1995942-E897-47E9-A589-0A42B8E0EAE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73380" y="1600201"/>
              <a:ext cx="5074920" cy="67817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1440180</xdr:colOff>
      <xdr:row>7</xdr:row>
      <xdr:rowOff>15241</xdr:rowOff>
    </xdr:from>
    <xdr:to>
      <xdr:col>8</xdr:col>
      <xdr:colOff>388620</xdr:colOff>
      <xdr:row>10</xdr:row>
      <xdr:rowOff>144780</xdr:rowOff>
    </xdr:to>
    <mc:AlternateContent xmlns:mc="http://schemas.openxmlformats.org/markup-compatibility/2006" xmlns:a14="http://schemas.microsoft.com/office/drawing/2010/main">
      <mc:Choice Requires="a14">
        <xdr:graphicFrame macro="">
          <xdr:nvGraphicFramePr>
            <xdr:cNvPr id="12" name="City">
              <a:extLst>
                <a:ext uri="{FF2B5EF4-FFF2-40B4-BE49-F238E27FC236}">
                  <a16:creationId xmlns:a16="http://schemas.microsoft.com/office/drawing/2014/main" id="{88C7BB13-2933-4DB9-BACC-4D55DA5BF62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486400" y="1592581"/>
              <a:ext cx="7139940" cy="67817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6.391038888891" createdVersion="8" refreshedVersion="8" minRefreshableVersion="3" recordCount="1001" xr:uid="{FA471CEF-EA4B-4D74-A81F-238D4242954B}">
  <cacheSource type="worksheet">
    <worksheetSource name="tbl_sales"/>
  </cacheSource>
  <cacheFields count="26">
    <cacheField name="Invoice_ID" numFmtId="0">
      <sharedItems containsBlank="1" count="1001">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788-07-8452"/>
        <s v="560-49-6611"/>
        <s v="880-35-0356"/>
        <s v="585-11-6748"/>
        <s v="470-31-3286"/>
        <s v="152-68-2907"/>
        <s v="123-35-4896"/>
        <s v="258-69-7810"/>
        <s v="334-64-2006"/>
        <s v="219-61-4139"/>
        <s v="881-41-7302"/>
        <s v="373-09-4567"/>
        <s v="642-30-6693"/>
        <s v="484-22-8230"/>
        <s v="830-58-2383"/>
        <s v="559-98-9873"/>
        <s v="544-32-5024"/>
        <s v="318-12-0304"/>
        <s v="349-97-8902"/>
        <s v="421-95-9805"/>
        <s v="277-35-5865"/>
        <s v="789-23-8625"/>
        <s v="284-54-4231"/>
        <s v="443-59-0061"/>
        <s v="509-29-3912"/>
        <s v="327-40-9673"/>
        <s v="840-19-2096"/>
        <s v="828-46-6863"/>
        <s v="641-96-3695"/>
        <s v="420-97-3340"/>
        <s v="436-54-4512"/>
        <s v="670-79-6321"/>
        <s v="852-62-7105"/>
        <s v="598-06-7312"/>
        <s v="135-13-8269"/>
        <s v="816-57-2053"/>
        <s v="628-90-8624"/>
        <s v="856-66-2701"/>
        <s v="308-39-1707"/>
        <s v="149-61-1929"/>
        <s v="655-07-2265"/>
        <s v="589-02-8023"/>
        <s v="420-04-7590"/>
        <s v="182-88-2763"/>
        <s v="188-55-0967"/>
        <s v="610-46-4100"/>
        <s v="318-81-2368"/>
        <s v="364-33-8584"/>
        <s v="665-63-9737"/>
        <s v="695-09-5146"/>
        <s v="155-45-3814"/>
        <s v="794-32-2436"/>
        <s v="131-15-8856"/>
        <s v="273-84-2164"/>
        <s v="706-36-6154"/>
        <s v="778-89-7974"/>
        <s v="574-31-8277"/>
        <s v="859-71-0933"/>
        <s v="740-11-5257"/>
        <s v="369-82-2676"/>
        <s v="563-47-4072"/>
        <s v="742-04-5161"/>
        <s v="149-15-7606"/>
        <s v="133-77-3154"/>
        <s v="169-52-4504"/>
        <s v="250-81-7186"/>
        <s v="562-12-5430"/>
        <s v="816-72-8853"/>
        <s v="491-38-3499"/>
        <s v="322-02-2271"/>
        <s v="842-29-4695"/>
        <s v="725-67-2480"/>
        <s v="641-51-2661"/>
        <s v="714-02-3114"/>
        <s v="518-17-2983"/>
        <s v="779-42-2410"/>
        <s v="190-14-3147"/>
        <s v="408-66-6712"/>
        <s v="679-22-6530"/>
        <s v="588-47-8641"/>
        <s v="642-61-4706"/>
        <s v="576-31-4774"/>
        <s v="556-41-6224"/>
        <s v="811-03-8790"/>
        <s v="242-11-3142"/>
        <s v="752-23-3760"/>
        <s v="274-05-5470"/>
        <s v="648-94-3045"/>
        <s v="130-67-4723"/>
        <s v="528-87-5606"/>
        <s v="320-85-2052"/>
        <s v="370-96-0655"/>
        <s v="105-10-6182"/>
        <s v="510-79-0415"/>
        <s v="241-96-5076"/>
        <s v="767-97-4650"/>
        <s v="648-83-1321"/>
        <s v="173-57-2300"/>
        <s v="305-03-2383"/>
        <s v="394-55-6384"/>
        <s v="266-20-6657"/>
        <s v="689-05-1884"/>
        <s v="196-01-2849"/>
        <s v="372-62-5264"/>
        <s v="800-09-8606"/>
        <s v="182-52-7000"/>
        <s v="826-58-8051"/>
        <s v="868-06-0466"/>
        <s v="751-41-9720"/>
        <s v="626-43-7888"/>
        <s v="176-64-7711"/>
        <s v="191-29-0321"/>
        <s v="729-06-2010"/>
        <s v="640-48-5028"/>
        <s v="186-79-9562"/>
        <s v="834-45-5519"/>
        <s v="162-65-8559"/>
        <s v="760-27-5490"/>
        <s v="445-30-9252"/>
        <s v="786-94-2700"/>
        <s v="728-88-7867"/>
        <s v="183-21-3799"/>
        <s v="268-20-3585"/>
        <s v="735-32-9839"/>
        <s v="258-92-7466"/>
        <s v="857-16-3520"/>
        <s v="482-17-1179"/>
        <s v="788-21-5741"/>
        <s v="821-14-9046"/>
        <s v="418-05-0656"/>
        <s v="678-79-0726"/>
        <s v="776-68-1096"/>
        <s v="592-46-1692"/>
        <s v="434-35-9162"/>
        <s v="149-14-0304"/>
        <s v="442-44-6497"/>
        <s v="174-64-0215"/>
        <s v="210-74-9613"/>
        <s v="299-29-0180"/>
        <s v="247-11-2470"/>
        <s v="635-28-5728"/>
        <s v="756-49-0168"/>
        <s v="438-23-1242"/>
        <s v="238-45-6950"/>
        <s v="607-65-2441"/>
        <s v="386-27-7606"/>
        <s v="137-63-5492"/>
        <s v="197-77-7132"/>
        <s v="805-86-0265"/>
        <s v="733-29-1227"/>
        <s v="451-73-2711"/>
        <s v="373-14-0504"/>
        <s v="546-80-2899"/>
        <s v="345-68-9016"/>
        <s v="390-17-5806"/>
        <s v="457-13-1708"/>
        <s v="664-14-2882"/>
        <s v="487-79-6868"/>
        <s v="314-23-4520"/>
        <s v="210-30-7976"/>
        <s v="585-86-8361"/>
        <s v="807-14-7833"/>
        <s v="775-72-1988"/>
        <s v="288-38-3758"/>
        <s v="652-43-6591"/>
        <s v="785-96-0615"/>
        <s v="406-46-7107"/>
        <s v="250-17-5703"/>
        <s v="156-95-3964"/>
        <s v="842-40-8179"/>
        <s v="525-09-8450"/>
        <s v="410-67-1709"/>
        <s v="587-73-4862"/>
        <s v="787-87-2010"/>
        <s v="593-14-4239"/>
        <s v="801-88-0346"/>
        <s v="388-76-2555"/>
        <s v="711-31-1234"/>
        <s v="886-54-6089"/>
        <s v="707-32-7409"/>
        <s v="759-98-4285"/>
        <s v="201-63-8275"/>
        <s v="471-06-8611"/>
        <s v="200-16-5952"/>
        <s v="120-54-2248"/>
        <s v="102-77-2261"/>
        <s v="875-31-8302"/>
        <s v="102-06-2002"/>
        <s v="457-94-0464"/>
        <s v="629-42-4133"/>
        <s v="534-53-3526"/>
        <s v="307-04-2070"/>
        <s v="468-99-7231"/>
        <s v="516-77-6464"/>
        <s v="404-91-5964"/>
        <s v="886-77-9084"/>
        <s v="790-38-4466"/>
        <s v="704-10-4056"/>
        <s v="497-37-6538"/>
        <s v="651-96-5970"/>
        <s v="400-80-4065"/>
        <s v="744-16-7898"/>
        <s v="263-12-5321"/>
        <s v="702-72-0487"/>
        <s v="605-83-1050"/>
        <s v="443-60-9639"/>
        <s v="864-24-7918"/>
        <s v="359-94-5395"/>
        <s v="401-09-4232"/>
        <s v="751-15-6198"/>
        <s v="324-41-6833"/>
        <s v="474-33-8305"/>
        <s v="759-29-9521"/>
        <s v="831-81-6575"/>
        <s v="220-68-6701"/>
        <s v="618-34-8551"/>
        <s v="257-60-7754"/>
        <s v="559-61-5987"/>
        <s v="189-55-2313"/>
        <s v="565-91-4567"/>
        <s v="380-60-5336"/>
        <s v="815-04-6282"/>
        <s v="674-56-6360"/>
        <s v="778-34-2523"/>
        <s v="499-27-7781"/>
        <s v="477-59-2456"/>
        <s v="832-51-6761"/>
        <s v="869-11-3082"/>
        <s v="190-59-3964"/>
        <s v="366-43-6862"/>
        <s v="186-43-8965"/>
        <s v="784-21-9238"/>
        <s v="276-75-6884"/>
        <s v="109-86-4363"/>
        <s v="569-76-2760"/>
        <s v="222-42-0244"/>
        <s v="760-53-9233"/>
        <s v="538-22-0304"/>
        <s v="416-17-9926"/>
        <s v="237-44-6163"/>
        <s v="636-17-0325"/>
        <s v="343-75-9322"/>
        <s v="528-14-9470"/>
        <s v="427-45-9297"/>
        <s v="807-34-3742"/>
        <s v="288-62-1085"/>
        <s v="670-71-7306"/>
        <s v="660-29-7083"/>
        <s v="271-77-8740"/>
        <s v="497-36-0989"/>
        <s v="291-59-1384"/>
        <s v="860-73-6466"/>
        <s v="549-23-9016"/>
        <s v="896-34-0956"/>
        <s v="804-38-3935"/>
        <s v="585-90-0249"/>
        <s v="862-29-5914"/>
        <s v="845-94-6841"/>
        <s v="125-45-2293"/>
        <s v="843-73-4724"/>
        <s v="409-33-9708"/>
        <s v="658-66-3967"/>
        <s v="866-70-2814"/>
        <s v="160-22-2687"/>
        <s v="895-03-6665"/>
        <s v="770-42-8960"/>
        <s v="748-45-2862"/>
        <s v="234-36-2483"/>
        <s v="316-66-3011"/>
        <s v="848-95-6252"/>
        <s v="840-76-5966"/>
        <s v="152-03-4217"/>
        <s v="533-66-5566"/>
        <s v="124-31-1458"/>
        <s v="176-78-1170"/>
        <s v="361-59-0574"/>
        <s v="101-81-4070"/>
        <s v="631-34-1880"/>
        <s v="852-82-2749"/>
        <s v="873-14-6353"/>
        <s v="584-66-4073"/>
        <s v="544-55-9589"/>
        <s v="166-19-2553"/>
        <s v="737-88-5876"/>
        <s v="154-87-7367"/>
        <s v="885-56-0389"/>
        <s v="608-05-3804"/>
        <s v="448-61-3783"/>
        <s v="761-49-0439"/>
        <s v="490-95-0021"/>
        <s v="115-38-7388"/>
        <s v="311-13-6971"/>
        <s v="291-55-6563"/>
        <s v="548-48-3156"/>
        <s v="460-93-5834"/>
        <s v="325-89-4209"/>
        <s v="884-80-6021"/>
        <s v="137-74-8729"/>
        <s v="880-46-5796"/>
        <s v="389-70-2397"/>
        <s v="114-35-5271"/>
        <s v="607-76-6216"/>
        <s v="715-20-1673"/>
        <s v="811-35-1094"/>
        <s v="699-88-1972"/>
        <s v="781-84-8059"/>
        <s v="409-49-6995"/>
        <s v="725-54-0677"/>
        <s v="146-09-5432"/>
        <s v="377-79-7592"/>
        <s v="509-10-0516"/>
        <s v="595-94-9924"/>
        <s v="865-41-9075"/>
        <s v="545-07-8534"/>
        <s v="118-62-1812"/>
        <s v="450-42-3339"/>
        <s v="851-98-3555"/>
        <s v="186-71-5196"/>
        <s v="624-01-8356"/>
        <s v="313-66-9943"/>
        <s v="151-27-8496"/>
        <s v="453-33-6436"/>
        <s v="522-57-8364"/>
        <s v="459-45-2396"/>
        <s v="717-96-4189"/>
        <s v="722-13-2115"/>
        <s v="749-81-8133"/>
        <s v="777-67-2495"/>
        <s v="636-98-3364"/>
        <s v="246-55-6923"/>
        <s v="181-82-6255"/>
        <s v="838-02-1821"/>
        <s v="887-42-0517"/>
        <s v="457-12-0244"/>
        <s v="226-34-0034"/>
        <s v="321-49-7382"/>
        <s v="397-25-8725"/>
        <s v="431-66-2305"/>
        <s v="825-94-5922"/>
        <s v="641-62-7288"/>
        <s v="756-93-1854"/>
        <s v="243-55-8457"/>
        <s v="458-10-8612"/>
        <s v="501-61-1753"/>
        <s v="235-06-8510"/>
        <s v="433-08-7822"/>
        <s v="361-85-2571"/>
        <s v="131-70-8179"/>
        <s v="500-02-2261"/>
        <s v="720-72-2436"/>
        <s v="702-83-5291"/>
        <s v="809-69-9497"/>
        <s v="449-16-6770"/>
        <s v="333-23-2632"/>
        <s v="489-82-1237"/>
        <s v="859-97-6048"/>
        <s v="676-10-2200"/>
        <s v="373-88-1424"/>
        <s v="365-16-4334"/>
        <s v="503-21-4385"/>
        <s v="305-89-2768"/>
        <s v="574-80-1489"/>
        <s v="784-08-0310"/>
        <s v="200-40-6154"/>
        <s v="846-10-0341"/>
        <s v="577-34-7579"/>
        <s v="430-02-3888"/>
        <s v="867-47-1948"/>
        <s v="384-59-6655"/>
        <s v="256-58-3609"/>
        <s v="324-92-3863"/>
        <s v="593-08-5916"/>
        <s v="364-34-2972"/>
        <s v="794-42-3736"/>
        <s v="172-42-8274"/>
        <s v="558-60-5016"/>
        <s v="195-06-0432"/>
        <s v="605-03-2706"/>
        <s v="214-30-2776"/>
        <s v="746-04-1077"/>
        <s v="448-34-8700"/>
        <s v="452-04-8808"/>
        <s v="531-56-4728"/>
        <s v="744-82-9138"/>
        <s v="883-69-1285"/>
        <s v="221-25-5073"/>
        <s v="518-71-6847"/>
        <s v="156-20-0370"/>
        <s v="151-33-7434"/>
        <s v="728-47-9078"/>
        <s v="809-46-1866"/>
        <s v="139-32-4183"/>
        <s v="148-41-7930"/>
        <s v="189-40-5216"/>
        <s v="374-38-5555"/>
        <s v="764-44-8999"/>
        <s v="552-44-5977"/>
        <s v="267-62-7380"/>
        <s v="430-53-4718"/>
        <s v="886-18-2897"/>
        <s v="602-16-6955"/>
        <s v="745-74-0715"/>
        <s v="690-01-6631"/>
        <s v="652-49-6720"/>
        <s v="233-67-5758"/>
        <s v="303-96-2227"/>
        <s v="727-02-1313"/>
        <s v="347-56-2442"/>
        <s v="849-09-3807"/>
        <m/>
      </sharedItems>
    </cacheField>
    <cacheField name="Branch" numFmtId="0">
      <sharedItems containsBlank="1" count="4">
        <s v="Alex"/>
        <s v="Giza"/>
        <s v="Cairo"/>
        <m/>
      </sharedItems>
    </cacheField>
    <cacheField name="City" numFmtId="0">
      <sharedItems containsBlank="1" count="4">
        <s v="Yangon"/>
        <s v="Naypyitaw"/>
        <s v="Mandalay"/>
        <m/>
      </sharedItems>
    </cacheField>
    <cacheField name="Customer type" numFmtId="0">
      <sharedItems containsBlank="1"/>
    </cacheField>
    <cacheField name="Gender" numFmtId="0">
      <sharedItems containsBlank="1"/>
    </cacheField>
    <cacheField name="Product line" numFmtId="0">
      <sharedItems containsBlank="1" count="7">
        <s v="Health and beauty"/>
        <s v="Electronic accessories"/>
        <s v="Home and lifestyle"/>
        <s v="Sports and travel"/>
        <s v="Food and beverages"/>
        <s v="Fashion accessories"/>
        <m/>
      </sharedItems>
    </cacheField>
    <cacheField name="Unit price" numFmtId="0">
      <sharedItems containsString="0" containsBlank="1" containsNumber="1" minValue="10.08" maxValue="99.96"/>
    </cacheField>
    <cacheField name="Quantity" numFmtId="0">
      <sharedItems containsString="0" containsBlank="1" containsNumber="1" containsInteger="1" minValue="1" maxValue="10"/>
    </cacheField>
    <cacheField name="Tax 5%" numFmtId="0">
      <sharedItems containsString="0" containsBlank="1" containsNumber="1" minValue="0.50849999999999995" maxValue="49.65"/>
    </cacheField>
    <cacheField name="Sales" numFmtId="0">
      <sharedItems containsString="0" containsBlank="1" containsNumber="1" minValue="10.6785" maxValue="1042.6500000000001"/>
    </cacheField>
    <cacheField name="Date" numFmtId="0">
      <sharedItems containsNonDate="0" containsDate="1" containsString="0" containsBlank="1" minDate="2019-01-01T00:00:00" maxDate="2019-03-31T00:00:00"/>
    </cacheField>
    <cacheField name="Time" numFmtId="164">
      <sharedItems containsNonDate="0" containsDate="1" containsString="0" containsBlank="1" minDate="1899-12-30T10:00:00" maxDate="1899-12-30T20:59:00"/>
    </cacheField>
    <cacheField name="Payment" numFmtId="0">
      <sharedItems containsBlank="1" count="4">
        <s v="Ewallet"/>
        <s v="Cash"/>
        <s v="Credit card"/>
        <m/>
      </sharedItems>
    </cacheField>
    <cacheField name="cogs" numFmtId="0">
      <sharedItems containsString="0" containsBlank="1" containsNumber="1" minValue="10.17" maxValue="993"/>
    </cacheField>
    <cacheField name="gross margin percentage" numFmtId="0">
      <sharedItems containsString="0" containsBlank="1" containsNumber="1" minValue="4.7619047620000003" maxValue="4.7619047620000003"/>
    </cacheField>
    <cacheField name="gross income" numFmtId="0">
      <sharedItems containsString="0" containsBlank="1" containsNumber="1" minValue="0.50849999999999995" maxValue="49.65"/>
    </cacheField>
    <cacheField name="Rating" numFmtId="0">
      <sharedItems containsString="0" containsBlank="1" containsNumber="1" minValue="4" maxValue="10"/>
    </cacheField>
    <cacheField name="Month" numFmtId="0">
      <sharedItems containsBlank="1" count="4">
        <s v="January"/>
        <s v="March"/>
        <s v="February"/>
        <m/>
      </sharedItems>
    </cacheField>
    <cacheField name="Month Number" numFmtId="0">
      <sharedItems containsSemiMixedTypes="0" containsString="0" containsNumber="1" containsInteger="1" minValue="1" maxValue="3"/>
    </cacheField>
    <cacheField name="Order Size" numFmtId="0">
      <sharedItems/>
    </cacheField>
    <cacheField name="Order Status" numFmtId="0">
      <sharedItems/>
    </cacheField>
    <cacheField name="Column1" numFmtId="0">
      <sharedItems containsNonDate="0" containsString="0" containsBlank="1"/>
    </cacheField>
    <cacheField name="Metric" numFmtId="0">
      <sharedItems containsBlank="1"/>
    </cacheField>
    <cacheField name="Value" numFmtId="0">
      <sharedItems containsBlank="1" containsMixedTypes="1" containsNumber="1" minValue="4.7619047619047616E-2" maxValue="322966.74900000007"/>
    </cacheField>
    <cacheField name="_22" numFmtId="0">
      <sharedItems containsBlank="1" containsMixedTypes="1" containsNumber="1" minValue="71" maxValue="40434.68099999999"/>
    </cacheField>
    <cacheField name="_3" numFmtId="0">
      <sharedItems containsBlank="1"/>
    </cacheField>
  </cacheFields>
  <extLst>
    <ext xmlns:x14="http://schemas.microsoft.com/office/spreadsheetml/2009/9/main" uri="{725AE2AE-9491-48be-B2B4-4EB974FC3084}">
      <x14:pivotCacheDefinition pivotCacheId="1351772054"/>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x v="0"/>
    <x v="0"/>
    <s v="Member"/>
    <s v="Female"/>
    <x v="0"/>
    <n v="74.69"/>
    <n v="7"/>
    <n v="26.141500000000001"/>
    <n v="548.97149999999999"/>
    <d v="2019-01-05T00:00:00"/>
    <d v="1899-12-30T13:08:00"/>
    <x v="0"/>
    <n v="522.83000000000004"/>
    <n v="4.7619047620000003"/>
    <n v="26.141500000000001"/>
    <n v="9.1"/>
    <x v="0"/>
    <n v="1"/>
    <s v="High Value"/>
    <s v="High Value Order"/>
    <m/>
    <s v="Total Sales"/>
    <n v="322966.74900000007"/>
    <m/>
    <s v=""/>
  </r>
  <r>
    <x v="1"/>
    <x v="1"/>
    <x v="1"/>
    <s v="Normal"/>
    <s v="Female"/>
    <x v="1"/>
    <n v="15.28"/>
    <n v="5"/>
    <n v="3.82"/>
    <n v="80.22"/>
    <d v="2019-03-08T00:00:00"/>
    <d v="1899-12-30T10:29:00"/>
    <x v="1"/>
    <n v="76.400000000000006"/>
    <n v="4.7619047620000003"/>
    <n v="3.82"/>
    <n v="9.6"/>
    <x v="1"/>
    <n v="3"/>
    <s v="Standard"/>
    <s v="Standard Order"/>
    <m/>
    <s v="Total Quantity"/>
    <n v="5510"/>
    <m/>
    <s v=""/>
  </r>
  <r>
    <x v="2"/>
    <x v="0"/>
    <x v="0"/>
    <s v="Normal"/>
    <s v="Female"/>
    <x v="2"/>
    <n v="46.33"/>
    <n v="7"/>
    <n v="16.215499999999999"/>
    <n v="340.52550000000002"/>
    <d v="2019-03-03T00:00:00"/>
    <d v="1899-12-30T13:23:00"/>
    <x v="2"/>
    <n v="324.31"/>
    <n v="4.7619047620000003"/>
    <n v="16.215499999999999"/>
    <n v="7.4"/>
    <x v="1"/>
    <n v="3"/>
    <s v="Standard"/>
    <s v="Standard Order"/>
    <m/>
    <s v="Total COGS"/>
    <n v="307587.38000000035"/>
    <m/>
    <s v=""/>
  </r>
  <r>
    <x v="3"/>
    <x v="0"/>
    <x v="0"/>
    <s v="Member"/>
    <s v="Female"/>
    <x v="0"/>
    <n v="58.22"/>
    <n v="8"/>
    <n v="23.288"/>
    <n v="489.048"/>
    <d v="2019-01-27T00:00:00"/>
    <d v="1899-12-30T20:33:00"/>
    <x v="0"/>
    <n v="465.76"/>
    <n v="4.7619047620000003"/>
    <n v="23.288"/>
    <n v="8.4"/>
    <x v="0"/>
    <n v="1"/>
    <s v="Standard"/>
    <s v="Standard Order"/>
    <m/>
    <s v="Total Gross Income"/>
    <n v="15379.369000000002"/>
    <m/>
    <s v=""/>
  </r>
  <r>
    <x v="4"/>
    <x v="0"/>
    <x v="0"/>
    <s v="Member"/>
    <s v="Female"/>
    <x v="3"/>
    <n v="86.31"/>
    <n v="7"/>
    <n v="30.208500000000001"/>
    <n v="634.37850000000003"/>
    <d v="2019-02-08T00:00:00"/>
    <d v="1899-12-30T10:37:00"/>
    <x v="0"/>
    <n v="604.16999999999996"/>
    <n v="4.7619047620000003"/>
    <n v="30.208500000000001"/>
    <n v="5.3"/>
    <x v="2"/>
    <n v="2"/>
    <s v="High Value"/>
    <s v="High Value Order"/>
    <m/>
    <s v="Average Rating"/>
    <n v="6.9727000000000032"/>
    <m/>
    <s v=""/>
  </r>
  <r>
    <x v="5"/>
    <x v="1"/>
    <x v="1"/>
    <s v="Member"/>
    <s v="Female"/>
    <x v="1"/>
    <n v="85.39"/>
    <n v="7"/>
    <n v="29.886500000000002"/>
    <n v="627.61649999999997"/>
    <d v="2019-03-25T00:00:00"/>
    <d v="1899-12-30T18:30:00"/>
    <x v="0"/>
    <n v="597.73"/>
    <n v="4.7619047620000003"/>
    <n v="29.886500000000002"/>
    <n v="4.0999999999999996"/>
    <x v="1"/>
    <n v="3"/>
    <s v="High Value"/>
    <s v="High Value Order"/>
    <m/>
    <s v=""/>
    <m/>
    <m/>
    <s v=""/>
  </r>
  <r>
    <x v="6"/>
    <x v="0"/>
    <x v="0"/>
    <s v="Member"/>
    <s v="Female"/>
    <x v="1"/>
    <n v="68.84"/>
    <n v="6"/>
    <n v="20.652000000000001"/>
    <n v="433.69200000000001"/>
    <d v="2019-02-25T00:00:00"/>
    <d v="1899-12-30T14:36:00"/>
    <x v="0"/>
    <n v="413.04"/>
    <n v="4.7619047620000003"/>
    <n v="20.652000000000001"/>
    <n v="5.8"/>
    <x v="2"/>
    <n v="2"/>
    <s v="Standard"/>
    <s v="Standard Order"/>
    <m/>
    <s v="Branch"/>
    <s v="Total Sales"/>
    <m/>
    <s v=""/>
  </r>
  <r>
    <x v="7"/>
    <x v="1"/>
    <x v="1"/>
    <s v="Member"/>
    <s v="Female"/>
    <x v="2"/>
    <n v="73.56"/>
    <n v="10"/>
    <n v="36.78"/>
    <n v="772.38"/>
    <d v="2019-02-24T00:00:00"/>
    <d v="1899-12-30T11:38:00"/>
    <x v="0"/>
    <n v="735.6"/>
    <n v="4.7619047620000003"/>
    <n v="36.78"/>
    <n v="8"/>
    <x v="2"/>
    <n v="2"/>
    <s v="High Value"/>
    <s v="High Value Order"/>
    <m/>
    <s v="Alex"/>
    <n v="106200.37050000011"/>
    <m/>
    <s v=""/>
  </r>
  <r>
    <x v="8"/>
    <x v="0"/>
    <x v="0"/>
    <s v="Member"/>
    <s v="Female"/>
    <x v="0"/>
    <n v="36.26"/>
    <n v="2"/>
    <n v="3.6259999999999999"/>
    <n v="76.146000000000001"/>
    <d v="2019-01-10T00:00:00"/>
    <d v="1899-12-30T17:15:00"/>
    <x v="2"/>
    <n v="72.52"/>
    <n v="4.7619047620000003"/>
    <n v="3.6259999999999999"/>
    <n v="7.2"/>
    <x v="0"/>
    <n v="1"/>
    <s v="Standard"/>
    <s v="Standard Order"/>
    <m/>
    <s v="Cairo"/>
    <n v="106197.67199999996"/>
    <m/>
    <s v=""/>
  </r>
  <r>
    <x v="9"/>
    <x v="2"/>
    <x v="2"/>
    <s v="Member"/>
    <s v="Female"/>
    <x v="4"/>
    <n v="54.84"/>
    <n v="3"/>
    <n v="8.2260000000000009"/>
    <n v="172.74600000000001"/>
    <d v="2019-02-20T00:00:00"/>
    <d v="1899-12-30T13:27:00"/>
    <x v="2"/>
    <n v="164.52"/>
    <n v="4.7619047620000003"/>
    <n v="8.2260000000000009"/>
    <n v="5.9"/>
    <x v="2"/>
    <n v="2"/>
    <s v="Standard"/>
    <s v="Standard Order"/>
    <m/>
    <s v="Giza"/>
    <n v="110568.70649999994"/>
    <m/>
    <m/>
  </r>
  <r>
    <x v="10"/>
    <x v="2"/>
    <x v="2"/>
    <s v="Member"/>
    <s v="Female"/>
    <x v="5"/>
    <n v="14.48"/>
    <n v="4"/>
    <n v="2.8959999999999999"/>
    <n v="60.816000000000003"/>
    <d v="2019-02-06T00:00:00"/>
    <d v="1899-12-30T18:07:00"/>
    <x v="0"/>
    <n v="57.92"/>
    <n v="4.7619047620000003"/>
    <n v="2.8959999999999999"/>
    <n v="4.5"/>
    <x v="2"/>
    <n v="2"/>
    <s v="Standard"/>
    <s v="Standard Order"/>
    <m/>
    <s v=""/>
    <m/>
    <m/>
    <m/>
  </r>
  <r>
    <x v="11"/>
    <x v="2"/>
    <x v="2"/>
    <s v="Member"/>
    <s v="Female"/>
    <x v="1"/>
    <n v="25.51"/>
    <n v="4"/>
    <n v="5.1020000000000003"/>
    <n v="107.142"/>
    <d v="2019-03-09T00:00:00"/>
    <d v="1899-12-30T17:03:00"/>
    <x v="1"/>
    <n v="102.04"/>
    <n v="4.7619047620000003"/>
    <n v="5.1020000000000003"/>
    <n v="6.8"/>
    <x v="1"/>
    <n v="3"/>
    <s v="Standard"/>
    <s v="Standard Order"/>
    <m/>
    <s v="Month"/>
    <s v="Total Sales"/>
    <m/>
    <m/>
  </r>
  <r>
    <x v="12"/>
    <x v="0"/>
    <x v="0"/>
    <s v="Member"/>
    <s v="Female"/>
    <x v="1"/>
    <n v="46.95"/>
    <n v="5"/>
    <n v="11.737500000000001"/>
    <n v="246.48750000000001"/>
    <d v="2019-02-12T00:00:00"/>
    <d v="1899-12-30T10:25:00"/>
    <x v="0"/>
    <n v="234.75"/>
    <n v="4.7619047620000003"/>
    <n v="11.737500000000001"/>
    <n v="7.1"/>
    <x v="2"/>
    <n v="2"/>
    <s v="Standard"/>
    <s v="Standard Order"/>
    <m/>
    <s v="January"/>
    <n v="116291.86800000005"/>
    <m/>
    <m/>
  </r>
  <r>
    <x v="13"/>
    <x v="0"/>
    <x v="0"/>
    <s v="Member"/>
    <s v="Female"/>
    <x v="4"/>
    <n v="43.19"/>
    <n v="10"/>
    <n v="21.594999999999999"/>
    <n v="453.495"/>
    <d v="2019-02-07T00:00:00"/>
    <d v="1899-12-30T16:48:00"/>
    <x v="0"/>
    <n v="431.9"/>
    <n v="4.7619047620000003"/>
    <n v="21.594999999999999"/>
    <n v="8.1999999999999993"/>
    <x v="2"/>
    <n v="2"/>
    <s v="Standard"/>
    <s v="Standard Order"/>
    <m/>
    <s v="February"/>
    <n v="97219.373999999967"/>
    <m/>
    <m/>
  </r>
  <r>
    <x v="14"/>
    <x v="0"/>
    <x v="0"/>
    <s v="Member"/>
    <s v="Female"/>
    <x v="0"/>
    <n v="71.38"/>
    <n v="10"/>
    <n v="35.69"/>
    <n v="749.49"/>
    <d v="2019-03-29T00:00:00"/>
    <d v="1899-12-30T19:21:00"/>
    <x v="1"/>
    <n v="713.8"/>
    <n v="4.7619047620000003"/>
    <n v="35.69"/>
    <n v="5.7"/>
    <x v="1"/>
    <n v="3"/>
    <s v="High Value"/>
    <s v="High Value Order"/>
    <m/>
    <s v="March"/>
    <n v="109455.50700000004"/>
    <m/>
    <m/>
  </r>
  <r>
    <x v="15"/>
    <x v="2"/>
    <x v="2"/>
    <s v="Member"/>
    <s v="Female"/>
    <x v="3"/>
    <n v="93.72"/>
    <n v="6"/>
    <n v="28.116"/>
    <n v="590.43600000000004"/>
    <d v="2019-01-15T00:00:00"/>
    <d v="1899-12-30T16:19:00"/>
    <x v="1"/>
    <n v="562.32000000000005"/>
    <n v="4.7619047620000003"/>
    <n v="28.116"/>
    <n v="4.5"/>
    <x v="0"/>
    <n v="1"/>
    <s v="High Value"/>
    <s v="High Value Order"/>
    <m/>
    <s v=""/>
    <m/>
    <m/>
    <m/>
  </r>
  <r>
    <x v="16"/>
    <x v="0"/>
    <x v="0"/>
    <s v="Member"/>
    <s v="Female"/>
    <x v="0"/>
    <n v="68.930000000000007"/>
    <n v="7"/>
    <n v="24.125499999999999"/>
    <n v="506.63549999999998"/>
    <d v="2019-03-11T00:00:00"/>
    <d v="1899-12-30T11:03:00"/>
    <x v="2"/>
    <n v="482.51"/>
    <n v="4.7619047620000003"/>
    <n v="24.125499999999999"/>
    <n v="4.5999999999999996"/>
    <x v="1"/>
    <n v="3"/>
    <s v="High Value"/>
    <s v="High Value Order"/>
    <m/>
    <s v="Order Size"/>
    <s v="Number of Orders"/>
    <m/>
    <m/>
  </r>
  <r>
    <x v="17"/>
    <x v="0"/>
    <x v="0"/>
    <s v="Member"/>
    <s v="Female"/>
    <x v="3"/>
    <n v="72.61"/>
    <n v="6"/>
    <n v="21.783000000000001"/>
    <n v="457.44299999999998"/>
    <d v="2019-01-01T00:00:00"/>
    <d v="1899-12-30T10:39:00"/>
    <x v="2"/>
    <n v="435.66"/>
    <n v="4.7619047620000003"/>
    <n v="21.783000000000001"/>
    <n v="6.9"/>
    <x v="0"/>
    <n v="1"/>
    <s v="Standard"/>
    <s v="Standard Order"/>
    <m/>
    <s v="Standard"/>
    <n v="774"/>
    <m/>
    <m/>
  </r>
  <r>
    <x v="18"/>
    <x v="0"/>
    <x v="0"/>
    <s v="Member"/>
    <s v="Female"/>
    <x v="4"/>
    <n v="54.67"/>
    <n v="3"/>
    <n v="8.2004999999999999"/>
    <n v="172.2105"/>
    <d v="2019-01-21T00:00:00"/>
    <d v="1899-12-30T18:00:00"/>
    <x v="2"/>
    <n v="164.01"/>
    <n v="4.7619047620000003"/>
    <n v="8.2004999999999999"/>
    <n v="8.6"/>
    <x v="0"/>
    <n v="1"/>
    <s v="Standard"/>
    <s v="Standard Order"/>
    <m/>
    <s v="High Value"/>
    <n v="227"/>
    <m/>
    <s v=""/>
  </r>
  <r>
    <x v="19"/>
    <x v="2"/>
    <x v="2"/>
    <s v="Member"/>
    <s v="Female"/>
    <x v="2"/>
    <n v="40.299999999999997"/>
    <n v="2"/>
    <n v="4.03"/>
    <n v="84.63"/>
    <d v="2019-03-11T00:00:00"/>
    <d v="1899-12-30T15:30:00"/>
    <x v="0"/>
    <n v="80.599999999999994"/>
    <n v="4.7619047620000003"/>
    <n v="4.03"/>
    <n v="4.4000000000000004"/>
    <x v="1"/>
    <n v="3"/>
    <s v="Standard"/>
    <s v="Standard Order"/>
    <m/>
    <s v=""/>
    <m/>
    <m/>
    <s v=""/>
  </r>
  <r>
    <x v="20"/>
    <x v="1"/>
    <x v="1"/>
    <s v="Member"/>
    <s v="Female"/>
    <x v="1"/>
    <n v="86.04"/>
    <n v="5"/>
    <n v="21.51"/>
    <n v="451.71"/>
    <d v="2019-02-25T00:00:00"/>
    <d v="1899-12-30T11:24:00"/>
    <x v="0"/>
    <n v="430.2"/>
    <n v="4.7619047620000003"/>
    <n v="21.51"/>
    <n v="4.8"/>
    <x v="2"/>
    <n v="2"/>
    <s v="Standard"/>
    <s v="Standard Order"/>
    <m/>
    <s v="Product Line"/>
    <s v="Total Sales"/>
    <m/>
    <s v=""/>
  </r>
  <r>
    <x v="21"/>
    <x v="2"/>
    <x v="2"/>
    <s v="Member"/>
    <s v="Female"/>
    <x v="0"/>
    <n v="87.98"/>
    <n v="3"/>
    <n v="13.196999999999999"/>
    <n v="277.137"/>
    <d v="2019-03-05T00:00:00"/>
    <d v="1899-12-30T10:40:00"/>
    <x v="0"/>
    <n v="263.94"/>
    <n v="4.7619047620000003"/>
    <n v="13.196999999999999"/>
    <n v="5.0999999999999996"/>
    <x v="1"/>
    <n v="3"/>
    <s v="Standard"/>
    <s v="Standard Order"/>
    <m/>
    <s v="Electronic accessories"/>
    <n v="54337.531500000005"/>
    <m/>
    <s v=""/>
  </r>
  <r>
    <x v="22"/>
    <x v="2"/>
    <x v="2"/>
    <s v="Member"/>
    <s v="Female"/>
    <x v="2"/>
    <n v="33.200000000000003"/>
    <n v="2"/>
    <n v="3.32"/>
    <n v="69.72"/>
    <d v="2019-03-15T00:00:00"/>
    <d v="1899-12-30T12:20:00"/>
    <x v="2"/>
    <n v="66.400000000000006"/>
    <n v="4.7619047620000003"/>
    <n v="3.32"/>
    <n v="4.4000000000000004"/>
    <x v="1"/>
    <n v="3"/>
    <s v="Standard"/>
    <s v="Standard Order"/>
    <m/>
    <s v="Home and lifestyle"/>
    <n v="53861.913000000008"/>
    <m/>
    <s v=""/>
  </r>
  <r>
    <x v="23"/>
    <x v="0"/>
    <x v="0"/>
    <s v="Member"/>
    <s v="Female"/>
    <x v="1"/>
    <n v="34.56"/>
    <n v="5"/>
    <n v="8.64"/>
    <n v="181.44"/>
    <d v="2019-02-17T00:00:00"/>
    <d v="1899-12-30T11:15:00"/>
    <x v="0"/>
    <n v="172.8"/>
    <n v="4.7619047620000003"/>
    <n v="8.64"/>
    <n v="9.9"/>
    <x v="2"/>
    <n v="2"/>
    <s v="Standard"/>
    <s v="Standard Order"/>
    <m/>
    <s v="Health and beauty"/>
    <n v="49193.739000000016"/>
    <m/>
    <s v=""/>
  </r>
  <r>
    <x v="24"/>
    <x v="0"/>
    <x v="0"/>
    <s v="Member"/>
    <s v="Female"/>
    <x v="3"/>
    <n v="88.63"/>
    <n v="3"/>
    <n v="13.294499999999999"/>
    <n v="279.18450000000001"/>
    <d v="2019-03-02T00:00:00"/>
    <d v="1899-12-30T17:36:00"/>
    <x v="0"/>
    <n v="265.89"/>
    <n v="4.7619047620000003"/>
    <n v="13.294499999999999"/>
    <n v="6"/>
    <x v="1"/>
    <n v="3"/>
    <s v="Standard"/>
    <s v="Standard Order"/>
    <m/>
    <s v="Food and beverages"/>
    <n v="56144.844000000005"/>
    <m/>
    <s v=""/>
  </r>
  <r>
    <x v="25"/>
    <x v="0"/>
    <x v="0"/>
    <s v="Member"/>
    <s v="Female"/>
    <x v="2"/>
    <n v="52.59"/>
    <n v="8"/>
    <n v="21.036000000000001"/>
    <n v="441.75599999999997"/>
    <d v="2019-03-22T00:00:00"/>
    <d v="1899-12-30T19:20:00"/>
    <x v="2"/>
    <n v="420.72"/>
    <n v="4.7619047620000003"/>
    <n v="21.036000000000001"/>
    <n v="8.5"/>
    <x v="1"/>
    <n v="3"/>
    <s v="Standard"/>
    <s v="Standard Order"/>
    <m/>
    <s v="Fashion accessories"/>
    <n v="54305.894999999997"/>
    <m/>
    <s v=""/>
  </r>
  <r>
    <x v="26"/>
    <x v="2"/>
    <x v="2"/>
    <s v="Member"/>
    <s v="Female"/>
    <x v="5"/>
    <n v="33.520000000000003"/>
    <n v="1"/>
    <n v="1.6759999999999999"/>
    <n v="35.195999999999998"/>
    <d v="2019-02-08T00:00:00"/>
    <d v="1899-12-30T15:31:00"/>
    <x v="1"/>
    <n v="33.520000000000003"/>
    <n v="4.7619047620000003"/>
    <n v="1.6759999999999999"/>
    <n v="6.7"/>
    <x v="2"/>
    <n v="2"/>
    <s v="Standard"/>
    <s v="Standard Order"/>
    <m/>
    <s v="Sports and travel"/>
    <n v="55122.826499999996"/>
    <m/>
    <s v=""/>
  </r>
  <r>
    <x v="27"/>
    <x v="0"/>
    <x v="0"/>
    <s v="Member"/>
    <s v="Female"/>
    <x v="5"/>
    <n v="87.67"/>
    <n v="2"/>
    <n v="8.7669999999999995"/>
    <n v="184.107"/>
    <d v="2019-03-10T00:00:00"/>
    <d v="1899-12-30T12:17:00"/>
    <x v="2"/>
    <n v="175.34"/>
    <n v="4.7619047620000003"/>
    <n v="8.7669999999999995"/>
    <n v="7.7"/>
    <x v="1"/>
    <n v="3"/>
    <s v="Standard"/>
    <s v="Standard Order"/>
    <m/>
    <s v=""/>
    <m/>
    <m/>
    <s v=""/>
  </r>
  <r>
    <x v="28"/>
    <x v="2"/>
    <x v="2"/>
    <s v="Member"/>
    <s v="Female"/>
    <x v="4"/>
    <n v="88.36"/>
    <n v="5"/>
    <n v="22.09"/>
    <n v="463.89"/>
    <d v="2019-01-25T00:00:00"/>
    <d v="1899-12-30T19:48:00"/>
    <x v="1"/>
    <n v="441.8"/>
    <n v="4.7619047620000003"/>
    <n v="22.09"/>
    <n v="9.6"/>
    <x v="0"/>
    <n v="1"/>
    <s v="Standard"/>
    <s v="Standard Order"/>
    <m/>
    <s v="Metric"/>
    <s v="Value"/>
    <m/>
    <s v=""/>
  </r>
  <r>
    <x v="29"/>
    <x v="0"/>
    <x v="0"/>
    <s v="Member"/>
    <s v="Female"/>
    <x v="0"/>
    <n v="24.89"/>
    <n v="9"/>
    <n v="11.2005"/>
    <n v="235.2105"/>
    <d v="2019-03-15T00:00:00"/>
    <d v="1899-12-30T15:36:00"/>
    <x v="1"/>
    <n v="224.01"/>
    <n v="4.7619047620000003"/>
    <n v="11.2005"/>
    <n v="7.4"/>
    <x v="1"/>
    <n v="3"/>
    <s v="Standard"/>
    <s v="Standard Order"/>
    <m/>
    <s v="Total Profit"/>
    <n v="15379.369000000002"/>
    <m/>
    <s v=""/>
  </r>
  <r>
    <x v="30"/>
    <x v="2"/>
    <x v="2"/>
    <s v="Member"/>
    <s v="Female"/>
    <x v="5"/>
    <n v="94.13"/>
    <n v="5"/>
    <n v="23.532499999999999"/>
    <n v="494.1825"/>
    <d v="2019-02-25T00:00:00"/>
    <d v="1899-12-30T19:39:00"/>
    <x v="2"/>
    <n v="470.65"/>
    <n v="4.7619047620000003"/>
    <n v="23.532499999999999"/>
    <n v="4.8"/>
    <x v="2"/>
    <n v="2"/>
    <s v="Standard"/>
    <s v="Standard Order"/>
    <m/>
    <s v="Profit %"/>
    <n v="4.7619047619047616E-2"/>
    <m/>
    <s v=""/>
  </r>
  <r>
    <x v="31"/>
    <x v="2"/>
    <x v="2"/>
    <s v="Member"/>
    <s v="Female"/>
    <x v="3"/>
    <n v="78.069999999999993"/>
    <n v="9"/>
    <n v="35.131500000000003"/>
    <n v="737.76149999999996"/>
    <d v="2019-01-28T00:00:00"/>
    <d v="1899-12-30T12:43:00"/>
    <x v="1"/>
    <n v="702.63"/>
    <n v="4.7619047620000003"/>
    <n v="35.131500000000003"/>
    <n v="4.5"/>
    <x v="0"/>
    <n v="1"/>
    <s v="High Value"/>
    <s v="High Value Order"/>
    <m/>
    <s v=""/>
    <m/>
    <m/>
    <s v=""/>
  </r>
  <r>
    <x v="32"/>
    <x v="2"/>
    <x v="2"/>
    <s v="Member"/>
    <s v="Female"/>
    <x v="3"/>
    <n v="83.78"/>
    <n v="8"/>
    <n v="33.512"/>
    <n v="703.75199999999995"/>
    <d v="2019-01-10T00:00:00"/>
    <d v="1899-12-30T14:49:00"/>
    <x v="1"/>
    <n v="670.24"/>
    <n v="4.7619047620000003"/>
    <n v="33.512"/>
    <n v="5.0999999999999996"/>
    <x v="0"/>
    <n v="1"/>
    <s v="High Value"/>
    <s v="High Value Order"/>
    <m/>
    <s v="Branch"/>
    <s v="Order Size"/>
    <s v="Number of Orders"/>
    <s v=""/>
  </r>
  <r>
    <x v="33"/>
    <x v="0"/>
    <x v="0"/>
    <s v="Member"/>
    <s v="Female"/>
    <x v="0"/>
    <n v="96.58"/>
    <n v="2"/>
    <n v="9.6579999999999995"/>
    <n v="202.81800000000001"/>
    <d v="2019-03-15T00:00:00"/>
    <d v="1899-12-30T10:12:00"/>
    <x v="2"/>
    <n v="193.16"/>
    <n v="4.7619047620000003"/>
    <n v="9.6579999999999995"/>
    <n v="5.0999999999999996"/>
    <x v="1"/>
    <n v="3"/>
    <s v="Standard"/>
    <s v="Standard Order"/>
    <m/>
    <s v="Alex"/>
    <s v="Standard"/>
    <n v="269"/>
    <s v=""/>
  </r>
  <r>
    <x v="34"/>
    <x v="1"/>
    <x v="1"/>
    <s v="Member"/>
    <s v="Female"/>
    <x v="4"/>
    <n v="99.42"/>
    <n v="4"/>
    <n v="19.884"/>
    <n v="417.56400000000002"/>
    <d v="2019-02-06T00:00:00"/>
    <d v="1899-12-30T10:42:00"/>
    <x v="0"/>
    <n v="397.68"/>
    <n v="4.7619047620000003"/>
    <n v="19.884"/>
    <n v="7.5"/>
    <x v="2"/>
    <n v="2"/>
    <s v="Standard"/>
    <s v="Standard Order"/>
    <m/>
    <s v="Alex"/>
    <s v="High Value"/>
    <n v="71"/>
    <s v=""/>
  </r>
  <r>
    <x v="35"/>
    <x v="1"/>
    <x v="1"/>
    <s v="Member"/>
    <s v="Female"/>
    <x v="3"/>
    <n v="68.12"/>
    <n v="1"/>
    <n v="3.4060000000000001"/>
    <n v="71.525999999999996"/>
    <d v="2019-01-07T00:00:00"/>
    <d v="1899-12-30T12:28:00"/>
    <x v="0"/>
    <n v="68.12"/>
    <n v="4.7619047620000003"/>
    <n v="3.4060000000000001"/>
    <n v="6.8"/>
    <x v="0"/>
    <n v="1"/>
    <s v="Standard"/>
    <s v="Standard Order"/>
    <m/>
    <s v="Cairo"/>
    <s v="Standard"/>
    <n v="256"/>
    <s v=""/>
  </r>
  <r>
    <x v="36"/>
    <x v="0"/>
    <x v="0"/>
    <s v="Member"/>
    <s v="Female"/>
    <x v="3"/>
    <n v="62.62"/>
    <n v="5"/>
    <n v="15.654999999999999"/>
    <n v="328.755"/>
    <d v="2019-03-10T00:00:00"/>
    <d v="1899-12-30T19:15:00"/>
    <x v="0"/>
    <n v="313.10000000000002"/>
    <n v="4.7619047620000003"/>
    <n v="15.654999999999999"/>
    <n v="7"/>
    <x v="1"/>
    <n v="3"/>
    <s v="Standard"/>
    <s v="Standard Order"/>
    <m/>
    <s v="Cairo"/>
    <s v="High Value"/>
    <n v="76"/>
    <s v=""/>
  </r>
  <r>
    <x v="37"/>
    <x v="0"/>
    <x v="0"/>
    <s v="Member"/>
    <s v="Female"/>
    <x v="1"/>
    <n v="60.88"/>
    <n v="9"/>
    <n v="27.396000000000001"/>
    <n v="575.31600000000003"/>
    <d v="2019-01-15T00:00:00"/>
    <d v="1899-12-30T17:17:00"/>
    <x v="0"/>
    <n v="547.91999999999996"/>
    <n v="4.7619047620000003"/>
    <n v="27.396000000000001"/>
    <n v="4.7"/>
    <x v="0"/>
    <n v="1"/>
    <s v="High Value"/>
    <s v="High Value Order"/>
    <m/>
    <s v="Giza"/>
    <s v="Standard"/>
    <n v="248"/>
    <s v=""/>
  </r>
  <r>
    <x v="38"/>
    <x v="1"/>
    <x v="1"/>
    <s v="Member"/>
    <s v="Female"/>
    <x v="0"/>
    <n v="54.92"/>
    <n v="8"/>
    <n v="21.968"/>
    <n v="461.32799999999997"/>
    <d v="2019-03-23T00:00:00"/>
    <d v="1899-12-30T13:24:00"/>
    <x v="0"/>
    <n v="439.36"/>
    <n v="4.7619047620000003"/>
    <n v="21.968"/>
    <n v="7.6"/>
    <x v="1"/>
    <n v="3"/>
    <s v="Standard"/>
    <s v="Standard Order"/>
    <m/>
    <s v="Giza"/>
    <s v="High Value"/>
    <n v="80"/>
    <s v=""/>
  </r>
  <r>
    <x v="39"/>
    <x v="2"/>
    <x v="2"/>
    <s v="Member"/>
    <s v="Female"/>
    <x v="2"/>
    <n v="30.12"/>
    <n v="8"/>
    <n v="12.048"/>
    <n v="253.00800000000001"/>
    <d v="2019-03-03T00:00:00"/>
    <d v="1899-12-30T13:01:00"/>
    <x v="1"/>
    <n v="240.96"/>
    <n v="4.7619047620000003"/>
    <n v="12.048"/>
    <n v="7.7"/>
    <x v="1"/>
    <n v="3"/>
    <s v="Standard"/>
    <s v="Standard Order"/>
    <m/>
    <s v=""/>
    <m/>
    <m/>
    <s v=""/>
  </r>
  <r>
    <x v="40"/>
    <x v="2"/>
    <x v="2"/>
    <s v="Member"/>
    <s v="Female"/>
    <x v="2"/>
    <n v="86.72"/>
    <n v="1"/>
    <n v="4.3360000000000003"/>
    <n v="91.055999999999997"/>
    <d v="2019-01-17T00:00:00"/>
    <d v="1899-12-30T18:45:00"/>
    <x v="0"/>
    <n v="86.72"/>
    <n v="4.7619047620000003"/>
    <n v="4.3360000000000003"/>
    <n v="7.9"/>
    <x v="0"/>
    <n v="1"/>
    <s v="Standard"/>
    <s v="Standard Order"/>
    <m/>
    <s v="Branch"/>
    <s v="Month"/>
    <s v="Total Sales"/>
    <s v=""/>
  </r>
  <r>
    <x v="41"/>
    <x v="1"/>
    <x v="1"/>
    <s v="Member"/>
    <s v="Female"/>
    <x v="2"/>
    <n v="56.11"/>
    <n v="2"/>
    <n v="5.6109999999999998"/>
    <n v="117.831"/>
    <d v="2019-02-02T00:00:00"/>
    <d v="1899-12-30T10:11:00"/>
    <x v="1"/>
    <n v="112.22"/>
    <n v="4.7619047620000003"/>
    <n v="5.6109999999999998"/>
    <n v="6.3"/>
    <x v="2"/>
    <n v="2"/>
    <s v="Standard"/>
    <s v="Standard Order"/>
    <m/>
    <s v="Alex"/>
    <s v="January"/>
    <n v="38681.128499999999"/>
    <s v=""/>
  </r>
  <r>
    <x v="42"/>
    <x v="2"/>
    <x v="2"/>
    <s v="Member"/>
    <s v="Female"/>
    <x v="3"/>
    <n v="69.12"/>
    <n v="6"/>
    <n v="20.736000000000001"/>
    <n v="435.45600000000002"/>
    <d v="2019-02-08T00:00:00"/>
    <d v="1899-12-30T13:03:00"/>
    <x v="1"/>
    <n v="414.72"/>
    <n v="4.7619047620000003"/>
    <n v="20.736000000000001"/>
    <n v="5.6"/>
    <x v="2"/>
    <n v="2"/>
    <s v="Standard"/>
    <s v="Standard Order"/>
    <m/>
    <s v="Alex"/>
    <s v="February"/>
    <n v="29860.120500000005"/>
    <s v=""/>
  </r>
  <r>
    <x v="43"/>
    <x v="1"/>
    <x v="1"/>
    <s v="Member"/>
    <s v="Female"/>
    <x v="4"/>
    <n v="98.7"/>
    <n v="8"/>
    <n v="39.479999999999997"/>
    <n v="829.08"/>
    <d v="2019-03-04T00:00:00"/>
    <d v="1899-12-30T20:39:00"/>
    <x v="1"/>
    <n v="789.6"/>
    <n v="4.7619047620000003"/>
    <n v="39.479999999999997"/>
    <n v="7.6"/>
    <x v="1"/>
    <n v="3"/>
    <s v="High Value"/>
    <s v="High Value Order"/>
    <m/>
    <s v="Alex"/>
    <s v="March"/>
    <n v="37659.121500000008"/>
    <s v=""/>
  </r>
  <r>
    <x v="44"/>
    <x v="1"/>
    <x v="1"/>
    <s v="Member"/>
    <s v="Female"/>
    <x v="0"/>
    <n v="15.37"/>
    <n v="2"/>
    <n v="1.5369999999999999"/>
    <n v="32.277000000000001"/>
    <d v="2019-03-16T00:00:00"/>
    <d v="1899-12-30T19:47:00"/>
    <x v="1"/>
    <n v="30.74"/>
    <n v="4.7619047620000003"/>
    <n v="1.5369999999999999"/>
    <n v="7.2"/>
    <x v="1"/>
    <n v="3"/>
    <s v="Standard"/>
    <s v="Standard Order"/>
    <m/>
    <s v="Cairo"/>
    <s v="January"/>
    <n v="37176.058500000014"/>
    <s v=""/>
  </r>
  <r>
    <x v="45"/>
    <x v="2"/>
    <x v="2"/>
    <s v="Member"/>
    <s v="Female"/>
    <x v="1"/>
    <n v="93.96"/>
    <n v="4"/>
    <n v="18.792000000000002"/>
    <n v="394.63200000000001"/>
    <d v="2019-03-09T00:00:00"/>
    <d v="1899-12-30T18:00:00"/>
    <x v="1"/>
    <n v="375.84"/>
    <n v="4.7619047620000003"/>
    <n v="18.792000000000002"/>
    <n v="9.5"/>
    <x v="1"/>
    <n v="3"/>
    <s v="Standard"/>
    <s v="Standard Order"/>
    <m/>
    <s v="Cairo"/>
    <s v="February"/>
    <n v="34424.270999999993"/>
    <s v=""/>
  </r>
  <r>
    <x v="46"/>
    <x v="2"/>
    <x v="2"/>
    <s v="Member"/>
    <s v="Female"/>
    <x v="0"/>
    <n v="56.69"/>
    <n v="9"/>
    <n v="25.5105"/>
    <n v="535.72050000000002"/>
    <d v="2019-02-27T00:00:00"/>
    <d v="1899-12-30T17:24:00"/>
    <x v="2"/>
    <n v="510.21"/>
    <n v="4.7619047620000003"/>
    <n v="25.5105"/>
    <n v="8.4"/>
    <x v="2"/>
    <n v="2"/>
    <s v="High Value"/>
    <s v="High Value Order"/>
    <m/>
    <s v="Cairo"/>
    <s v="March"/>
    <n v="34597.342499999999"/>
    <s v=""/>
  </r>
  <r>
    <x v="47"/>
    <x v="2"/>
    <x v="2"/>
    <s v="Member"/>
    <s v="Female"/>
    <x v="4"/>
    <n v="20.010000000000002"/>
    <n v="9"/>
    <n v="9.0045000000000002"/>
    <n v="189.09450000000001"/>
    <d v="2019-02-06T00:00:00"/>
    <d v="1899-12-30T15:47:00"/>
    <x v="0"/>
    <n v="180.09"/>
    <n v="4.7619047620000003"/>
    <n v="9.0045000000000002"/>
    <n v="4.0999999999999996"/>
    <x v="2"/>
    <n v="2"/>
    <s v="Standard"/>
    <s v="Standard Order"/>
    <m/>
    <s v="Giza"/>
    <s v="January"/>
    <n v="40434.68099999999"/>
    <s v=""/>
  </r>
  <r>
    <x v="48"/>
    <x v="2"/>
    <x v="2"/>
    <s v="Member"/>
    <s v="Female"/>
    <x v="1"/>
    <n v="18.93"/>
    <n v="6"/>
    <n v="5.6790000000000003"/>
    <n v="119.259"/>
    <d v="2019-02-10T00:00:00"/>
    <d v="1899-12-30T12:45:00"/>
    <x v="2"/>
    <n v="113.58"/>
    <n v="4.7619047620000003"/>
    <n v="5.6790000000000003"/>
    <n v="8.1"/>
    <x v="2"/>
    <n v="2"/>
    <s v="Standard"/>
    <s v="Standard Order"/>
    <m/>
    <s v="Giza"/>
    <s v="February"/>
    <n v="32934.982500000006"/>
    <s v=""/>
  </r>
  <r>
    <x v="49"/>
    <x v="1"/>
    <x v="1"/>
    <s v="Member"/>
    <s v="Female"/>
    <x v="5"/>
    <n v="82.63"/>
    <n v="10"/>
    <n v="41.314999999999998"/>
    <n v="867.61500000000001"/>
    <d v="2019-03-19T00:00:00"/>
    <d v="1899-12-30T17:08:00"/>
    <x v="0"/>
    <n v="826.3"/>
    <n v="4.7619047620000003"/>
    <n v="41.314999999999998"/>
    <n v="7.9"/>
    <x v="1"/>
    <n v="3"/>
    <s v="High Value"/>
    <s v="High Value Order"/>
    <m/>
    <s v="Giza"/>
    <s v="March"/>
    <n v="37199.042999999998"/>
    <s v=""/>
  </r>
  <r>
    <x v="50"/>
    <x v="1"/>
    <x v="1"/>
    <s v="Member"/>
    <s v="Female"/>
    <x v="4"/>
    <n v="91.4"/>
    <n v="7"/>
    <n v="31.99"/>
    <n v="671.79"/>
    <d v="2019-02-03T00:00:00"/>
    <d v="1899-12-30T10:19:00"/>
    <x v="1"/>
    <n v="639.79999999999995"/>
    <n v="4.7619047620000003"/>
    <n v="31.99"/>
    <n v="9.5"/>
    <x v="2"/>
    <n v="2"/>
    <s v="High Value"/>
    <s v="High Value Order"/>
    <m/>
    <s v=""/>
    <m/>
    <m/>
    <s v=""/>
  </r>
  <r>
    <x v="51"/>
    <x v="0"/>
    <x v="0"/>
    <s v="Member"/>
    <s v="Female"/>
    <x v="4"/>
    <n v="44.59"/>
    <n v="5"/>
    <n v="11.147500000000001"/>
    <n v="234.0975"/>
    <d v="2019-02-10T00:00:00"/>
    <d v="1899-12-30T15:10:00"/>
    <x v="1"/>
    <n v="222.95"/>
    <n v="4.7619047620000003"/>
    <n v="11.147500000000001"/>
    <n v="8.5"/>
    <x v="2"/>
    <n v="2"/>
    <s v="Standard"/>
    <s v="Standard Order"/>
    <m/>
    <s v="Branch"/>
    <s v="Average Rating"/>
    <m/>
    <s v=""/>
  </r>
  <r>
    <x v="52"/>
    <x v="2"/>
    <x v="2"/>
    <s v="Member"/>
    <s v="Female"/>
    <x v="5"/>
    <n v="17.87"/>
    <n v="4"/>
    <n v="3.5739999999999998"/>
    <n v="75.054000000000002"/>
    <d v="2019-03-22T00:00:00"/>
    <d v="1899-12-30T14:42:00"/>
    <x v="0"/>
    <n v="71.48"/>
    <n v="4.7619047620000003"/>
    <n v="3.5739999999999998"/>
    <n v="6.5"/>
    <x v="1"/>
    <n v="3"/>
    <s v="Standard"/>
    <s v="Standard Order"/>
    <m/>
    <s v="Alex"/>
    <n v="7.0270588235294129"/>
    <m/>
    <s v=""/>
  </r>
  <r>
    <x v="53"/>
    <x v="1"/>
    <x v="1"/>
    <s v="Member"/>
    <s v="Female"/>
    <x v="5"/>
    <n v="15.43"/>
    <n v="1"/>
    <n v="0.77149999999999996"/>
    <n v="16.201499999999999"/>
    <d v="2019-01-25T00:00:00"/>
    <d v="1899-12-30T15:46:00"/>
    <x v="2"/>
    <n v="15.43"/>
    <n v="4.7619047620000003"/>
    <n v="0.77149999999999996"/>
    <n v="6.1"/>
    <x v="0"/>
    <n v="1"/>
    <s v="Standard"/>
    <s v="Standard Order"/>
    <m/>
    <s v="Cairo"/>
    <n v="6.8180722891566266"/>
    <m/>
    <s v=""/>
  </r>
  <r>
    <x v="54"/>
    <x v="2"/>
    <x v="2"/>
    <s v="Member"/>
    <s v="Female"/>
    <x v="2"/>
    <n v="16.16"/>
    <n v="2"/>
    <n v="1.6160000000000001"/>
    <n v="33.936"/>
    <d v="2019-03-07T00:00:00"/>
    <d v="1899-12-30T11:49:00"/>
    <x v="0"/>
    <n v="32.32"/>
    <n v="4.7619047620000003"/>
    <n v="1.6160000000000001"/>
    <n v="6.5"/>
    <x v="1"/>
    <n v="3"/>
    <s v="Standard"/>
    <s v="Standard Order"/>
    <m/>
    <s v="Giza"/>
    <n v="7.0728658536585378"/>
    <m/>
    <s v=""/>
  </r>
  <r>
    <x v="55"/>
    <x v="1"/>
    <x v="1"/>
    <s v="Member"/>
    <s v="Female"/>
    <x v="1"/>
    <n v="85.98"/>
    <n v="8"/>
    <n v="34.392000000000003"/>
    <n v="722.23199999999997"/>
    <d v="2019-02-28T00:00:00"/>
    <d v="1899-12-30T19:01:00"/>
    <x v="1"/>
    <n v="687.84"/>
    <n v="4.7619047620000003"/>
    <n v="34.392000000000003"/>
    <n v="8.1999999999999993"/>
    <x v="2"/>
    <n v="2"/>
    <s v="High Value"/>
    <s v="High Value Order"/>
    <m/>
    <s v=""/>
    <m/>
    <m/>
    <s v=""/>
  </r>
  <r>
    <x v="56"/>
    <x v="0"/>
    <x v="0"/>
    <s v="Member"/>
    <s v="Female"/>
    <x v="2"/>
    <n v="44.34"/>
    <n v="2"/>
    <n v="4.4340000000000002"/>
    <n v="93.114000000000004"/>
    <d v="2019-03-27T00:00:00"/>
    <d v="1899-12-30T11:26:00"/>
    <x v="1"/>
    <n v="88.68"/>
    <n v="4.7619047620000003"/>
    <n v="4.4340000000000002"/>
    <n v="5.8"/>
    <x v="1"/>
    <n v="3"/>
    <s v="Standard"/>
    <s v="Standard Order"/>
    <m/>
    <s v="Branch"/>
    <s v="Total Sales"/>
    <m/>
    <s v=""/>
  </r>
  <r>
    <x v="57"/>
    <x v="0"/>
    <x v="0"/>
    <s v="Member"/>
    <s v="Female"/>
    <x v="0"/>
    <n v="89.6"/>
    <n v="8"/>
    <n v="35.840000000000003"/>
    <n v="752.64"/>
    <d v="2019-02-07T00:00:00"/>
    <d v="1899-12-30T11:28:00"/>
    <x v="0"/>
    <n v="716.8"/>
    <n v="4.7619047620000003"/>
    <n v="35.840000000000003"/>
    <n v="6.6"/>
    <x v="2"/>
    <n v="2"/>
    <s v="High Value"/>
    <s v="High Value Order"/>
    <m/>
    <s v="Alex"/>
    <n v="106200.37050000011"/>
    <m/>
    <s v=""/>
  </r>
  <r>
    <x v="58"/>
    <x v="0"/>
    <x v="0"/>
    <s v="Member"/>
    <s v="Female"/>
    <x v="2"/>
    <n v="72.349999999999994"/>
    <n v="10"/>
    <n v="36.174999999999997"/>
    <n v="759.67499999999995"/>
    <d v="2019-01-20T00:00:00"/>
    <d v="1899-12-30T15:55:00"/>
    <x v="1"/>
    <n v="723.5"/>
    <n v="4.7619047620000003"/>
    <n v="36.174999999999997"/>
    <n v="5.4"/>
    <x v="0"/>
    <n v="1"/>
    <s v="High Value"/>
    <s v="High Value Order"/>
    <m/>
    <s v="Cairo"/>
    <n v="106197.67199999996"/>
    <m/>
    <s v=""/>
  </r>
  <r>
    <x v="59"/>
    <x v="1"/>
    <x v="1"/>
    <s v="Member"/>
    <s v="Female"/>
    <x v="1"/>
    <n v="30.61"/>
    <n v="6"/>
    <n v="9.1829999999999998"/>
    <n v="192.84299999999999"/>
    <d v="2019-03-12T00:00:00"/>
    <d v="1899-12-30T20:36:00"/>
    <x v="1"/>
    <n v="183.66"/>
    <n v="4.7619047620000003"/>
    <n v="9.1829999999999998"/>
    <n v="9.3000000000000007"/>
    <x v="1"/>
    <n v="3"/>
    <s v="Standard"/>
    <s v="Standard Order"/>
    <m/>
    <s v="Giza"/>
    <n v="110568.70649999994"/>
    <m/>
    <s v=""/>
  </r>
  <r>
    <x v="60"/>
    <x v="1"/>
    <x v="1"/>
    <s v="Member"/>
    <s v="Female"/>
    <x v="3"/>
    <n v="24.74"/>
    <n v="3"/>
    <n v="3.7109999999999999"/>
    <n v="77.930999999999997"/>
    <d v="2019-02-15T00:00:00"/>
    <d v="1899-12-30T17:47:00"/>
    <x v="2"/>
    <n v="74.22"/>
    <n v="4.7619047620000003"/>
    <n v="3.7109999999999999"/>
    <n v="10"/>
    <x v="2"/>
    <n v="2"/>
    <s v="Standard"/>
    <s v="Standard Order"/>
    <m/>
    <s v=""/>
    <m/>
    <m/>
    <s v=""/>
  </r>
  <r>
    <x v="61"/>
    <x v="1"/>
    <x v="1"/>
    <s v="Member"/>
    <s v="Female"/>
    <x v="2"/>
    <n v="55.73"/>
    <n v="6"/>
    <n v="16.719000000000001"/>
    <n v="351.09899999999999"/>
    <d v="2019-02-24T00:00:00"/>
    <d v="1899-12-30T10:55:00"/>
    <x v="0"/>
    <n v="334.38"/>
    <n v="4.7619047620000003"/>
    <n v="16.719000000000001"/>
    <n v="7"/>
    <x v="2"/>
    <n v="2"/>
    <s v="Standard"/>
    <s v="Standard Order"/>
    <m/>
    <s v=""/>
    <m/>
    <m/>
    <s v=""/>
  </r>
  <r>
    <x v="62"/>
    <x v="2"/>
    <x v="2"/>
    <s v="Member"/>
    <s v="Female"/>
    <x v="3"/>
    <n v="55.07"/>
    <n v="9"/>
    <n v="24.781500000000001"/>
    <n v="520.41150000000005"/>
    <d v="2019-02-03T00:00:00"/>
    <d v="1899-12-30T13:40:00"/>
    <x v="0"/>
    <n v="495.63"/>
    <n v="4.7619047620000003"/>
    <n v="24.781500000000001"/>
    <n v="10"/>
    <x v="2"/>
    <n v="2"/>
    <s v="High Value"/>
    <s v="High Value Order"/>
    <m/>
    <s v=""/>
    <m/>
    <m/>
    <s v=""/>
  </r>
  <r>
    <x v="63"/>
    <x v="0"/>
    <x v="0"/>
    <s v="Member"/>
    <s v="Female"/>
    <x v="3"/>
    <n v="15.81"/>
    <n v="10"/>
    <n v="7.9050000000000002"/>
    <n v="166.005"/>
    <d v="2019-03-06T00:00:00"/>
    <d v="1899-12-30T12:27:00"/>
    <x v="2"/>
    <n v="158.1"/>
    <n v="4.7619047620000003"/>
    <n v="7.9050000000000002"/>
    <n v="8.6"/>
    <x v="1"/>
    <n v="3"/>
    <s v="Standard"/>
    <s v="Standard Order"/>
    <m/>
    <s v=""/>
    <m/>
    <m/>
    <s v=""/>
  </r>
  <r>
    <x v="64"/>
    <x v="2"/>
    <x v="2"/>
    <s v="Member"/>
    <s v="Female"/>
    <x v="0"/>
    <n v="75.739999999999995"/>
    <n v="4"/>
    <n v="15.148"/>
    <n v="318.108"/>
    <d v="2019-02-14T00:00:00"/>
    <d v="1899-12-30T14:35:00"/>
    <x v="1"/>
    <n v="302.95999999999998"/>
    <n v="4.7619047620000003"/>
    <n v="15.148"/>
    <n v="7.6"/>
    <x v="2"/>
    <n v="2"/>
    <s v="Standard"/>
    <s v="Standard Order"/>
    <m/>
    <s v=""/>
    <m/>
    <m/>
    <s v=""/>
  </r>
  <r>
    <x v="65"/>
    <x v="0"/>
    <x v="0"/>
    <s v="Member"/>
    <s v="Female"/>
    <x v="0"/>
    <n v="15.87"/>
    <n v="10"/>
    <n v="7.9349999999999996"/>
    <n v="166.63499999999999"/>
    <d v="2019-03-13T00:00:00"/>
    <d v="1899-12-30T16:40:00"/>
    <x v="1"/>
    <n v="158.69999999999999"/>
    <n v="4.7619047620000003"/>
    <n v="7.9349999999999996"/>
    <n v="5.8"/>
    <x v="1"/>
    <n v="3"/>
    <s v="Standard"/>
    <s v="Standard Order"/>
    <m/>
    <s v=""/>
    <m/>
    <m/>
    <s v=""/>
  </r>
  <r>
    <x v="66"/>
    <x v="1"/>
    <x v="1"/>
    <s v="Member"/>
    <s v="Female"/>
    <x v="0"/>
    <n v="33.47"/>
    <n v="2"/>
    <n v="3.347"/>
    <n v="70.287000000000006"/>
    <d v="2019-02-10T00:00:00"/>
    <d v="1899-12-30T15:43:00"/>
    <x v="0"/>
    <n v="66.94"/>
    <n v="4.7619047620000003"/>
    <n v="3.347"/>
    <n v="6.7"/>
    <x v="2"/>
    <n v="2"/>
    <s v="Standard"/>
    <s v="Standard Order"/>
    <m/>
    <s v=""/>
    <m/>
    <m/>
    <s v=""/>
  </r>
  <r>
    <x v="67"/>
    <x v="2"/>
    <x v="2"/>
    <s v="Member"/>
    <s v="Female"/>
    <x v="5"/>
    <n v="97.61"/>
    <n v="6"/>
    <n v="29.283000000000001"/>
    <n v="614.94299999999998"/>
    <d v="2019-01-07T00:00:00"/>
    <d v="1899-12-30T15:01:00"/>
    <x v="0"/>
    <n v="585.66"/>
    <n v="4.7619047620000003"/>
    <n v="29.283000000000001"/>
    <n v="9.9"/>
    <x v="0"/>
    <n v="1"/>
    <s v="High Value"/>
    <s v="High Value Order"/>
    <m/>
    <s v=""/>
    <m/>
    <m/>
    <s v=""/>
  </r>
  <r>
    <x v="68"/>
    <x v="0"/>
    <x v="0"/>
    <s v="Member"/>
    <s v="Female"/>
    <x v="3"/>
    <n v="78.77"/>
    <n v="10"/>
    <n v="39.384999999999998"/>
    <n v="827.08500000000004"/>
    <d v="2019-01-24T00:00:00"/>
    <d v="1899-12-30T10:04:00"/>
    <x v="1"/>
    <n v="787.7"/>
    <n v="4.7619047620000003"/>
    <n v="39.384999999999998"/>
    <n v="6.4"/>
    <x v="0"/>
    <n v="1"/>
    <s v="High Value"/>
    <s v="High Value Order"/>
    <m/>
    <s v=""/>
    <m/>
    <m/>
    <s v=""/>
  </r>
  <r>
    <x v="69"/>
    <x v="0"/>
    <x v="0"/>
    <s v="Member"/>
    <s v="Female"/>
    <x v="0"/>
    <n v="18.329999999999998"/>
    <n v="1"/>
    <n v="0.91649999999999998"/>
    <n v="19.246500000000001"/>
    <d v="2019-02-02T00:00:00"/>
    <d v="1899-12-30T18:50:00"/>
    <x v="1"/>
    <n v="18.329999999999998"/>
    <n v="4.7619047620000003"/>
    <n v="0.91649999999999998"/>
    <n v="4.3"/>
    <x v="2"/>
    <n v="2"/>
    <s v="Standard"/>
    <s v="Standard Order"/>
    <m/>
    <s v=""/>
    <m/>
    <m/>
    <s v=""/>
  </r>
  <r>
    <x v="70"/>
    <x v="1"/>
    <x v="1"/>
    <s v="Member"/>
    <s v="Female"/>
    <x v="4"/>
    <n v="89.48"/>
    <n v="10"/>
    <n v="44.74"/>
    <n v="939.54"/>
    <d v="2019-01-06T00:00:00"/>
    <d v="1899-12-30T12:46:00"/>
    <x v="2"/>
    <n v="894.8"/>
    <n v="4.7619047620000003"/>
    <n v="44.74"/>
    <n v="9.6"/>
    <x v="0"/>
    <n v="1"/>
    <s v="High Value"/>
    <s v="High Value Order"/>
    <m/>
    <s v=""/>
    <m/>
    <m/>
    <s v=""/>
  </r>
  <r>
    <x v="71"/>
    <x v="1"/>
    <x v="1"/>
    <s v="Member"/>
    <s v="Female"/>
    <x v="5"/>
    <n v="62.12"/>
    <n v="10"/>
    <n v="31.06"/>
    <n v="652.26"/>
    <d v="2019-02-11T00:00:00"/>
    <d v="1899-12-30T16:19:00"/>
    <x v="1"/>
    <n v="621.20000000000005"/>
    <n v="4.7619047620000003"/>
    <n v="31.06"/>
    <n v="5.9"/>
    <x v="2"/>
    <n v="2"/>
    <s v="High Value"/>
    <s v="High Value Order"/>
    <m/>
    <s v=""/>
    <m/>
    <m/>
    <s v=""/>
  </r>
  <r>
    <x v="72"/>
    <x v="2"/>
    <x v="2"/>
    <s v="Member"/>
    <s v="Female"/>
    <x v="4"/>
    <n v="48.52"/>
    <n v="3"/>
    <n v="7.2779999999999996"/>
    <n v="152.83799999999999"/>
    <d v="2019-03-05T00:00:00"/>
    <d v="1899-12-30T18:17:00"/>
    <x v="0"/>
    <n v="145.56"/>
    <n v="4.7619047620000003"/>
    <n v="7.2779999999999996"/>
    <n v="4"/>
    <x v="1"/>
    <n v="3"/>
    <s v="Standard"/>
    <s v="Standard Order"/>
    <m/>
    <s v=""/>
    <m/>
    <m/>
    <s v=""/>
  </r>
  <r>
    <x v="73"/>
    <x v="1"/>
    <x v="1"/>
    <s v="Member"/>
    <s v="Female"/>
    <x v="1"/>
    <n v="75.91"/>
    <n v="6"/>
    <n v="22.773"/>
    <n v="478.233"/>
    <d v="2019-03-09T00:00:00"/>
    <d v="1899-12-30T18:21:00"/>
    <x v="1"/>
    <n v="455.46"/>
    <n v="4.7619047620000003"/>
    <n v="22.773"/>
    <n v="8.6999999999999993"/>
    <x v="1"/>
    <n v="3"/>
    <s v="Standard"/>
    <s v="Standard Order"/>
    <m/>
    <s v=""/>
    <m/>
    <m/>
    <s v=""/>
  </r>
  <r>
    <x v="74"/>
    <x v="0"/>
    <x v="0"/>
    <s v="Member"/>
    <s v="Female"/>
    <x v="2"/>
    <n v="74.67"/>
    <n v="9"/>
    <n v="33.601500000000001"/>
    <n v="705.63149999999996"/>
    <d v="2019-01-22T00:00:00"/>
    <d v="1899-12-30T10:55:00"/>
    <x v="0"/>
    <n v="672.03"/>
    <n v="4.7619047620000003"/>
    <n v="33.601500000000001"/>
    <n v="9.4"/>
    <x v="0"/>
    <n v="1"/>
    <s v="High Value"/>
    <s v="High Value Order"/>
    <m/>
    <s v=""/>
    <m/>
    <m/>
    <s v=""/>
  </r>
  <r>
    <x v="75"/>
    <x v="1"/>
    <x v="1"/>
    <s v="Member"/>
    <s v="Female"/>
    <x v="1"/>
    <n v="41.65"/>
    <n v="10"/>
    <n v="20.824999999999999"/>
    <n v="437.32499999999999"/>
    <d v="2019-01-13T00:00:00"/>
    <d v="1899-12-30T17:04:00"/>
    <x v="2"/>
    <n v="416.5"/>
    <n v="4.7619047620000003"/>
    <n v="20.824999999999999"/>
    <n v="5.4"/>
    <x v="0"/>
    <n v="1"/>
    <s v="Standard"/>
    <s v="Standard Order"/>
    <m/>
    <s v=""/>
    <m/>
    <m/>
    <s v=""/>
  </r>
  <r>
    <x v="76"/>
    <x v="1"/>
    <x v="1"/>
    <s v="Member"/>
    <s v="Female"/>
    <x v="5"/>
    <n v="49.04"/>
    <n v="9"/>
    <n v="22.068000000000001"/>
    <n v="463.428"/>
    <d v="2019-01-09T00:00:00"/>
    <d v="1899-12-30T14:20:00"/>
    <x v="2"/>
    <n v="441.36"/>
    <n v="4.7619047620000003"/>
    <n v="22.068000000000001"/>
    <n v="8.6"/>
    <x v="0"/>
    <n v="1"/>
    <s v="Standard"/>
    <s v="Standard Order"/>
    <m/>
    <s v=""/>
    <m/>
    <m/>
    <s v=""/>
  </r>
  <r>
    <x v="77"/>
    <x v="0"/>
    <x v="0"/>
    <s v="Member"/>
    <s v="Female"/>
    <x v="5"/>
    <n v="20.010000000000002"/>
    <n v="9"/>
    <n v="9.0045000000000002"/>
    <n v="189.09450000000001"/>
    <d v="2019-01-12T00:00:00"/>
    <d v="1899-12-30T15:48:00"/>
    <x v="2"/>
    <n v="180.09"/>
    <n v="4.7619047620000003"/>
    <n v="9.0045000000000002"/>
    <n v="5.7"/>
    <x v="0"/>
    <n v="1"/>
    <s v="Standard"/>
    <s v="Standard Order"/>
    <m/>
    <s v=""/>
    <m/>
    <m/>
    <s v=""/>
  </r>
  <r>
    <x v="78"/>
    <x v="1"/>
    <x v="1"/>
    <s v="Member"/>
    <s v="Female"/>
    <x v="4"/>
    <n v="78.31"/>
    <n v="10"/>
    <n v="39.155000000000001"/>
    <n v="822.255"/>
    <d v="2019-03-05T00:00:00"/>
    <d v="1899-12-30T16:24:00"/>
    <x v="0"/>
    <n v="783.1"/>
    <n v="4.7619047620000003"/>
    <n v="39.155000000000001"/>
    <n v="6.6"/>
    <x v="1"/>
    <n v="3"/>
    <s v="High Value"/>
    <s v="High Value Order"/>
    <m/>
    <s v=""/>
    <m/>
    <m/>
    <s v=""/>
  </r>
  <r>
    <x v="79"/>
    <x v="1"/>
    <x v="1"/>
    <s v="Member"/>
    <s v="Female"/>
    <x v="0"/>
    <n v="20.38"/>
    <n v="5"/>
    <n v="5.0949999999999998"/>
    <n v="106.995"/>
    <d v="2019-01-22T00:00:00"/>
    <d v="1899-12-30T18:56:00"/>
    <x v="1"/>
    <n v="101.9"/>
    <n v="4.7619047620000003"/>
    <n v="5.0949999999999998"/>
    <n v="6"/>
    <x v="0"/>
    <n v="1"/>
    <s v="Standard"/>
    <s v="Standard Order"/>
    <m/>
    <s v=""/>
    <m/>
    <m/>
    <s v=""/>
  </r>
  <r>
    <x v="80"/>
    <x v="1"/>
    <x v="1"/>
    <s v="Member"/>
    <s v="Female"/>
    <x v="0"/>
    <n v="99.19"/>
    <n v="6"/>
    <n v="29.757000000000001"/>
    <n v="624.89700000000005"/>
    <d v="2019-01-21T00:00:00"/>
    <d v="1899-12-30T14:42:00"/>
    <x v="2"/>
    <n v="595.14"/>
    <n v="4.7619047620000003"/>
    <n v="29.757000000000001"/>
    <n v="5.5"/>
    <x v="0"/>
    <n v="1"/>
    <s v="High Value"/>
    <s v="High Value Order"/>
    <m/>
    <s v=""/>
    <m/>
    <m/>
    <s v=""/>
  </r>
  <r>
    <x v="81"/>
    <x v="2"/>
    <x v="2"/>
    <s v="Member"/>
    <s v="Female"/>
    <x v="4"/>
    <n v="96.68"/>
    <n v="3"/>
    <n v="14.502000000000001"/>
    <n v="304.54199999999997"/>
    <d v="2019-01-26T00:00:00"/>
    <d v="1899-12-30T19:56:00"/>
    <x v="0"/>
    <n v="290.04000000000002"/>
    <n v="4.7619047620000003"/>
    <n v="14.502000000000001"/>
    <n v="6.4"/>
    <x v="0"/>
    <n v="1"/>
    <s v="Standard"/>
    <s v="Standard Order"/>
    <m/>
    <s v=""/>
    <m/>
    <m/>
    <s v=""/>
  </r>
  <r>
    <x v="82"/>
    <x v="1"/>
    <x v="1"/>
    <s v="Member"/>
    <s v="Female"/>
    <x v="4"/>
    <n v="19.25"/>
    <n v="8"/>
    <n v="7.7"/>
    <n v="161.69999999999999"/>
    <d v="2019-01-23T00:00:00"/>
    <d v="1899-12-30T18:37:00"/>
    <x v="0"/>
    <n v="154"/>
    <n v="4.7619047620000003"/>
    <n v="7.7"/>
    <n v="6.6"/>
    <x v="0"/>
    <n v="1"/>
    <s v="Standard"/>
    <s v="Standard Order"/>
    <m/>
    <s v=""/>
    <m/>
    <m/>
    <s v=""/>
  </r>
  <r>
    <x v="83"/>
    <x v="1"/>
    <x v="1"/>
    <s v="Member"/>
    <s v="Female"/>
    <x v="4"/>
    <n v="80.36"/>
    <n v="4"/>
    <n v="16.071999999999999"/>
    <n v="337.512"/>
    <d v="2019-02-23T00:00:00"/>
    <d v="1899-12-30T18:45:00"/>
    <x v="2"/>
    <n v="321.44"/>
    <n v="4.7619047620000003"/>
    <n v="16.071999999999999"/>
    <n v="8.3000000000000007"/>
    <x v="2"/>
    <n v="2"/>
    <s v="Standard"/>
    <s v="Standard Order"/>
    <m/>
    <s v=""/>
    <m/>
    <m/>
    <s v=""/>
  </r>
  <r>
    <x v="84"/>
    <x v="1"/>
    <x v="1"/>
    <s v="Member"/>
    <s v="Female"/>
    <x v="3"/>
    <n v="48.91"/>
    <n v="5"/>
    <n v="12.227499999999999"/>
    <n v="256.77749999999997"/>
    <d v="2019-03-09T00:00:00"/>
    <d v="1899-12-30T10:17:00"/>
    <x v="1"/>
    <n v="244.55"/>
    <n v="4.7619047620000003"/>
    <n v="12.227499999999999"/>
    <n v="6.6"/>
    <x v="1"/>
    <n v="3"/>
    <s v="Standard"/>
    <s v="Standard Order"/>
    <m/>
    <s v=""/>
    <m/>
    <m/>
    <s v=""/>
  </r>
  <r>
    <x v="85"/>
    <x v="1"/>
    <x v="1"/>
    <s v="Member"/>
    <s v="Female"/>
    <x v="3"/>
    <n v="83.06"/>
    <n v="7"/>
    <n v="29.071000000000002"/>
    <n v="610.49099999999999"/>
    <d v="2019-03-05T00:00:00"/>
    <d v="1899-12-30T14:31:00"/>
    <x v="0"/>
    <n v="581.41999999999996"/>
    <n v="4.7619047620000003"/>
    <n v="29.071000000000002"/>
    <n v="4"/>
    <x v="1"/>
    <n v="3"/>
    <s v="High Value"/>
    <s v="High Value Order"/>
    <m/>
    <s v=""/>
    <m/>
    <m/>
    <s v=""/>
  </r>
  <r>
    <x v="86"/>
    <x v="1"/>
    <x v="1"/>
    <s v="Member"/>
    <s v="Female"/>
    <x v="5"/>
    <n v="76.52"/>
    <n v="5"/>
    <n v="19.13"/>
    <n v="401.73"/>
    <d v="2019-03-25T00:00:00"/>
    <d v="1899-12-30T10:23:00"/>
    <x v="1"/>
    <n v="382.6"/>
    <n v="4.7619047620000003"/>
    <n v="19.13"/>
    <n v="9.9"/>
    <x v="1"/>
    <n v="3"/>
    <s v="Standard"/>
    <s v="Standard Order"/>
    <m/>
    <s v=""/>
    <m/>
    <m/>
    <s v=""/>
  </r>
  <r>
    <x v="87"/>
    <x v="0"/>
    <x v="0"/>
    <s v="Member"/>
    <s v="Female"/>
    <x v="4"/>
    <n v="49.38"/>
    <n v="7"/>
    <n v="17.283000000000001"/>
    <n v="362.94299999999998"/>
    <d v="2019-03-27T00:00:00"/>
    <d v="1899-12-30T20:35:00"/>
    <x v="2"/>
    <n v="345.66"/>
    <n v="4.7619047620000003"/>
    <n v="17.283000000000001"/>
    <n v="7.3"/>
    <x v="1"/>
    <n v="3"/>
    <s v="Standard"/>
    <s v="Standard Order"/>
    <m/>
    <s v=""/>
    <m/>
    <m/>
    <s v=""/>
  </r>
  <r>
    <x v="88"/>
    <x v="0"/>
    <x v="0"/>
    <s v="Member"/>
    <s v="Female"/>
    <x v="3"/>
    <n v="42.47"/>
    <n v="1"/>
    <n v="2.1234999999999999"/>
    <n v="44.593499999999999"/>
    <d v="2019-01-02T00:00:00"/>
    <d v="1899-12-30T16:57:00"/>
    <x v="1"/>
    <n v="42.47"/>
    <n v="4.7619047620000003"/>
    <n v="2.1234999999999999"/>
    <n v="5.7"/>
    <x v="0"/>
    <n v="1"/>
    <s v="Standard"/>
    <s v="Standard Order"/>
    <m/>
    <s v=""/>
    <m/>
    <m/>
    <s v=""/>
  </r>
  <r>
    <x v="89"/>
    <x v="2"/>
    <x v="2"/>
    <s v="Member"/>
    <s v="Female"/>
    <x v="0"/>
    <n v="76.989999999999995"/>
    <n v="6"/>
    <n v="23.097000000000001"/>
    <n v="485.03699999999998"/>
    <d v="2019-02-27T00:00:00"/>
    <d v="1899-12-30T17:55:00"/>
    <x v="1"/>
    <n v="461.94"/>
    <n v="4.7619047620000003"/>
    <n v="23.097000000000001"/>
    <n v="6.1"/>
    <x v="2"/>
    <n v="2"/>
    <s v="Standard"/>
    <s v="Standard Order"/>
    <m/>
    <s v=""/>
    <m/>
    <m/>
    <s v=""/>
  </r>
  <r>
    <x v="90"/>
    <x v="1"/>
    <x v="1"/>
    <s v="Member"/>
    <s v="Female"/>
    <x v="2"/>
    <n v="47.38"/>
    <n v="4"/>
    <n v="9.4760000000000009"/>
    <n v="198.99600000000001"/>
    <d v="2019-01-23T00:00:00"/>
    <d v="1899-12-30T10:25:00"/>
    <x v="1"/>
    <n v="189.52"/>
    <n v="4.7619047620000003"/>
    <n v="9.4760000000000009"/>
    <n v="7.1"/>
    <x v="0"/>
    <n v="1"/>
    <s v="Standard"/>
    <s v="Standard Order"/>
    <m/>
    <s v=""/>
    <m/>
    <m/>
    <s v=""/>
  </r>
  <r>
    <x v="91"/>
    <x v="1"/>
    <x v="1"/>
    <s v="Member"/>
    <s v="Female"/>
    <x v="3"/>
    <n v="44.86"/>
    <n v="10"/>
    <n v="22.43"/>
    <n v="471.03"/>
    <d v="2019-01-26T00:00:00"/>
    <d v="1899-12-30T19:54:00"/>
    <x v="0"/>
    <n v="448.6"/>
    <n v="4.7619047620000003"/>
    <n v="22.43"/>
    <n v="8.1999999999999993"/>
    <x v="0"/>
    <n v="1"/>
    <s v="Standard"/>
    <s v="Standard Order"/>
    <m/>
    <s v=""/>
    <m/>
    <m/>
    <s v=""/>
  </r>
  <r>
    <x v="92"/>
    <x v="0"/>
    <x v="0"/>
    <s v="Member"/>
    <s v="Female"/>
    <x v="3"/>
    <n v="21.98"/>
    <n v="7"/>
    <n v="7.6929999999999996"/>
    <n v="161.553"/>
    <d v="2019-01-10T00:00:00"/>
    <d v="1899-12-30T16:42:00"/>
    <x v="0"/>
    <n v="153.86000000000001"/>
    <n v="4.7619047620000003"/>
    <n v="7.6929999999999996"/>
    <n v="5.0999999999999996"/>
    <x v="0"/>
    <n v="1"/>
    <s v="Standard"/>
    <s v="Standard Order"/>
    <m/>
    <s v=""/>
    <m/>
    <m/>
    <s v=""/>
  </r>
  <r>
    <x v="93"/>
    <x v="2"/>
    <x v="2"/>
    <s v="Member"/>
    <s v="Female"/>
    <x v="0"/>
    <n v="64.36"/>
    <n v="9"/>
    <n v="28.962"/>
    <n v="608.202"/>
    <d v="2019-03-12T00:00:00"/>
    <d v="1899-12-30T12:09:00"/>
    <x v="2"/>
    <n v="579.24"/>
    <n v="4.7619047620000003"/>
    <n v="28.962"/>
    <n v="8.6"/>
    <x v="1"/>
    <n v="3"/>
    <s v="High Value"/>
    <s v="High Value Order"/>
    <m/>
    <s v=""/>
    <m/>
    <m/>
    <s v=""/>
  </r>
  <r>
    <x v="94"/>
    <x v="1"/>
    <x v="1"/>
    <s v="Member"/>
    <s v="Female"/>
    <x v="0"/>
    <n v="89.75"/>
    <n v="1"/>
    <n v="4.4874999999999998"/>
    <n v="94.237499999999997"/>
    <d v="2019-02-06T00:00:00"/>
    <d v="1899-12-30T20:05:00"/>
    <x v="2"/>
    <n v="89.75"/>
    <n v="4.7619047620000003"/>
    <n v="4.4874999999999998"/>
    <n v="6.6"/>
    <x v="2"/>
    <n v="2"/>
    <s v="Standard"/>
    <s v="Standard Order"/>
    <m/>
    <s v=""/>
    <m/>
    <m/>
    <s v=""/>
  </r>
  <r>
    <x v="95"/>
    <x v="0"/>
    <x v="0"/>
    <s v="Member"/>
    <s v="Female"/>
    <x v="1"/>
    <n v="97.16"/>
    <n v="1"/>
    <n v="4.8579999999999997"/>
    <n v="102.018"/>
    <d v="2019-03-08T00:00:00"/>
    <d v="1899-12-30T20:38:00"/>
    <x v="0"/>
    <n v="97.16"/>
    <n v="4.7619047620000003"/>
    <n v="4.8579999999999997"/>
    <n v="7.2"/>
    <x v="1"/>
    <n v="3"/>
    <s v="Standard"/>
    <s v="Standard Order"/>
    <m/>
    <s v=""/>
    <m/>
    <m/>
    <s v=""/>
  </r>
  <r>
    <x v="96"/>
    <x v="2"/>
    <x v="2"/>
    <s v="Member"/>
    <s v="Female"/>
    <x v="0"/>
    <n v="87.87"/>
    <n v="10"/>
    <n v="43.935000000000002"/>
    <n v="922.63499999999999"/>
    <d v="2019-03-29T00:00:00"/>
    <d v="1899-12-30T10:25:00"/>
    <x v="0"/>
    <n v="878.7"/>
    <n v="4.7619047620000003"/>
    <n v="43.935000000000002"/>
    <n v="5.0999999999999996"/>
    <x v="1"/>
    <n v="3"/>
    <s v="High Value"/>
    <s v="High Value Order"/>
    <m/>
    <s v=""/>
    <m/>
    <m/>
    <s v=""/>
  </r>
  <r>
    <x v="97"/>
    <x v="1"/>
    <x v="1"/>
    <s v="Member"/>
    <s v="Female"/>
    <x v="1"/>
    <n v="12.45"/>
    <n v="6"/>
    <n v="3.7349999999999999"/>
    <n v="78.435000000000002"/>
    <d v="2019-02-09T00:00:00"/>
    <d v="1899-12-30T13:11:00"/>
    <x v="1"/>
    <n v="74.7"/>
    <n v="4.7619047620000003"/>
    <n v="3.7349999999999999"/>
    <n v="4.0999999999999996"/>
    <x v="2"/>
    <n v="2"/>
    <s v="Standard"/>
    <s v="Standard Order"/>
    <m/>
    <s v=""/>
    <m/>
    <m/>
    <s v=""/>
  </r>
  <r>
    <x v="98"/>
    <x v="0"/>
    <x v="0"/>
    <s v="Member"/>
    <s v="Female"/>
    <x v="4"/>
    <n v="52.75"/>
    <n v="3"/>
    <n v="7.9124999999999996"/>
    <n v="166.16249999999999"/>
    <d v="2019-03-23T00:00:00"/>
    <d v="1899-12-30T10:16:00"/>
    <x v="0"/>
    <n v="158.25"/>
    <n v="4.7619047620000003"/>
    <n v="7.9124999999999996"/>
    <n v="9.3000000000000007"/>
    <x v="1"/>
    <n v="3"/>
    <s v="Standard"/>
    <s v="Standard Order"/>
    <m/>
    <s v=""/>
    <m/>
    <m/>
    <s v=""/>
  </r>
  <r>
    <x v="99"/>
    <x v="2"/>
    <x v="2"/>
    <s v="Member"/>
    <s v="Female"/>
    <x v="2"/>
    <n v="82.7"/>
    <n v="6"/>
    <n v="24.81"/>
    <n v="521.01"/>
    <d v="2019-03-05T00:00:00"/>
    <d v="1899-12-30T18:14:00"/>
    <x v="1"/>
    <n v="496.2"/>
    <n v="4.7619047620000003"/>
    <n v="24.81"/>
    <n v="7.4"/>
    <x v="1"/>
    <n v="3"/>
    <s v="High Value"/>
    <s v="High Value Order"/>
    <m/>
    <s v=""/>
    <m/>
    <m/>
    <s v=""/>
  </r>
  <r>
    <x v="100"/>
    <x v="1"/>
    <x v="1"/>
    <s v="Member"/>
    <s v="Female"/>
    <x v="5"/>
    <n v="48.71"/>
    <n v="1"/>
    <n v="2.4355000000000002"/>
    <n v="51.145499999999998"/>
    <d v="2019-03-26T00:00:00"/>
    <d v="1899-12-30T19:20:00"/>
    <x v="1"/>
    <n v="48.71"/>
    <n v="4.7619047620000003"/>
    <n v="2.4355000000000002"/>
    <n v="4.0999999999999996"/>
    <x v="1"/>
    <n v="3"/>
    <s v="Standard"/>
    <s v="Standard Order"/>
    <m/>
    <s v=""/>
    <m/>
    <m/>
    <s v=""/>
  </r>
  <r>
    <x v="101"/>
    <x v="1"/>
    <x v="1"/>
    <s v="Member"/>
    <s v="Female"/>
    <x v="5"/>
    <n v="78.55"/>
    <n v="9"/>
    <n v="35.347499999999997"/>
    <n v="742.29750000000001"/>
    <d v="2019-03-01T00:00:00"/>
    <d v="1899-12-30T13:22:00"/>
    <x v="1"/>
    <n v="706.95"/>
    <n v="4.7619047620000003"/>
    <n v="35.347499999999997"/>
    <n v="7.2"/>
    <x v="1"/>
    <n v="3"/>
    <s v="High Value"/>
    <s v="High Value Order"/>
    <m/>
    <s v=""/>
    <m/>
    <m/>
    <s v=""/>
  </r>
  <r>
    <x v="102"/>
    <x v="1"/>
    <x v="1"/>
    <s v="Member"/>
    <s v="Female"/>
    <x v="1"/>
    <n v="23.07"/>
    <n v="9"/>
    <n v="10.381500000000001"/>
    <n v="218.01150000000001"/>
    <d v="2019-02-01T00:00:00"/>
    <d v="1899-12-30T11:27:00"/>
    <x v="1"/>
    <n v="207.63"/>
    <n v="4.7619047620000003"/>
    <n v="10.381500000000001"/>
    <n v="4.9000000000000004"/>
    <x v="2"/>
    <n v="2"/>
    <s v="Standard"/>
    <s v="Standard Order"/>
    <m/>
    <s v=""/>
    <m/>
    <m/>
    <s v=""/>
  </r>
  <r>
    <x v="103"/>
    <x v="0"/>
    <x v="0"/>
    <s v="Member"/>
    <s v="Female"/>
    <x v="4"/>
    <n v="58.26"/>
    <n v="6"/>
    <n v="17.478000000000002"/>
    <n v="367.03800000000001"/>
    <d v="2019-03-28T00:00:00"/>
    <d v="1899-12-30T16:44:00"/>
    <x v="1"/>
    <n v="349.56"/>
    <n v="4.7619047620000003"/>
    <n v="17.478000000000002"/>
    <n v="9.9"/>
    <x v="1"/>
    <n v="3"/>
    <s v="Standard"/>
    <s v="Standard Order"/>
    <m/>
    <s v=""/>
    <m/>
    <m/>
    <s v=""/>
  </r>
  <r>
    <x v="104"/>
    <x v="2"/>
    <x v="2"/>
    <s v="Member"/>
    <s v="Female"/>
    <x v="0"/>
    <n v="30.35"/>
    <n v="7"/>
    <n v="10.6225"/>
    <n v="223.07249999999999"/>
    <d v="2019-03-19T00:00:00"/>
    <d v="1899-12-30T18:19:00"/>
    <x v="1"/>
    <n v="212.45"/>
    <n v="4.7619047620000003"/>
    <n v="10.6225"/>
    <n v="8"/>
    <x v="1"/>
    <n v="3"/>
    <s v="Standard"/>
    <s v="Standard Order"/>
    <m/>
    <s v=""/>
    <m/>
    <m/>
    <s v=""/>
  </r>
  <r>
    <x v="105"/>
    <x v="0"/>
    <x v="0"/>
    <s v="Member"/>
    <s v="Female"/>
    <x v="1"/>
    <n v="88.67"/>
    <n v="10"/>
    <n v="44.335000000000001"/>
    <n v="931.03499999999997"/>
    <d v="2019-01-12T00:00:00"/>
    <d v="1899-12-30T14:50:00"/>
    <x v="0"/>
    <n v="886.7"/>
    <n v="4.7619047620000003"/>
    <n v="44.335000000000001"/>
    <n v="7.3"/>
    <x v="0"/>
    <n v="1"/>
    <s v="High Value"/>
    <s v="High Value Order"/>
    <m/>
    <s v=""/>
    <m/>
    <m/>
    <s v=""/>
  </r>
  <r>
    <x v="106"/>
    <x v="1"/>
    <x v="1"/>
    <s v="Member"/>
    <s v="Female"/>
    <x v="5"/>
    <n v="27.38"/>
    <n v="6"/>
    <n v="8.2140000000000004"/>
    <n v="172.494"/>
    <d v="2019-01-05T00:00:00"/>
    <d v="1899-12-30T20:54:00"/>
    <x v="2"/>
    <n v="164.28"/>
    <n v="4.7619047620000003"/>
    <n v="8.2140000000000004"/>
    <n v="7.9"/>
    <x v="0"/>
    <n v="1"/>
    <s v="Standard"/>
    <s v="Standard Order"/>
    <m/>
    <s v=""/>
    <m/>
    <m/>
    <s v=""/>
  </r>
  <r>
    <x v="107"/>
    <x v="0"/>
    <x v="0"/>
    <s v="Member"/>
    <s v="Female"/>
    <x v="3"/>
    <n v="62.13"/>
    <n v="6"/>
    <n v="18.638999999999999"/>
    <n v="391.41899999999998"/>
    <d v="2019-03-22T00:00:00"/>
    <d v="1899-12-30T20:19:00"/>
    <x v="1"/>
    <n v="372.78"/>
    <n v="4.7619047620000003"/>
    <n v="18.638999999999999"/>
    <n v="7.4"/>
    <x v="1"/>
    <n v="3"/>
    <s v="Standard"/>
    <s v="Standard Order"/>
    <m/>
    <s v=""/>
    <m/>
    <m/>
    <s v=""/>
  </r>
  <r>
    <x v="108"/>
    <x v="1"/>
    <x v="1"/>
    <s v="Member"/>
    <s v="Female"/>
    <x v="4"/>
    <n v="33.979999999999997"/>
    <n v="9"/>
    <n v="15.291"/>
    <n v="321.11099999999999"/>
    <d v="2019-03-24T00:00:00"/>
    <d v="1899-12-30T10:43:00"/>
    <x v="1"/>
    <n v="305.82"/>
    <n v="4.7619047620000003"/>
    <n v="15.291"/>
    <n v="4.2"/>
    <x v="1"/>
    <n v="3"/>
    <s v="Standard"/>
    <s v="Standard Order"/>
    <m/>
    <s v=""/>
    <m/>
    <m/>
    <s v=""/>
  </r>
  <r>
    <x v="109"/>
    <x v="1"/>
    <x v="1"/>
    <s v="Member"/>
    <s v="Female"/>
    <x v="1"/>
    <n v="81.97"/>
    <n v="10"/>
    <n v="40.984999999999999"/>
    <n v="860.68499999999995"/>
    <d v="2019-03-03T00:00:00"/>
    <d v="1899-12-30T14:30:00"/>
    <x v="1"/>
    <n v="819.7"/>
    <n v="4.7619047620000003"/>
    <n v="40.984999999999999"/>
    <n v="9.1999999999999993"/>
    <x v="1"/>
    <n v="3"/>
    <s v="High Value"/>
    <s v="High Value Order"/>
    <m/>
    <s v=""/>
    <m/>
    <m/>
    <s v=""/>
  </r>
  <r>
    <x v="110"/>
    <x v="2"/>
    <x v="2"/>
    <s v="Member"/>
    <s v="Female"/>
    <x v="3"/>
    <n v="16.489999999999998"/>
    <n v="2"/>
    <n v="1.649"/>
    <n v="34.628999999999998"/>
    <d v="2019-02-05T00:00:00"/>
    <d v="1899-12-30T11:32:00"/>
    <x v="0"/>
    <n v="32.979999999999997"/>
    <n v="4.7619047620000003"/>
    <n v="1.649"/>
    <n v="4.5999999999999996"/>
    <x v="2"/>
    <n v="2"/>
    <s v="Standard"/>
    <s v="Standard Order"/>
    <m/>
    <s v=""/>
    <m/>
    <m/>
    <s v=""/>
  </r>
  <r>
    <x v="111"/>
    <x v="1"/>
    <x v="1"/>
    <s v="Member"/>
    <s v="Female"/>
    <x v="0"/>
    <n v="98.21"/>
    <n v="3"/>
    <n v="14.7315"/>
    <n v="309.36149999999998"/>
    <d v="2019-02-05T00:00:00"/>
    <d v="1899-12-30T10:41:00"/>
    <x v="2"/>
    <n v="294.63"/>
    <n v="4.7619047620000003"/>
    <n v="14.7315"/>
    <n v="7.8"/>
    <x v="2"/>
    <n v="2"/>
    <s v="Standard"/>
    <s v="Standard Order"/>
    <m/>
    <s v=""/>
    <m/>
    <m/>
    <s v=""/>
  </r>
  <r>
    <x v="112"/>
    <x v="2"/>
    <x v="2"/>
    <s v="Member"/>
    <s v="Female"/>
    <x v="5"/>
    <n v="72.84"/>
    <n v="7"/>
    <n v="25.494"/>
    <n v="535.37400000000002"/>
    <d v="2019-02-15T00:00:00"/>
    <d v="1899-12-30T12:44:00"/>
    <x v="1"/>
    <n v="509.88"/>
    <n v="4.7619047620000003"/>
    <n v="25.494"/>
    <n v="8.4"/>
    <x v="2"/>
    <n v="2"/>
    <s v="High Value"/>
    <s v="High Value Order"/>
    <m/>
    <s v=""/>
    <m/>
    <m/>
    <s v=""/>
  </r>
  <r>
    <x v="113"/>
    <x v="0"/>
    <x v="0"/>
    <s v="Member"/>
    <s v="Female"/>
    <x v="2"/>
    <n v="58.07"/>
    <n v="9"/>
    <n v="26.131499999999999"/>
    <n v="548.76149999999996"/>
    <d v="2019-01-19T00:00:00"/>
    <d v="1899-12-30T20:07:00"/>
    <x v="0"/>
    <n v="522.63"/>
    <n v="4.7619047620000003"/>
    <n v="26.131499999999999"/>
    <n v="4.3"/>
    <x v="0"/>
    <n v="1"/>
    <s v="High Value"/>
    <s v="High Value Order"/>
    <m/>
    <s v=""/>
    <m/>
    <m/>
    <s v=""/>
  </r>
  <r>
    <x v="114"/>
    <x v="1"/>
    <x v="1"/>
    <s v="Member"/>
    <s v="Female"/>
    <x v="2"/>
    <n v="80.790000000000006"/>
    <n v="9"/>
    <n v="36.355499999999999"/>
    <n v="763.46550000000002"/>
    <d v="2019-02-01T00:00:00"/>
    <d v="1899-12-30T20:31:00"/>
    <x v="2"/>
    <n v="727.11"/>
    <n v="4.7619047620000003"/>
    <n v="36.355499999999999"/>
    <n v="9.5"/>
    <x v="2"/>
    <n v="2"/>
    <s v="High Value"/>
    <s v="High Value Order"/>
    <m/>
    <s v=""/>
    <m/>
    <m/>
    <s v=""/>
  </r>
  <r>
    <x v="115"/>
    <x v="1"/>
    <x v="1"/>
    <s v="Member"/>
    <s v="Female"/>
    <x v="5"/>
    <n v="27.02"/>
    <n v="3"/>
    <n v="4.0529999999999999"/>
    <n v="85.113"/>
    <d v="2019-03-02T00:00:00"/>
    <d v="1899-12-30T13:01:00"/>
    <x v="2"/>
    <n v="81.06"/>
    <n v="4.7619047620000003"/>
    <n v="4.0529999999999999"/>
    <n v="7.1"/>
    <x v="1"/>
    <n v="3"/>
    <s v="Standard"/>
    <s v="Standard Order"/>
    <m/>
    <s v=""/>
    <m/>
    <m/>
    <s v=""/>
  </r>
  <r>
    <x v="116"/>
    <x v="2"/>
    <x v="2"/>
    <s v="Member"/>
    <s v="Female"/>
    <x v="5"/>
    <n v="21.94"/>
    <n v="5"/>
    <n v="5.4850000000000003"/>
    <n v="115.185"/>
    <d v="2019-03-05T00:00:00"/>
    <d v="1899-12-30T12:29:00"/>
    <x v="0"/>
    <n v="109.7"/>
    <n v="4.7619047620000003"/>
    <n v="5.4850000000000003"/>
    <n v="5.3"/>
    <x v="1"/>
    <n v="3"/>
    <s v="Standard"/>
    <s v="Standard Order"/>
    <m/>
    <s v=""/>
    <m/>
    <m/>
    <s v=""/>
  </r>
  <r>
    <x v="117"/>
    <x v="2"/>
    <x v="2"/>
    <s v="Member"/>
    <s v="Female"/>
    <x v="5"/>
    <n v="51.36"/>
    <n v="1"/>
    <n v="2.5680000000000001"/>
    <n v="53.927999999999997"/>
    <d v="2019-01-16T00:00:00"/>
    <d v="1899-12-30T15:26:00"/>
    <x v="0"/>
    <n v="51.36"/>
    <n v="4.7619047620000003"/>
    <n v="2.5680000000000001"/>
    <n v="5.2"/>
    <x v="0"/>
    <n v="1"/>
    <s v="Standard"/>
    <s v="Standard Order"/>
    <m/>
    <s v=""/>
    <m/>
    <m/>
    <s v=""/>
  </r>
  <r>
    <x v="118"/>
    <x v="0"/>
    <x v="0"/>
    <s v="Member"/>
    <s v="Female"/>
    <x v="4"/>
    <n v="10.96"/>
    <n v="10"/>
    <n v="5.48"/>
    <n v="115.08"/>
    <d v="2019-02-02T00:00:00"/>
    <d v="1899-12-30T20:48:00"/>
    <x v="0"/>
    <n v="109.6"/>
    <n v="4.7619047620000003"/>
    <n v="5.48"/>
    <n v="6"/>
    <x v="2"/>
    <n v="2"/>
    <s v="Standard"/>
    <s v="Standard Order"/>
    <m/>
    <s v=""/>
    <m/>
    <m/>
    <s v=""/>
  </r>
  <r>
    <x v="119"/>
    <x v="2"/>
    <x v="2"/>
    <s v="Member"/>
    <s v="Female"/>
    <x v="2"/>
    <n v="53.44"/>
    <n v="2"/>
    <n v="5.3440000000000003"/>
    <n v="112.224"/>
    <d v="2019-01-20T00:00:00"/>
    <d v="1899-12-30T20:38:00"/>
    <x v="0"/>
    <n v="106.88"/>
    <n v="4.7619047620000003"/>
    <n v="5.3440000000000003"/>
    <n v="4.0999999999999996"/>
    <x v="0"/>
    <n v="1"/>
    <s v="Standard"/>
    <s v="Standard Order"/>
    <m/>
    <s v=""/>
    <m/>
    <m/>
    <s v=""/>
  </r>
  <r>
    <x v="120"/>
    <x v="0"/>
    <x v="0"/>
    <s v="Member"/>
    <s v="Female"/>
    <x v="1"/>
    <n v="99.56"/>
    <n v="8"/>
    <n v="39.823999999999998"/>
    <n v="836.30399999999997"/>
    <d v="2019-02-14T00:00:00"/>
    <d v="1899-12-30T17:03:00"/>
    <x v="2"/>
    <n v="796.48"/>
    <n v="4.7619047620000003"/>
    <n v="39.823999999999998"/>
    <n v="5.2"/>
    <x v="2"/>
    <n v="2"/>
    <s v="High Value"/>
    <s v="High Value Order"/>
    <m/>
    <s v=""/>
    <m/>
    <m/>
    <s v=""/>
  </r>
  <r>
    <x v="121"/>
    <x v="1"/>
    <x v="1"/>
    <s v="Member"/>
    <s v="Female"/>
    <x v="3"/>
    <n v="57.12"/>
    <n v="7"/>
    <n v="19.992000000000001"/>
    <n v="419.83199999999999"/>
    <d v="2019-01-12T00:00:00"/>
    <d v="1899-12-30T12:02:00"/>
    <x v="2"/>
    <n v="399.84"/>
    <n v="4.7619047620000003"/>
    <n v="19.992000000000001"/>
    <n v="6.5"/>
    <x v="0"/>
    <n v="1"/>
    <s v="Standard"/>
    <s v="Standard Order"/>
    <m/>
    <s v=""/>
    <m/>
    <m/>
    <s v=""/>
  </r>
  <r>
    <x v="122"/>
    <x v="2"/>
    <x v="2"/>
    <s v="Member"/>
    <s v="Female"/>
    <x v="3"/>
    <n v="99.96"/>
    <n v="9"/>
    <n v="44.981999999999999"/>
    <n v="944.62199999999996"/>
    <d v="2019-03-09T00:00:00"/>
    <d v="1899-12-30T17:26:00"/>
    <x v="2"/>
    <n v="899.64"/>
    <n v="4.7619047620000003"/>
    <n v="44.981999999999999"/>
    <n v="4.2"/>
    <x v="1"/>
    <n v="3"/>
    <s v="High Value"/>
    <s v="High Value Order"/>
    <m/>
    <s v=""/>
    <m/>
    <m/>
    <s v=""/>
  </r>
  <r>
    <x v="123"/>
    <x v="1"/>
    <x v="1"/>
    <s v="Member"/>
    <s v="Female"/>
    <x v="2"/>
    <n v="63.91"/>
    <n v="8"/>
    <n v="25.564"/>
    <n v="536.84400000000005"/>
    <d v="2019-03-13T00:00:00"/>
    <d v="1899-12-30T19:52:00"/>
    <x v="2"/>
    <n v="511.28"/>
    <n v="4.7619047620000003"/>
    <n v="25.564"/>
    <n v="4.5999999999999996"/>
    <x v="1"/>
    <n v="3"/>
    <s v="High Value"/>
    <s v="High Value Order"/>
    <m/>
    <s v=""/>
    <m/>
    <m/>
    <s v=""/>
  </r>
  <r>
    <x v="124"/>
    <x v="2"/>
    <x v="2"/>
    <s v="Member"/>
    <s v="Female"/>
    <x v="5"/>
    <n v="56.47"/>
    <n v="8"/>
    <n v="22.588000000000001"/>
    <n v="474.34800000000001"/>
    <d v="2019-03-09T00:00:00"/>
    <d v="1899-12-30T14:57:00"/>
    <x v="0"/>
    <n v="451.76"/>
    <n v="4.7619047620000003"/>
    <n v="22.588000000000001"/>
    <n v="7.3"/>
    <x v="1"/>
    <n v="3"/>
    <s v="Standard"/>
    <s v="Standard Order"/>
    <m/>
    <s v=""/>
    <m/>
    <m/>
    <s v=""/>
  </r>
  <r>
    <x v="125"/>
    <x v="0"/>
    <x v="0"/>
    <s v="Member"/>
    <s v="Female"/>
    <x v="2"/>
    <n v="93.69"/>
    <n v="7"/>
    <n v="32.791499999999999"/>
    <n v="688.62149999999997"/>
    <d v="2019-03-10T00:00:00"/>
    <d v="1899-12-30T18:44:00"/>
    <x v="2"/>
    <n v="655.83"/>
    <n v="4.7619047620000003"/>
    <n v="32.791499999999999"/>
    <n v="4.5"/>
    <x v="1"/>
    <n v="3"/>
    <s v="High Value"/>
    <s v="High Value Order"/>
    <m/>
    <s v=""/>
    <m/>
    <m/>
    <s v=""/>
  </r>
  <r>
    <x v="126"/>
    <x v="0"/>
    <x v="0"/>
    <s v="Member"/>
    <s v="Female"/>
    <x v="3"/>
    <n v="32.25"/>
    <n v="5"/>
    <n v="8.0625"/>
    <n v="169.3125"/>
    <d v="2019-01-27T00:00:00"/>
    <d v="1899-12-30T13:26:00"/>
    <x v="1"/>
    <n v="161.25"/>
    <n v="4.7619047620000003"/>
    <n v="8.0625"/>
    <n v="9"/>
    <x v="0"/>
    <n v="1"/>
    <s v="Standard"/>
    <s v="Standard Order"/>
    <m/>
    <s v=""/>
    <m/>
    <m/>
    <s v=""/>
  </r>
  <r>
    <x v="127"/>
    <x v="1"/>
    <x v="1"/>
    <s v="Member"/>
    <s v="Female"/>
    <x v="5"/>
    <n v="31.73"/>
    <n v="9"/>
    <n v="14.278499999999999"/>
    <n v="299.8485"/>
    <d v="2019-01-08T00:00:00"/>
    <d v="1899-12-30T16:17:00"/>
    <x v="2"/>
    <n v="285.57"/>
    <n v="4.7619047620000003"/>
    <n v="14.278499999999999"/>
    <n v="5.9"/>
    <x v="0"/>
    <n v="1"/>
    <s v="Standard"/>
    <s v="Standard Order"/>
    <m/>
    <s v=""/>
    <m/>
    <m/>
    <s v=""/>
  </r>
  <r>
    <x v="128"/>
    <x v="1"/>
    <x v="1"/>
    <s v="Member"/>
    <s v="Female"/>
    <x v="4"/>
    <n v="68.540000000000006"/>
    <n v="8"/>
    <n v="27.416"/>
    <n v="575.73599999999999"/>
    <d v="2019-01-08T00:00:00"/>
    <d v="1899-12-30T15:57:00"/>
    <x v="0"/>
    <n v="548.32000000000005"/>
    <n v="4.7619047620000003"/>
    <n v="27.416"/>
    <n v="8.5"/>
    <x v="0"/>
    <n v="1"/>
    <s v="High Value"/>
    <s v="High Value Order"/>
    <m/>
    <s v=""/>
    <m/>
    <m/>
    <s v=""/>
  </r>
  <r>
    <x v="129"/>
    <x v="2"/>
    <x v="2"/>
    <s v="Member"/>
    <s v="Female"/>
    <x v="3"/>
    <n v="90.28"/>
    <n v="9"/>
    <n v="40.625999999999998"/>
    <n v="853.14599999999996"/>
    <d v="2019-02-08T00:00:00"/>
    <d v="1899-12-30T11:15:00"/>
    <x v="0"/>
    <n v="812.52"/>
    <n v="4.7619047620000003"/>
    <n v="40.625999999999998"/>
    <n v="7.2"/>
    <x v="2"/>
    <n v="2"/>
    <s v="High Value"/>
    <s v="High Value Order"/>
    <m/>
    <s v=""/>
    <m/>
    <m/>
    <s v=""/>
  </r>
  <r>
    <x v="130"/>
    <x v="2"/>
    <x v="2"/>
    <s v="Normal"/>
    <s v="Female"/>
    <x v="5"/>
    <n v="39.619999999999997"/>
    <n v="7"/>
    <n v="13.867000000000001"/>
    <n v="291.20699999999999"/>
    <d v="2019-01-25T00:00:00"/>
    <d v="1899-12-30T13:18:00"/>
    <x v="1"/>
    <n v="277.33999999999997"/>
    <n v="4.7619047620000003"/>
    <n v="13.867000000000001"/>
    <n v="7.5"/>
    <x v="0"/>
    <n v="1"/>
    <s v="Standard"/>
    <s v="Standard Order"/>
    <m/>
    <s v=""/>
    <m/>
    <m/>
    <s v=""/>
  </r>
  <r>
    <x v="131"/>
    <x v="0"/>
    <x v="0"/>
    <s v="Member"/>
    <s v="Female"/>
    <x v="3"/>
    <n v="92.13"/>
    <n v="6"/>
    <n v="27.638999999999999"/>
    <n v="580.41899999999998"/>
    <d v="2019-03-06T00:00:00"/>
    <d v="1899-12-30T20:34:00"/>
    <x v="1"/>
    <n v="552.78"/>
    <n v="4.7619047620000003"/>
    <n v="27.638999999999999"/>
    <n v="8.3000000000000007"/>
    <x v="1"/>
    <n v="3"/>
    <s v="High Value"/>
    <s v="High Value Order"/>
    <m/>
    <s v=""/>
    <m/>
    <m/>
    <s v=""/>
  </r>
  <r>
    <x v="132"/>
    <x v="2"/>
    <x v="2"/>
    <s v="Normal"/>
    <s v="Female"/>
    <x v="3"/>
    <n v="34.840000000000003"/>
    <n v="4"/>
    <n v="6.968"/>
    <n v="146.328"/>
    <d v="2019-02-10T00:00:00"/>
    <d v="1899-12-30T18:36:00"/>
    <x v="1"/>
    <n v="139.36000000000001"/>
    <n v="4.7619047620000003"/>
    <n v="6.968"/>
    <n v="7.4"/>
    <x v="2"/>
    <n v="2"/>
    <s v="Standard"/>
    <s v="Standard Order"/>
    <m/>
    <s v=""/>
    <m/>
    <m/>
    <s v=""/>
  </r>
  <r>
    <x v="133"/>
    <x v="2"/>
    <x v="2"/>
    <s v="Member"/>
    <s v="Female"/>
    <x v="1"/>
    <n v="87.45"/>
    <n v="6"/>
    <n v="26.234999999999999"/>
    <n v="550.93499999999995"/>
    <d v="2019-02-17T00:00:00"/>
    <d v="1899-12-30T14:40:00"/>
    <x v="2"/>
    <n v="524.70000000000005"/>
    <n v="4.7619047620000003"/>
    <n v="26.234999999999999"/>
    <n v="8.8000000000000007"/>
    <x v="2"/>
    <n v="2"/>
    <s v="High Value"/>
    <s v="High Value Order"/>
    <m/>
    <s v=""/>
    <m/>
    <m/>
    <s v=""/>
  </r>
  <r>
    <x v="134"/>
    <x v="1"/>
    <x v="1"/>
    <s v="Normal"/>
    <s v="Female"/>
    <x v="0"/>
    <n v="81.3"/>
    <n v="6"/>
    <n v="24.39"/>
    <n v="512.19000000000005"/>
    <d v="2019-03-08T00:00:00"/>
    <d v="1899-12-30T16:43:00"/>
    <x v="0"/>
    <n v="487.8"/>
    <n v="4.7619047620000003"/>
    <n v="24.39"/>
    <n v="5.3"/>
    <x v="1"/>
    <n v="3"/>
    <s v="High Value"/>
    <s v="High Value Order"/>
    <m/>
    <s v=""/>
    <m/>
    <m/>
    <s v=""/>
  </r>
  <r>
    <x v="135"/>
    <x v="1"/>
    <x v="1"/>
    <s v="Normal"/>
    <s v="Female"/>
    <x v="5"/>
    <n v="90.22"/>
    <n v="3"/>
    <n v="13.532999999999999"/>
    <n v="284.19299999999998"/>
    <d v="2019-02-18T00:00:00"/>
    <d v="1899-12-30T19:39:00"/>
    <x v="1"/>
    <n v="270.66000000000003"/>
    <n v="4.7619047620000003"/>
    <n v="13.532999999999999"/>
    <n v="6.2"/>
    <x v="2"/>
    <n v="2"/>
    <s v="Standard"/>
    <s v="Standard Order"/>
    <m/>
    <s v=""/>
    <m/>
    <m/>
    <s v=""/>
  </r>
  <r>
    <x v="136"/>
    <x v="0"/>
    <x v="0"/>
    <s v="Normal"/>
    <s v="Female"/>
    <x v="1"/>
    <n v="26.31"/>
    <n v="5"/>
    <n v="6.5774999999999997"/>
    <n v="138.1275"/>
    <d v="2019-01-18T00:00:00"/>
    <d v="1899-12-30T20:59:00"/>
    <x v="2"/>
    <n v="131.55000000000001"/>
    <n v="4.7619047620000003"/>
    <n v="6.5774999999999997"/>
    <n v="8.8000000000000007"/>
    <x v="0"/>
    <n v="1"/>
    <s v="Standard"/>
    <s v="Standard Order"/>
    <m/>
    <s v=""/>
    <m/>
    <m/>
    <s v=""/>
  </r>
  <r>
    <x v="137"/>
    <x v="0"/>
    <x v="0"/>
    <s v="Member"/>
    <s v="Female"/>
    <x v="2"/>
    <n v="34.42"/>
    <n v="6"/>
    <n v="10.326000000000001"/>
    <n v="216.846"/>
    <d v="2019-02-18T00:00:00"/>
    <d v="1899-12-30T15:39:00"/>
    <x v="1"/>
    <n v="206.52"/>
    <n v="4.7619047620000003"/>
    <n v="10.326000000000001"/>
    <n v="9.8000000000000007"/>
    <x v="2"/>
    <n v="2"/>
    <s v="Standard"/>
    <s v="Standard Order"/>
    <m/>
    <s v=""/>
    <m/>
    <m/>
    <s v=""/>
  </r>
  <r>
    <x v="138"/>
    <x v="2"/>
    <x v="2"/>
    <s v="Normal"/>
    <s v="Female"/>
    <x v="3"/>
    <n v="51.91"/>
    <n v="10"/>
    <n v="25.954999999999998"/>
    <n v="545.05499999999995"/>
    <d v="2019-02-16T00:00:00"/>
    <d v="1899-12-30T12:21:00"/>
    <x v="1"/>
    <n v="519.1"/>
    <n v="4.7619047620000003"/>
    <n v="25.954999999999998"/>
    <n v="8.1999999999999993"/>
    <x v="2"/>
    <n v="2"/>
    <s v="High Value"/>
    <s v="High Value Order"/>
    <m/>
    <s v=""/>
    <m/>
    <m/>
    <s v=""/>
  </r>
  <r>
    <x v="139"/>
    <x v="0"/>
    <x v="0"/>
    <s v="Normal"/>
    <s v="Female"/>
    <x v="3"/>
    <n v="72.5"/>
    <n v="8"/>
    <n v="29"/>
    <n v="609"/>
    <d v="2019-03-16T00:00:00"/>
    <d v="1899-12-30T19:25:00"/>
    <x v="0"/>
    <n v="580"/>
    <n v="4.7619047620000003"/>
    <n v="29"/>
    <n v="9.1999999999999993"/>
    <x v="1"/>
    <n v="3"/>
    <s v="High Value"/>
    <s v="High Value Order"/>
    <m/>
    <s v=""/>
    <m/>
    <m/>
    <s v=""/>
  </r>
  <r>
    <x v="140"/>
    <x v="1"/>
    <x v="1"/>
    <s v="Member"/>
    <s v="Female"/>
    <x v="3"/>
    <n v="89.8"/>
    <n v="10"/>
    <n v="44.9"/>
    <n v="942.9"/>
    <d v="2019-01-23T00:00:00"/>
    <d v="1899-12-30T13:00:00"/>
    <x v="2"/>
    <n v="898"/>
    <n v="4.7619047620000003"/>
    <n v="44.9"/>
    <n v="5.4"/>
    <x v="0"/>
    <n v="1"/>
    <s v="High Value"/>
    <s v="High Value Order"/>
    <m/>
    <s v=""/>
    <m/>
    <m/>
    <s v=""/>
  </r>
  <r>
    <x v="141"/>
    <x v="1"/>
    <x v="1"/>
    <s v="Member"/>
    <s v="Male"/>
    <x v="0"/>
    <n v="90.5"/>
    <n v="10"/>
    <n v="45.25"/>
    <n v="950.25"/>
    <d v="2019-01-25T00:00:00"/>
    <d v="1899-12-30T13:48:00"/>
    <x v="1"/>
    <n v="905"/>
    <n v="4.7619047620000003"/>
    <n v="45.25"/>
    <n v="8.1"/>
    <x v="0"/>
    <n v="1"/>
    <s v="High Value"/>
    <s v="High Value Order"/>
    <m/>
    <s v=""/>
    <m/>
    <m/>
    <s v=""/>
  </r>
  <r>
    <x v="142"/>
    <x v="1"/>
    <x v="1"/>
    <s v="Member"/>
    <s v="Female"/>
    <x v="0"/>
    <n v="68.599999999999994"/>
    <n v="10"/>
    <n v="34.299999999999997"/>
    <n v="720.3"/>
    <d v="2019-02-05T00:00:00"/>
    <d v="1899-12-30T19:57:00"/>
    <x v="1"/>
    <n v="686"/>
    <n v="4.7619047620000003"/>
    <n v="34.299999999999997"/>
    <n v="9.1"/>
    <x v="2"/>
    <n v="2"/>
    <s v="High Value"/>
    <s v="High Value Order"/>
    <m/>
    <s v=""/>
    <m/>
    <m/>
    <s v=""/>
  </r>
  <r>
    <x v="143"/>
    <x v="1"/>
    <x v="1"/>
    <s v="Member"/>
    <s v="Female"/>
    <x v="4"/>
    <n v="30.41"/>
    <n v="1"/>
    <n v="1.5205"/>
    <n v="31.930499999999999"/>
    <d v="2019-02-22T00:00:00"/>
    <d v="1899-12-30T10:36:00"/>
    <x v="2"/>
    <n v="30.41"/>
    <n v="4.7619047620000003"/>
    <n v="1.5205"/>
    <n v="8.4"/>
    <x v="2"/>
    <n v="2"/>
    <s v="Standard"/>
    <s v="Standard Order"/>
    <m/>
    <s v=""/>
    <m/>
    <m/>
    <s v=""/>
  </r>
  <r>
    <x v="144"/>
    <x v="0"/>
    <x v="0"/>
    <s v="Normal"/>
    <s v="Female"/>
    <x v="2"/>
    <n v="77.95"/>
    <n v="6"/>
    <n v="23.385000000000002"/>
    <n v="491.08499999999998"/>
    <d v="2019-01-21T00:00:00"/>
    <d v="1899-12-30T16:37:00"/>
    <x v="0"/>
    <n v="467.7"/>
    <n v="4.7619047620000003"/>
    <n v="23.385000000000002"/>
    <n v="8"/>
    <x v="0"/>
    <n v="1"/>
    <s v="Standard"/>
    <s v="Standard Order"/>
    <m/>
    <s v=""/>
    <m/>
    <m/>
    <s v=""/>
  </r>
  <r>
    <x v="145"/>
    <x v="1"/>
    <x v="1"/>
    <s v="Normal"/>
    <s v="Female"/>
    <x v="0"/>
    <n v="46.26"/>
    <n v="6"/>
    <n v="13.878"/>
    <n v="291.43799999999999"/>
    <d v="2019-03-08T00:00:00"/>
    <d v="1899-12-30T17:11:00"/>
    <x v="2"/>
    <n v="277.56"/>
    <n v="4.7619047620000003"/>
    <n v="13.878"/>
    <n v="9.5"/>
    <x v="1"/>
    <n v="3"/>
    <s v="Standard"/>
    <s v="Standard Order"/>
    <m/>
    <s v=""/>
    <m/>
    <m/>
    <s v=""/>
  </r>
  <r>
    <x v="146"/>
    <x v="0"/>
    <x v="0"/>
    <s v="Member"/>
    <s v="Female"/>
    <x v="5"/>
    <n v="30.14"/>
    <n v="10"/>
    <n v="15.07"/>
    <n v="316.47000000000003"/>
    <d v="2019-02-10T00:00:00"/>
    <d v="1899-12-30T12:28:00"/>
    <x v="0"/>
    <n v="301.39999999999998"/>
    <n v="4.7619047620000003"/>
    <n v="15.07"/>
    <n v="9.1999999999999993"/>
    <x v="2"/>
    <n v="2"/>
    <s v="Standard"/>
    <s v="Standard Order"/>
    <m/>
    <s v=""/>
    <m/>
    <m/>
    <s v=""/>
  </r>
  <r>
    <x v="147"/>
    <x v="1"/>
    <x v="1"/>
    <s v="Normal"/>
    <s v="Male"/>
    <x v="0"/>
    <n v="66.14"/>
    <n v="4"/>
    <n v="13.228"/>
    <n v="277.78800000000001"/>
    <d v="2019-03-19T00:00:00"/>
    <d v="1899-12-30T12:46:00"/>
    <x v="2"/>
    <n v="264.56"/>
    <n v="4.7619047620000003"/>
    <n v="13.228"/>
    <n v="5.6"/>
    <x v="1"/>
    <n v="3"/>
    <s v="Standard"/>
    <s v="Standard Order"/>
    <m/>
    <s v=""/>
    <m/>
    <m/>
    <s v=""/>
  </r>
  <r>
    <x v="148"/>
    <x v="2"/>
    <x v="2"/>
    <s v="Member"/>
    <s v="Male"/>
    <x v="2"/>
    <n v="71.86"/>
    <n v="8"/>
    <n v="28.744"/>
    <n v="603.62400000000002"/>
    <d v="2019-03-06T00:00:00"/>
    <d v="1899-12-30T15:07:00"/>
    <x v="2"/>
    <n v="574.88"/>
    <n v="4.7619047620000003"/>
    <n v="28.744"/>
    <n v="6.2"/>
    <x v="1"/>
    <n v="3"/>
    <s v="High Value"/>
    <s v="High Value Order"/>
    <m/>
    <s v=""/>
    <m/>
    <m/>
    <s v=""/>
  </r>
  <r>
    <x v="149"/>
    <x v="0"/>
    <x v="0"/>
    <s v="Normal"/>
    <s v="Male"/>
    <x v="0"/>
    <n v="32.46"/>
    <n v="8"/>
    <n v="12.984"/>
    <n v="272.66399999999999"/>
    <d v="2019-03-27T00:00:00"/>
    <d v="1899-12-30T13:48:00"/>
    <x v="2"/>
    <n v="259.68"/>
    <n v="4.7619047620000003"/>
    <n v="12.984"/>
    <n v="4.9000000000000004"/>
    <x v="1"/>
    <n v="3"/>
    <s v="Standard"/>
    <s v="Standard Order"/>
    <m/>
    <s v=""/>
    <m/>
    <m/>
    <s v=""/>
  </r>
  <r>
    <x v="150"/>
    <x v="2"/>
    <x v="2"/>
    <s v="Member"/>
    <s v="Female"/>
    <x v="5"/>
    <n v="91.54"/>
    <n v="4"/>
    <n v="18.308"/>
    <n v="384.46800000000002"/>
    <d v="2019-03-23T00:00:00"/>
    <d v="1899-12-30T19:20:00"/>
    <x v="2"/>
    <n v="366.16"/>
    <n v="4.7619047620000003"/>
    <n v="18.308"/>
    <n v="4.8"/>
    <x v="1"/>
    <n v="3"/>
    <s v="Standard"/>
    <s v="Standard Order"/>
    <m/>
    <s v=""/>
    <m/>
    <m/>
    <s v=""/>
  </r>
  <r>
    <x v="151"/>
    <x v="1"/>
    <x v="1"/>
    <s v="Member"/>
    <s v="Male"/>
    <x v="3"/>
    <n v="34.56"/>
    <n v="7"/>
    <n v="12.096"/>
    <n v="254.01599999999999"/>
    <d v="2019-03-11T00:00:00"/>
    <d v="1899-12-30T16:07:00"/>
    <x v="2"/>
    <n v="241.92"/>
    <n v="4.7619047620000003"/>
    <n v="12.096"/>
    <n v="7.3"/>
    <x v="1"/>
    <n v="3"/>
    <s v="Standard"/>
    <s v="Standard Order"/>
    <m/>
    <s v=""/>
    <m/>
    <m/>
    <s v=""/>
  </r>
  <r>
    <x v="152"/>
    <x v="0"/>
    <x v="0"/>
    <s v="Normal"/>
    <s v="Male"/>
    <x v="5"/>
    <n v="83.24"/>
    <n v="9"/>
    <n v="37.457999999999998"/>
    <n v="786.61800000000005"/>
    <d v="2019-01-29T00:00:00"/>
    <d v="1899-12-30T11:56:00"/>
    <x v="2"/>
    <n v="749.16"/>
    <n v="4.7619047620000003"/>
    <n v="37.457999999999998"/>
    <n v="7.4"/>
    <x v="0"/>
    <n v="1"/>
    <s v="High Value"/>
    <s v="High Value Order"/>
    <m/>
    <s v=""/>
    <m/>
    <m/>
    <s v=""/>
  </r>
  <r>
    <x v="153"/>
    <x v="1"/>
    <x v="1"/>
    <s v="Normal"/>
    <s v="Female"/>
    <x v="4"/>
    <n v="16.48"/>
    <n v="6"/>
    <n v="4.944"/>
    <n v="103.824"/>
    <d v="2019-02-07T00:00:00"/>
    <d v="1899-12-30T18:23:00"/>
    <x v="0"/>
    <n v="98.88"/>
    <n v="4.7619047620000003"/>
    <n v="4.944"/>
    <n v="9.9"/>
    <x v="2"/>
    <n v="2"/>
    <s v="Standard"/>
    <s v="Standard Order"/>
    <m/>
    <s v=""/>
    <m/>
    <m/>
    <s v=""/>
  </r>
  <r>
    <x v="154"/>
    <x v="1"/>
    <x v="1"/>
    <s v="Normal"/>
    <s v="Female"/>
    <x v="3"/>
    <n v="80.97"/>
    <n v="8"/>
    <n v="32.387999999999998"/>
    <n v="680.14800000000002"/>
    <d v="2019-01-28T00:00:00"/>
    <d v="1899-12-30T13:05:00"/>
    <x v="1"/>
    <n v="647.76"/>
    <n v="4.7619047620000003"/>
    <n v="32.387999999999998"/>
    <n v="9.3000000000000007"/>
    <x v="0"/>
    <n v="1"/>
    <s v="High Value"/>
    <s v="High Value Order"/>
    <m/>
    <s v=""/>
    <m/>
    <m/>
    <s v=""/>
  </r>
  <r>
    <x v="155"/>
    <x v="0"/>
    <x v="0"/>
    <s v="Member"/>
    <s v="Male"/>
    <x v="4"/>
    <n v="92.29"/>
    <n v="5"/>
    <n v="23.072500000000002"/>
    <n v="484.52249999999998"/>
    <d v="2019-02-20T00:00:00"/>
    <d v="1899-12-30T15:55:00"/>
    <x v="2"/>
    <n v="461.45"/>
    <n v="4.7619047620000003"/>
    <n v="23.072500000000002"/>
    <n v="9"/>
    <x v="2"/>
    <n v="2"/>
    <s v="Standard"/>
    <s v="Standard Order"/>
    <m/>
    <s v=""/>
    <m/>
    <m/>
    <s v=""/>
  </r>
  <r>
    <x v="156"/>
    <x v="2"/>
    <x v="2"/>
    <s v="Member"/>
    <s v="Male"/>
    <x v="1"/>
    <n v="72.17"/>
    <n v="1"/>
    <n v="3.6084999999999998"/>
    <n v="75.778499999999994"/>
    <d v="2019-01-04T00:00:00"/>
    <d v="1899-12-30T19:40:00"/>
    <x v="1"/>
    <n v="72.17"/>
    <n v="4.7619047620000003"/>
    <n v="3.6084999999999998"/>
    <n v="6.1"/>
    <x v="0"/>
    <n v="1"/>
    <s v="Standard"/>
    <s v="Standard Order"/>
    <m/>
    <s v=""/>
    <m/>
    <m/>
    <s v=""/>
  </r>
  <r>
    <x v="157"/>
    <x v="2"/>
    <x v="2"/>
    <s v="Normal"/>
    <s v="Male"/>
    <x v="2"/>
    <n v="50.28"/>
    <n v="5"/>
    <n v="12.57"/>
    <n v="263.97000000000003"/>
    <d v="2019-03-07T00:00:00"/>
    <d v="1899-12-30T13:58:00"/>
    <x v="0"/>
    <n v="251.4"/>
    <n v="4.7619047620000003"/>
    <n v="12.57"/>
    <n v="9.6999999999999993"/>
    <x v="1"/>
    <n v="3"/>
    <s v="Standard"/>
    <s v="Standard Order"/>
    <m/>
    <s v=""/>
    <m/>
    <m/>
    <s v=""/>
  </r>
  <r>
    <x v="158"/>
    <x v="2"/>
    <x v="2"/>
    <s v="Member"/>
    <s v="Male"/>
    <x v="0"/>
    <n v="97.22"/>
    <n v="9"/>
    <n v="43.749000000000002"/>
    <n v="918.72900000000004"/>
    <d v="2019-03-30T00:00:00"/>
    <d v="1899-12-30T14:43:00"/>
    <x v="0"/>
    <n v="874.98"/>
    <n v="4.7619047620000003"/>
    <n v="43.749000000000002"/>
    <n v="6"/>
    <x v="1"/>
    <n v="3"/>
    <s v="High Value"/>
    <s v="High Value Order"/>
    <m/>
    <s v=""/>
    <m/>
    <m/>
    <s v=""/>
  </r>
  <r>
    <x v="159"/>
    <x v="2"/>
    <x v="2"/>
    <s v="Normal"/>
    <s v="Male"/>
    <x v="3"/>
    <n v="93.39"/>
    <n v="6"/>
    <n v="28.016999999999999"/>
    <n v="588.35699999999997"/>
    <d v="2019-03-27T00:00:00"/>
    <d v="1899-12-30T19:18:00"/>
    <x v="0"/>
    <n v="560.34"/>
    <n v="4.7619047620000003"/>
    <n v="28.016999999999999"/>
    <n v="10"/>
    <x v="1"/>
    <n v="3"/>
    <s v="High Value"/>
    <s v="High Value Order"/>
    <m/>
    <s v=""/>
    <m/>
    <m/>
    <s v=""/>
  </r>
  <r>
    <x v="160"/>
    <x v="1"/>
    <x v="1"/>
    <s v="Normal"/>
    <s v="Female"/>
    <x v="4"/>
    <n v="43.18"/>
    <n v="8"/>
    <n v="17.271999999999998"/>
    <n v="362.71199999999999"/>
    <d v="2019-01-19T00:00:00"/>
    <d v="1899-12-30T19:39:00"/>
    <x v="2"/>
    <n v="345.44"/>
    <n v="4.7619047620000003"/>
    <n v="17.271999999999998"/>
    <n v="8.3000000000000007"/>
    <x v="0"/>
    <n v="1"/>
    <s v="Standard"/>
    <s v="Standard Order"/>
    <m/>
    <s v=""/>
    <m/>
    <m/>
    <s v=""/>
  </r>
  <r>
    <x v="161"/>
    <x v="0"/>
    <x v="0"/>
    <s v="Normal"/>
    <s v="Male"/>
    <x v="3"/>
    <n v="63.69"/>
    <n v="1"/>
    <n v="3.1844999999999999"/>
    <n v="66.874499999999998"/>
    <d v="2019-02-25T00:00:00"/>
    <d v="1899-12-30T16:21:00"/>
    <x v="1"/>
    <n v="63.69"/>
    <n v="4.7619047620000003"/>
    <n v="3.1844999999999999"/>
    <n v="6"/>
    <x v="2"/>
    <n v="2"/>
    <s v="Standard"/>
    <s v="Standard Order"/>
    <m/>
    <s v=""/>
    <m/>
    <m/>
    <s v=""/>
  </r>
  <r>
    <x v="162"/>
    <x v="0"/>
    <x v="0"/>
    <s v="Normal"/>
    <s v="Male"/>
    <x v="4"/>
    <n v="45.79"/>
    <n v="7"/>
    <n v="16.026499999999999"/>
    <n v="336.55650000000003"/>
    <d v="2019-03-13T00:00:00"/>
    <d v="1899-12-30T19:44:00"/>
    <x v="2"/>
    <n v="320.52999999999997"/>
    <n v="4.7619047620000003"/>
    <n v="16.026499999999999"/>
    <n v="7"/>
    <x v="1"/>
    <n v="3"/>
    <s v="Standard"/>
    <s v="Standard Order"/>
    <m/>
    <s v=""/>
    <m/>
    <m/>
    <s v=""/>
  </r>
  <r>
    <x v="163"/>
    <x v="1"/>
    <x v="1"/>
    <s v="Normal"/>
    <s v="Male"/>
    <x v="3"/>
    <n v="76.400000000000006"/>
    <n v="2"/>
    <n v="7.64"/>
    <n v="160.44"/>
    <d v="2019-01-30T00:00:00"/>
    <d v="1899-12-30T19:42:00"/>
    <x v="0"/>
    <n v="152.80000000000001"/>
    <n v="4.7619047620000003"/>
    <n v="7.64"/>
    <n v="6.5"/>
    <x v="0"/>
    <n v="1"/>
    <s v="Standard"/>
    <s v="Standard Order"/>
    <m/>
    <s v=""/>
    <m/>
    <m/>
    <s v=""/>
  </r>
  <r>
    <x v="164"/>
    <x v="2"/>
    <x v="2"/>
    <s v="Normal"/>
    <s v="Male"/>
    <x v="4"/>
    <n v="39.9"/>
    <n v="10"/>
    <n v="19.95"/>
    <n v="418.95"/>
    <d v="2019-02-20T00:00:00"/>
    <d v="1899-12-30T15:24:00"/>
    <x v="2"/>
    <n v="399"/>
    <n v="4.7619047620000003"/>
    <n v="19.95"/>
    <n v="5.9"/>
    <x v="2"/>
    <n v="2"/>
    <s v="Standard"/>
    <s v="Standard Order"/>
    <m/>
    <s v=""/>
    <m/>
    <m/>
    <s v=""/>
  </r>
  <r>
    <x v="165"/>
    <x v="2"/>
    <x v="2"/>
    <s v="Member"/>
    <s v="Male"/>
    <x v="0"/>
    <n v="42.57"/>
    <n v="8"/>
    <n v="17.027999999999999"/>
    <n v="357.58800000000002"/>
    <d v="2019-02-25T00:00:00"/>
    <d v="1899-12-30T14:12:00"/>
    <x v="0"/>
    <n v="340.56"/>
    <n v="4.7619047620000003"/>
    <n v="17.027999999999999"/>
    <n v="5.6"/>
    <x v="2"/>
    <n v="2"/>
    <s v="Standard"/>
    <s v="Standard Order"/>
    <m/>
    <s v=""/>
    <m/>
    <m/>
    <s v=""/>
  </r>
  <r>
    <x v="166"/>
    <x v="1"/>
    <x v="1"/>
    <s v="Normal"/>
    <s v="Male"/>
    <x v="2"/>
    <n v="95.58"/>
    <n v="10"/>
    <n v="47.79"/>
    <n v="1003.59"/>
    <d v="2019-01-16T00:00:00"/>
    <d v="1899-12-30T13:32:00"/>
    <x v="1"/>
    <n v="955.8"/>
    <n v="4.7619047620000003"/>
    <n v="47.79"/>
    <n v="4.8"/>
    <x v="0"/>
    <n v="1"/>
    <s v="High Value"/>
    <s v="High Value Order"/>
    <m/>
    <s v=""/>
    <m/>
    <m/>
    <s v=""/>
  </r>
  <r>
    <x v="167"/>
    <x v="0"/>
    <x v="0"/>
    <s v="Normal"/>
    <s v="Male"/>
    <x v="5"/>
    <n v="98.98"/>
    <n v="10"/>
    <n v="49.49"/>
    <n v="1039.29"/>
    <d v="2019-02-08T00:00:00"/>
    <d v="1899-12-30T16:20:00"/>
    <x v="2"/>
    <n v="989.8"/>
    <n v="4.7619047620000003"/>
    <n v="49.49"/>
    <n v="8.6999999999999993"/>
    <x v="2"/>
    <n v="2"/>
    <s v="High Value"/>
    <s v="High Value Order"/>
    <m/>
    <s v=""/>
    <m/>
    <m/>
    <s v=""/>
  </r>
  <r>
    <x v="168"/>
    <x v="0"/>
    <x v="0"/>
    <s v="Normal"/>
    <s v="Male"/>
    <x v="4"/>
    <n v="51.28"/>
    <n v="6"/>
    <n v="15.384"/>
    <n v="323.06400000000002"/>
    <d v="2019-01-19T00:00:00"/>
    <d v="1899-12-30T16:31:00"/>
    <x v="1"/>
    <n v="307.68"/>
    <n v="4.7619047620000003"/>
    <n v="15.384"/>
    <n v="6.5"/>
    <x v="0"/>
    <n v="1"/>
    <s v="Standard"/>
    <s v="Standard Order"/>
    <m/>
    <s v=""/>
    <m/>
    <m/>
    <s v=""/>
  </r>
  <r>
    <x v="169"/>
    <x v="0"/>
    <x v="0"/>
    <s v="Member"/>
    <s v="Male"/>
    <x v="3"/>
    <n v="69.52"/>
    <n v="7"/>
    <n v="24.332000000000001"/>
    <n v="510.97199999999998"/>
    <d v="2019-02-01T00:00:00"/>
    <d v="1899-12-30T15:10:00"/>
    <x v="2"/>
    <n v="486.64"/>
    <n v="4.7619047620000003"/>
    <n v="24.332000000000001"/>
    <n v="8.5"/>
    <x v="2"/>
    <n v="2"/>
    <s v="High Value"/>
    <s v="High Value Order"/>
    <m/>
    <s v=""/>
    <m/>
    <m/>
    <s v=""/>
  </r>
  <r>
    <x v="170"/>
    <x v="0"/>
    <x v="0"/>
    <s v="Normal"/>
    <s v="Male"/>
    <x v="0"/>
    <n v="70.010000000000005"/>
    <n v="5"/>
    <n v="17.502500000000001"/>
    <n v="367.55250000000001"/>
    <d v="2019-01-03T00:00:00"/>
    <d v="1899-12-30T11:36:00"/>
    <x v="0"/>
    <n v="350.05"/>
    <n v="4.7619047620000003"/>
    <n v="17.502500000000001"/>
    <n v="5.5"/>
    <x v="0"/>
    <n v="1"/>
    <s v="Standard"/>
    <s v="Standard Order"/>
    <m/>
    <s v=""/>
    <m/>
    <m/>
    <s v=""/>
  </r>
  <r>
    <x v="171"/>
    <x v="2"/>
    <x v="2"/>
    <s v="Member"/>
    <s v="Male"/>
    <x v="4"/>
    <n v="80.05"/>
    <n v="5"/>
    <n v="20.012499999999999"/>
    <n v="420.26249999999999"/>
    <d v="2019-01-26T00:00:00"/>
    <d v="1899-12-30T12:45:00"/>
    <x v="2"/>
    <n v="400.25"/>
    <n v="4.7619047620000003"/>
    <n v="20.012499999999999"/>
    <n v="9.4"/>
    <x v="0"/>
    <n v="1"/>
    <s v="Standard"/>
    <s v="Standard Order"/>
    <m/>
    <s v=""/>
    <m/>
    <m/>
    <s v=""/>
  </r>
  <r>
    <x v="172"/>
    <x v="1"/>
    <x v="1"/>
    <s v="Normal"/>
    <s v="Male"/>
    <x v="1"/>
    <n v="20.85"/>
    <n v="8"/>
    <n v="8.34"/>
    <n v="175.14"/>
    <d v="2019-03-03T00:00:00"/>
    <d v="1899-12-30T19:17:00"/>
    <x v="1"/>
    <n v="166.8"/>
    <n v="4.7619047620000003"/>
    <n v="8.34"/>
    <n v="6.3"/>
    <x v="1"/>
    <n v="3"/>
    <s v="Standard"/>
    <s v="Standard Order"/>
    <m/>
    <s v=""/>
    <m/>
    <m/>
    <s v=""/>
  </r>
  <r>
    <x v="173"/>
    <x v="2"/>
    <x v="2"/>
    <s v="Member"/>
    <s v="Male"/>
    <x v="1"/>
    <n v="52.89"/>
    <n v="6"/>
    <n v="15.867000000000001"/>
    <n v="333.20699999999999"/>
    <d v="2019-01-19T00:00:00"/>
    <d v="1899-12-30T17:34:00"/>
    <x v="2"/>
    <n v="317.33999999999997"/>
    <n v="4.7619047620000003"/>
    <n v="15.867000000000001"/>
    <n v="9.8000000000000007"/>
    <x v="0"/>
    <n v="1"/>
    <s v="Standard"/>
    <s v="Standard Order"/>
    <m/>
    <s v=""/>
    <m/>
    <m/>
    <s v=""/>
  </r>
  <r>
    <x v="174"/>
    <x v="2"/>
    <x v="2"/>
    <s v="Normal"/>
    <s v="Male"/>
    <x v="4"/>
    <n v="19.79"/>
    <n v="8"/>
    <n v="7.9160000000000004"/>
    <n v="166.23599999999999"/>
    <d v="2019-01-18T00:00:00"/>
    <d v="1899-12-30T12:04:00"/>
    <x v="0"/>
    <n v="158.32"/>
    <n v="4.7619047620000003"/>
    <n v="7.9160000000000004"/>
    <n v="8.6999999999999993"/>
    <x v="0"/>
    <n v="1"/>
    <s v="Standard"/>
    <s v="Standard Order"/>
    <m/>
    <s v=""/>
    <m/>
    <m/>
    <s v=""/>
  </r>
  <r>
    <x v="175"/>
    <x v="0"/>
    <x v="0"/>
    <s v="Member"/>
    <s v="Male"/>
    <x v="2"/>
    <n v="33.840000000000003"/>
    <n v="9"/>
    <n v="15.228"/>
    <n v="319.78800000000001"/>
    <d v="2019-03-21T00:00:00"/>
    <d v="1899-12-30T16:21:00"/>
    <x v="0"/>
    <n v="304.56"/>
    <n v="4.7619047620000003"/>
    <n v="15.228"/>
    <n v="8.8000000000000007"/>
    <x v="1"/>
    <n v="3"/>
    <s v="Standard"/>
    <s v="Standard Order"/>
    <m/>
    <s v=""/>
    <m/>
    <m/>
    <s v=""/>
  </r>
  <r>
    <x v="176"/>
    <x v="0"/>
    <x v="0"/>
    <s v="Member"/>
    <s v="Male"/>
    <x v="4"/>
    <n v="22.17"/>
    <n v="8"/>
    <n v="8.8680000000000003"/>
    <n v="186.22800000000001"/>
    <d v="2019-03-03T00:00:00"/>
    <d v="1899-12-30T17:01:00"/>
    <x v="2"/>
    <n v="177.36"/>
    <n v="4.7619047620000003"/>
    <n v="8.8680000000000003"/>
    <n v="9.6"/>
    <x v="1"/>
    <n v="3"/>
    <s v="Standard"/>
    <s v="Standard Order"/>
    <m/>
    <s v=""/>
    <m/>
    <m/>
    <s v=""/>
  </r>
  <r>
    <x v="177"/>
    <x v="1"/>
    <x v="1"/>
    <s v="Normal"/>
    <s v="Female"/>
    <x v="5"/>
    <n v="22.51"/>
    <n v="7"/>
    <n v="7.8784999999999998"/>
    <n v="165.4485"/>
    <d v="2019-02-13T00:00:00"/>
    <d v="1899-12-30T10:50:00"/>
    <x v="2"/>
    <n v="157.57"/>
    <n v="4.7619047620000003"/>
    <n v="7.8784999999999998"/>
    <n v="4.8"/>
    <x v="2"/>
    <n v="2"/>
    <s v="Standard"/>
    <s v="Standard Order"/>
    <m/>
    <s v=""/>
    <m/>
    <m/>
    <s v=""/>
  </r>
  <r>
    <x v="178"/>
    <x v="0"/>
    <x v="0"/>
    <s v="Normal"/>
    <s v="Male"/>
    <x v="4"/>
    <n v="73.88"/>
    <n v="6"/>
    <n v="22.164000000000001"/>
    <n v="465.44400000000002"/>
    <d v="2019-03-23T00:00:00"/>
    <d v="1899-12-30T19:16:00"/>
    <x v="0"/>
    <n v="443.28"/>
    <n v="4.7619047620000003"/>
    <n v="22.164000000000001"/>
    <n v="4.4000000000000004"/>
    <x v="1"/>
    <n v="3"/>
    <s v="Standard"/>
    <s v="Standard Order"/>
    <m/>
    <s v=""/>
    <m/>
    <m/>
    <s v=""/>
  </r>
  <r>
    <x v="179"/>
    <x v="1"/>
    <x v="1"/>
    <s v="Member"/>
    <s v="Male"/>
    <x v="0"/>
    <n v="86.8"/>
    <n v="3"/>
    <n v="13.02"/>
    <n v="273.42"/>
    <d v="2019-01-28T00:00:00"/>
    <d v="1899-12-30T16:47:00"/>
    <x v="0"/>
    <n v="260.39999999999998"/>
    <n v="4.7619047620000003"/>
    <n v="13.02"/>
    <n v="9.9"/>
    <x v="0"/>
    <n v="1"/>
    <s v="Standard"/>
    <s v="Standard Order"/>
    <m/>
    <s v=""/>
    <m/>
    <m/>
    <s v=""/>
  </r>
  <r>
    <x v="180"/>
    <x v="1"/>
    <x v="1"/>
    <s v="Normal"/>
    <s v="Male"/>
    <x v="5"/>
    <n v="64.260000000000005"/>
    <n v="7"/>
    <n v="22.491"/>
    <n v="472.31099999999998"/>
    <d v="2019-02-09T00:00:00"/>
    <d v="1899-12-30T10:00:00"/>
    <x v="1"/>
    <n v="449.82"/>
    <n v="4.7619047620000003"/>
    <n v="22.491"/>
    <n v="5.7"/>
    <x v="2"/>
    <n v="2"/>
    <s v="Standard"/>
    <s v="Standard Order"/>
    <m/>
    <s v=""/>
    <m/>
    <m/>
    <s v=""/>
  </r>
  <r>
    <x v="181"/>
    <x v="1"/>
    <x v="1"/>
    <s v="Member"/>
    <s v="Male"/>
    <x v="4"/>
    <n v="38.47"/>
    <n v="8"/>
    <n v="15.388"/>
    <n v="323.14800000000002"/>
    <d v="2019-01-23T00:00:00"/>
    <d v="1899-12-30T11:51:00"/>
    <x v="1"/>
    <n v="307.76"/>
    <n v="4.7619047620000003"/>
    <n v="15.388"/>
    <n v="7.7"/>
    <x v="0"/>
    <n v="1"/>
    <s v="Standard"/>
    <s v="Standard Order"/>
    <m/>
    <s v=""/>
    <m/>
    <m/>
    <s v=""/>
  </r>
  <r>
    <x v="182"/>
    <x v="0"/>
    <x v="0"/>
    <s v="Member"/>
    <s v="Male"/>
    <x v="3"/>
    <n v="15.5"/>
    <n v="10"/>
    <n v="7.75"/>
    <n v="162.75"/>
    <d v="2019-03-23T00:00:00"/>
    <d v="1899-12-30T10:55:00"/>
    <x v="0"/>
    <n v="155"/>
    <n v="4.7619047620000003"/>
    <n v="7.75"/>
    <n v="8"/>
    <x v="1"/>
    <n v="3"/>
    <s v="Standard"/>
    <s v="Standard Order"/>
    <m/>
    <s v=""/>
    <m/>
    <m/>
    <s v=""/>
  </r>
  <r>
    <x v="183"/>
    <x v="1"/>
    <x v="1"/>
    <s v="Normal"/>
    <s v="Male"/>
    <x v="0"/>
    <n v="34.31"/>
    <n v="8"/>
    <n v="13.724"/>
    <n v="288.20400000000001"/>
    <d v="2019-01-25T00:00:00"/>
    <d v="1899-12-30T15:00:00"/>
    <x v="0"/>
    <n v="274.48"/>
    <n v="4.7619047620000003"/>
    <n v="13.724"/>
    <n v="5.7"/>
    <x v="0"/>
    <n v="1"/>
    <s v="Standard"/>
    <s v="Standard Order"/>
    <m/>
    <s v=""/>
    <m/>
    <m/>
    <s v=""/>
  </r>
  <r>
    <x v="184"/>
    <x v="0"/>
    <x v="0"/>
    <s v="Normal"/>
    <s v="Female"/>
    <x v="3"/>
    <n v="12.34"/>
    <n v="7"/>
    <n v="4.319"/>
    <n v="90.698999999999998"/>
    <d v="2019-03-04T00:00:00"/>
    <d v="1899-12-30T11:19:00"/>
    <x v="2"/>
    <n v="86.38"/>
    <n v="4.7619047620000003"/>
    <n v="4.319"/>
    <n v="6.7"/>
    <x v="1"/>
    <n v="3"/>
    <s v="Standard"/>
    <s v="Standard Order"/>
    <m/>
    <s v=""/>
    <m/>
    <m/>
    <s v=""/>
  </r>
  <r>
    <x v="185"/>
    <x v="2"/>
    <x v="2"/>
    <s v="Member"/>
    <s v="Male"/>
    <x v="4"/>
    <n v="18.079999999999998"/>
    <n v="3"/>
    <n v="2.7120000000000002"/>
    <n v="56.951999999999998"/>
    <d v="2019-03-05T00:00:00"/>
    <d v="1899-12-30T19:46:00"/>
    <x v="0"/>
    <n v="54.24"/>
    <n v="4.7619047620000003"/>
    <n v="2.7120000000000002"/>
    <n v="8"/>
    <x v="1"/>
    <n v="3"/>
    <s v="Standard"/>
    <s v="Standard Order"/>
    <m/>
    <s v=""/>
    <m/>
    <m/>
    <s v=""/>
  </r>
  <r>
    <x v="186"/>
    <x v="2"/>
    <x v="2"/>
    <s v="Member"/>
    <s v="Female"/>
    <x v="2"/>
    <n v="94.49"/>
    <n v="8"/>
    <n v="37.795999999999999"/>
    <n v="793.71600000000001"/>
    <d v="2019-03-03T00:00:00"/>
    <d v="1899-12-30T19:00:00"/>
    <x v="0"/>
    <n v="755.92"/>
    <n v="4.7619047620000003"/>
    <n v="37.795999999999999"/>
    <n v="7.5"/>
    <x v="1"/>
    <n v="3"/>
    <s v="High Value"/>
    <s v="High Value Order"/>
    <m/>
    <s v=""/>
    <m/>
    <m/>
    <s v=""/>
  </r>
  <r>
    <x v="187"/>
    <x v="2"/>
    <x v="2"/>
    <s v="Member"/>
    <s v="Male"/>
    <x v="2"/>
    <n v="46.47"/>
    <n v="4"/>
    <n v="9.2940000000000005"/>
    <n v="195.17400000000001"/>
    <d v="2019-02-08T00:00:00"/>
    <d v="1899-12-30T10:53:00"/>
    <x v="1"/>
    <n v="185.88"/>
    <n v="4.7619047620000003"/>
    <n v="9.2940000000000005"/>
    <n v="7"/>
    <x v="2"/>
    <n v="2"/>
    <s v="Standard"/>
    <s v="Standard Order"/>
    <m/>
    <s v=""/>
    <m/>
    <m/>
    <s v=""/>
  </r>
  <r>
    <x v="188"/>
    <x v="0"/>
    <x v="0"/>
    <s v="Normal"/>
    <s v="Male"/>
    <x v="2"/>
    <n v="74.069999999999993"/>
    <n v="1"/>
    <n v="3.7035"/>
    <n v="77.773499999999999"/>
    <d v="2019-02-10T00:00:00"/>
    <d v="1899-12-30T12:50:00"/>
    <x v="0"/>
    <n v="74.069999999999993"/>
    <n v="4.7619047620000003"/>
    <n v="3.7035"/>
    <n v="9.9"/>
    <x v="2"/>
    <n v="2"/>
    <s v="Standard"/>
    <s v="Standard Order"/>
    <m/>
    <s v=""/>
    <m/>
    <m/>
    <s v=""/>
  </r>
  <r>
    <x v="189"/>
    <x v="1"/>
    <x v="1"/>
    <s v="Normal"/>
    <s v="Female"/>
    <x v="2"/>
    <n v="69.81"/>
    <n v="4"/>
    <n v="13.962"/>
    <n v="293.202"/>
    <d v="2019-01-28T00:00:00"/>
    <d v="1899-12-30T20:50:00"/>
    <x v="2"/>
    <n v="279.24"/>
    <n v="4.7619047620000003"/>
    <n v="13.962"/>
    <n v="5.9"/>
    <x v="0"/>
    <n v="1"/>
    <s v="Standard"/>
    <s v="Standard Order"/>
    <m/>
    <s v=""/>
    <m/>
    <m/>
    <s v=""/>
  </r>
  <r>
    <x v="190"/>
    <x v="2"/>
    <x v="2"/>
    <s v="Normal"/>
    <s v="Female"/>
    <x v="2"/>
    <n v="77.040000000000006"/>
    <n v="3"/>
    <n v="11.555999999999999"/>
    <n v="242.67599999999999"/>
    <d v="2019-02-11T00:00:00"/>
    <d v="1899-12-30T10:39:00"/>
    <x v="2"/>
    <n v="231.12"/>
    <n v="4.7619047620000003"/>
    <n v="11.555999999999999"/>
    <n v="7.2"/>
    <x v="2"/>
    <n v="2"/>
    <s v="Standard"/>
    <s v="Standard Order"/>
    <m/>
    <s v=""/>
    <m/>
    <m/>
    <s v=""/>
  </r>
  <r>
    <x v="191"/>
    <x v="2"/>
    <x v="2"/>
    <s v="Normal"/>
    <s v="Female"/>
    <x v="5"/>
    <n v="73.52"/>
    <n v="2"/>
    <n v="7.3520000000000003"/>
    <n v="154.392"/>
    <d v="2019-01-15T00:00:00"/>
    <d v="1899-12-30T13:41:00"/>
    <x v="0"/>
    <n v="147.04"/>
    <n v="4.7619047620000003"/>
    <n v="7.3520000000000003"/>
    <n v="4.5999999999999996"/>
    <x v="0"/>
    <n v="1"/>
    <s v="Standard"/>
    <s v="Standard Order"/>
    <m/>
    <s v=""/>
    <m/>
    <m/>
    <s v=""/>
  </r>
  <r>
    <x v="192"/>
    <x v="1"/>
    <x v="1"/>
    <s v="Normal"/>
    <s v="Female"/>
    <x v="4"/>
    <n v="87.8"/>
    <n v="9"/>
    <n v="39.51"/>
    <n v="829.71"/>
    <d v="2019-03-16T00:00:00"/>
    <d v="1899-12-30T19:08:00"/>
    <x v="1"/>
    <n v="790.2"/>
    <n v="4.7619047620000003"/>
    <n v="39.51"/>
    <n v="9.1999999999999993"/>
    <x v="1"/>
    <n v="3"/>
    <s v="High Value"/>
    <s v="High Value Order"/>
    <m/>
    <s v=""/>
    <m/>
    <m/>
    <s v=""/>
  </r>
  <r>
    <x v="193"/>
    <x v="2"/>
    <x v="2"/>
    <s v="Normal"/>
    <s v="Male"/>
    <x v="2"/>
    <n v="25.55"/>
    <n v="4"/>
    <n v="5.1100000000000003"/>
    <n v="107.31"/>
    <d v="2019-01-26T00:00:00"/>
    <d v="1899-12-30T20:23:00"/>
    <x v="0"/>
    <n v="102.2"/>
    <n v="4.7619047620000003"/>
    <n v="5.1100000000000003"/>
    <n v="5.7"/>
    <x v="0"/>
    <n v="1"/>
    <s v="Standard"/>
    <s v="Standard Order"/>
    <m/>
    <s v=""/>
    <m/>
    <m/>
    <s v=""/>
  </r>
  <r>
    <x v="194"/>
    <x v="0"/>
    <x v="0"/>
    <s v="Normal"/>
    <s v="Male"/>
    <x v="1"/>
    <n v="32.71"/>
    <n v="5"/>
    <n v="8.1775000000000002"/>
    <n v="171.72749999999999"/>
    <d v="2019-03-19T00:00:00"/>
    <d v="1899-12-30T11:30:00"/>
    <x v="2"/>
    <n v="163.55000000000001"/>
    <n v="4.7619047620000003"/>
    <n v="8.1775000000000002"/>
    <n v="9.9"/>
    <x v="1"/>
    <n v="3"/>
    <s v="Standard"/>
    <s v="Standard Order"/>
    <m/>
    <s v=""/>
    <m/>
    <m/>
    <s v=""/>
  </r>
  <r>
    <x v="195"/>
    <x v="1"/>
    <x v="1"/>
    <s v="Member"/>
    <s v="Female"/>
    <x v="5"/>
    <n v="74.290000000000006"/>
    <n v="1"/>
    <n v="3.7145000000000001"/>
    <n v="78.004499999999993"/>
    <d v="2019-01-13T00:00:00"/>
    <d v="1899-12-30T19:30:00"/>
    <x v="1"/>
    <n v="74.290000000000006"/>
    <n v="4.7619047620000003"/>
    <n v="3.7145000000000001"/>
    <n v="5"/>
    <x v="0"/>
    <n v="1"/>
    <s v="Standard"/>
    <s v="Standard Order"/>
    <m/>
    <s v=""/>
    <m/>
    <m/>
    <s v=""/>
  </r>
  <r>
    <x v="196"/>
    <x v="1"/>
    <x v="1"/>
    <s v="Member"/>
    <s v="Male"/>
    <x v="0"/>
    <n v="43.7"/>
    <n v="2"/>
    <n v="4.37"/>
    <n v="91.77"/>
    <d v="2019-03-26T00:00:00"/>
    <d v="1899-12-30T18:03:00"/>
    <x v="1"/>
    <n v="87.4"/>
    <n v="4.7619047620000003"/>
    <n v="4.37"/>
    <n v="4.9000000000000004"/>
    <x v="1"/>
    <n v="3"/>
    <s v="Standard"/>
    <s v="Standard Order"/>
    <m/>
    <s v=""/>
    <m/>
    <m/>
    <s v=""/>
  </r>
  <r>
    <x v="197"/>
    <x v="0"/>
    <x v="0"/>
    <s v="Normal"/>
    <s v="Female"/>
    <x v="2"/>
    <n v="25.29"/>
    <n v="1"/>
    <n v="1.2645"/>
    <n v="26.554500000000001"/>
    <d v="2019-03-23T00:00:00"/>
    <d v="1899-12-30T10:13:00"/>
    <x v="0"/>
    <n v="25.29"/>
    <n v="4.7619047620000003"/>
    <n v="1.2645"/>
    <n v="6.1"/>
    <x v="1"/>
    <n v="3"/>
    <s v="Standard"/>
    <s v="Standard Order"/>
    <m/>
    <s v=""/>
    <m/>
    <m/>
    <s v=""/>
  </r>
  <r>
    <x v="198"/>
    <x v="1"/>
    <x v="1"/>
    <s v="Normal"/>
    <s v="Male"/>
    <x v="0"/>
    <n v="41.5"/>
    <n v="4"/>
    <n v="8.3000000000000007"/>
    <n v="174.3"/>
    <d v="2019-03-12T00:00:00"/>
    <d v="1899-12-30T19:58:00"/>
    <x v="2"/>
    <n v="166"/>
    <n v="4.7619047620000003"/>
    <n v="8.3000000000000007"/>
    <n v="8.1999999999999993"/>
    <x v="1"/>
    <n v="3"/>
    <s v="Standard"/>
    <s v="Standard Order"/>
    <m/>
    <s v=""/>
    <m/>
    <m/>
    <s v=""/>
  </r>
  <r>
    <x v="199"/>
    <x v="1"/>
    <x v="1"/>
    <s v="Member"/>
    <s v="Female"/>
    <x v="4"/>
    <n v="71.39"/>
    <n v="5"/>
    <n v="17.8475"/>
    <n v="374.79750000000001"/>
    <d v="2019-02-17T00:00:00"/>
    <d v="1899-12-30T19:57:00"/>
    <x v="2"/>
    <n v="356.95"/>
    <n v="4.7619047620000003"/>
    <n v="17.8475"/>
    <n v="5.5"/>
    <x v="2"/>
    <n v="2"/>
    <s v="Standard"/>
    <s v="Standard Order"/>
    <m/>
    <s v=""/>
    <m/>
    <m/>
    <s v=""/>
  </r>
  <r>
    <x v="200"/>
    <x v="1"/>
    <x v="1"/>
    <s v="Member"/>
    <s v="Female"/>
    <x v="3"/>
    <n v="19.149999999999999"/>
    <n v="6"/>
    <n v="5.7450000000000001"/>
    <n v="120.645"/>
    <d v="2019-01-29T00:00:00"/>
    <d v="1899-12-30T10:01:00"/>
    <x v="2"/>
    <n v="114.9"/>
    <n v="4.7619047620000003"/>
    <n v="5.7450000000000001"/>
    <n v="6.8"/>
    <x v="0"/>
    <n v="1"/>
    <s v="Standard"/>
    <s v="Standard Order"/>
    <m/>
    <s v=""/>
    <m/>
    <m/>
    <s v=""/>
  </r>
  <r>
    <x v="201"/>
    <x v="2"/>
    <x v="2"/>
    <s v="Member"/>
    <s v="Female"/>
    <x v="1"/>
    <n v="57.49"/>
    <n v="4"/>
    <n v="11.497999999999999"/>
    <n v="241.458"/>
    <d v="2019-03-15T00:00:00"/>
    <d v="1899-12-30T11:57:00"/>
    <x v="1"/>
    <n v="229.96"/>
    <n v="4.7619047620000003"/>
    <n v="11.497999999999999"/>
    <n v="6.6"/>
    <x v="1"/>
    <n v="3"/>
    <s v="Standard"/>
    <s v="Standard Order"/>
    <m/>
    <s v=""/>
    <m/>
    <m/>
    <s v=""/>
  </r>
  <r>
    <x v="202"/>
    <x v="1"/>
    <x v="1"/>
    <s v="Normal"/>
    <s v="Male"/>
    <x v="1"/>
    <n v="61.41"/>
    <n v="7"/>
    <n v="21.493500000000001"/>
    <n v="451.36349999999999"/>
    <d v="2019-01-14T00:00:00"/>
    <d v="1899-12-30T10:02:00"/>
    <x v="1"/>
    <n v="429.87"/>
    <n v="4.7619047620000003"/>
    <n v="21.493500000000001"/>
    <n v="9.8000000000000007"/>
    <x v="0"/>
    <n v="1"/>
    <s v="Standard"/>
    <s v="Standard Order"/>
    <m/>
    <s v=""/>
    <m/>
    <m/>
    <s v=""/>
  </r>
  <r>
    <x v="203"/>
    <x v="2"/>
    <x v="2"/>
    <s v="Member"/>
    <s v="Male"/>
    <x v="0"/>
    <n v="25.9"/>
    <n v="10"/>
    <n v="12.95"/>
    <n v="271.95"/>
    <d v="2019-02-06T00:00:00"/>
    <d v="1899-12-30T14:51:00"/>
    <x v="0"/>
    <n v="259"/>
    <n v="4.7619047620000003"/>
    <n v="12.95"/>
    <n v="8.6999999999999993"/>
    <x v="2"/>
    <n v="2"/>
    <s v="Standard"/>
    <s v="Standard Order"/>
    <m/>
    <s v=""/>
    <m/>
    <m/>
    <s v=""/>
  </r>
  <r>
    <x v="204"/>
    <x v="2"/>
    <x v="2"/>
    <s v="Member"/>
    <s v="Male"/>
    <x v="2"/>
    <n v="17.77"/>
    <n v="5"/>
    <n v="4.4424999999999999"/>
    <n v="93.292500000000004"/>
    <d v="2019-02-15T00:00:00"/>
    <d v="1899-12-30T12:42:00"/>
    <x v="2"/>
    <n v="88.85"/>
    <n v="4.7619047620000003"/>
    <n v="4.4424999999999999"/>
    <n v="5.4"/>
    <x v="2"/>
    <n v="2"/>
    <s v="Standard"/>
    <s v="Standard Order"/>
    <m/>
    <s v=""/>
    <m/>
    <m/>
    <s v=""/>
  </r>
  <r>
    <x v="205"/>
    <x v="0"/>
    <x v="0"/>
    <s v="Normal"/>
    <s v="Female"/>
    <x v="0"/>
    <n v="23.03"/>
    <n v="9"/>
    <n v="10.3635"/>
    <n v="217.6335"/>
    <d v="2019-01-03T00:00:00"/>
    <d v="1899-12-30T12:02:00"/>
    <x v="0"/>
    <n v="207.27"/>
    <n v="4.7619047620000003"/>
    <n v="10.3635"/>
    <n v="7.9"/>
    <x v="0"/>
    <n v="1"/>
    <s v="Standard"/>
    <s v="Standard Order"/>
    <m/>
    <s v=""/>
    <m/>
    <m/>
    <s v=""/>
  </r>
  <r>
    <x v="206"/>
    <x v="1"/>
    <x v="1"/>
    <s v="Member"/>
    <s v="Female"/>
    <x v="1"/>
    <n v="66.650000000000006"/>
    <n v="9"/>
    <n v="29.9925"/>
    <n v="629.84249999999997"/>
    <d v="2019-01-04T00:00:00"/>
    <d v="1899-12-30T18:19:00"/>
    <x v="2"/>
    <n v="599.85"/>
    <n v="4.7619047620000003"/>
    <n v="29.9925"/>
    <n v="9.6999999999999993"/>
    <x v="0"/>
    <n v="1"/>
    <s v="High Value"/>
    <s v="High Value Order"/>
    <m/>
    <s v=""/>
    <m/>
    <m/>
    <s v=""/>
  </r>
  <r>
    <x v="207"/>
    <x v="1"/>
    <x v="1"/>
    <s v="Member"/>
    <s v="Female"/>
    <x v="2"/>
    <n v="28.53"/>
    <n v="10"/>
    <n v="14.265000000000001"/>
    <n v="299.565"/>
    <d v="2019-03-18T00:00:00"/>
    <d v="1899-12-30T17:38:00"/>
    <x v="0"/>
    <n v="285.3"/>
    <n v="4.7619047620000003"/>
    <n v="14.265000000000001"/>
    <n v="7.8"/>
    <x v="1"/>
    <n v="3"/>
    <s v="Standard"/>
    <s v="Standard Order"/>
    <m/>
    <s v=""/>
    <m/>
    <m/>
    <s v=""/>
  </r>
  <r>
    <x v="208"/>
    <x v="2"/>
    <x v="2"/>
    <s v="Normal"/>
    <s v="Female"/>
    <x v="5"/>
    <n v="30.37"/>
    <n v="3"/>
    <n v="4.5555000000000003"/>
    <n v="95.665499999999994"/>
    <d v="2019-03-28T00:00:00"/>
    <d v="1899-12-30T13:41:00"/>
    <x v="0"/>
    <n v="91.11"/>
    <n v="4.7619047620000003"/>
    <n v="4.5555000000000003"/>
    <n v="5.0999999999999996"/>
    <x v="1"/>
    <n v="3"/>
    <s v="Standard"/>
    <s v="Standard Order"/>
    <m/>
    <s v=""/>
    <m/>
    <m/>
    <s v=""/>
  </r>
  <r>
    <x v="209"/>
    <x v="2"/>
    <x v="2"/>
    <s v="Normal"/>
    <s v="Female"/>
    <x v="1"/>
    <n v="99.73"/>
    <n v="9"/>
    <n v="44.878500000000003"/>
    <n v="942.44849999999997"/>
    <d v="2019-03-02T00:00:00"/>
    <d v="1899-12-30T19:42:00"/>
    <x v="2"/>
    <n v="897.57"/>
    <n v="4.7619047620000003"/>
    <n v="44.878500000000003"/>
    <n v="6.5"/>
    <x v="1"/>
    <n v="3"/>
    <s v="High Value"/>
    <s v="High Value Order"/>
    <m/>
    <s v=""/>
    <m/>
    <m/>
    <s v=""/>
  </r>
  <r>
    <x v="210"/>
    <x v="0"/>
    <x v="0"/>
    <s v="Normal"/>
    <s v="Male"/>
    <x v="1"/>
    <n v="26.23"/>
    <n v="9"/>
    <n v="11.8035"/>
    <n v="247.87350000000001"/>
    <d v="2019-01-25T00:00:00"/>
    <d v="1899-12-30T20:24:00"/>
    <x v="0"/>
    <n v="236.07"/>
    <n v="4.7619047620000003"/>
    <n v="11.8035"/>
    <n v="5.9"/>
    <x v="0"/>
    <n v="1"/>
    <s v="Standard"/>
    <s v="Standard Order"/>
    <m/>
    <s v=""/>
    <m/>
    <m/>
    <s v=""/>
  </r>
  <r>
    <x v="211"/>
    <x v="1"/>
    <x v="1"/>
    <s v="Normal"/>
    <s v="Female"/>
    <x v="4"/>
    <n v="93.26"/>
    <n v="9"/>
    <n v="41.966999999999999"/>
    <n v="881.30700000000002"/>
    <d v="2019-01-16T00:00:00"/>
    <d v="1899-12-30T18:08:00"/>
    <x v="1"/>
    <n v="839.34"/>
    <n v="4.7619047620000003"/>
    <n v="41.966999999999999"/>
    <n v="8.8000000000000007"/>
    <x v="0"/>
    <n v="1"/>
    <s v="High Value"/>
    <s v="High Value Order"/>
    <m/>
    <s v=""/>
    <m/>
    <m/>
    <s v=""/>
  </r>
  <r>
    <x v="212"/>
    <x v="2"/>
    <x v="2"/>
    <s v="Normal"/>
    <s v="Male"/>
    <x v="2"/>
    <n v="92.36"/>
    <n v="5"/>
    <n v="23.09"/>
    <n v="484.89"/>
    <d v="2019-03-20T00:00:00"/>
    <d v="1899-12-30T19:17:00"/>
    <x v="0"/>
    <n v="461.8"/>
    <n v="4.7619047620000003"/>
    <n v="23.09"/>
    <n v="4.9000000000000004"/>
    <x v="1"/>
    <n v="3"/>
    <s v="Standard"/>
    <s v="Standard Order"/>
    <m/>
    <s v=""/>
    <m/>
    <m/>
    <s v=""/>
  </r>
  <r>
    <x v="213"/>
    <x v="2"/>
    <x v="2"/>
    <s v="Normal"/>
    <s v="Male"/>
    <x v="3"/>
    <n v="46.42"/>
    <n v="3"/>
    <n v="6.9630000000000001"/>
    <n v="146.22300000000001"/>
    <d v="2019-01-04T00:00:00"/>
    <d v="1899-12-30T13:24:00"/>
    <x v="2"/>
    <n v="139.26"/>
    <n v="4.7619047620000003"/>
    <n v="6.9630000000000001"/>
    <n v="4.4000000000000004"/>
    <x v="0"/>
    <n v="1"/>
    <s v="Standard"/>
    <s v="Standard Order"/>
    <m/>
    <s v=""/>
    <m/>
    <m/>
    <s v=""/>
  </r>
  <r>
    <x v="214"/>
    <x v="2"/>
    <x v="2"/>
    <s v="Member"/>
    <s v="Female"/>
    <x v="3"/>
    <n v="29.61"/>
    <n v="7"/>
    <n v="10.3635"/>
    <n v="217.6335"/>
    <d v="2019-03-11T00:00:00"/>
    <d v="1899-12-30T15:53:00"/>
    <x v="1"/>
    <n v="207.27"/>
    <n v="4.7619047620000003"/>
    <n v="10.3635"/>
    <n v="6.5"/>
    <x v="1"/>
    <n v="3"/>
    <s v="Standard"/>
    <s v="Standard Order"/>
    <m/>
    <s v=""/>
    <m/>
    <m/>
    <s v=""/>
  </r>
  <r>
    <x v="215"/>
    <x v="0"/>
    <x v="0"/>
    <s v="Normal"/>
    <s v="Male"/>
    <x v="2"/>
    <n v="18.28"/>
    <n v="1"/>
    <n v="0.91400000000000003"/>
    <n v="19.193999999999999"/>
    <d v="2019-03-22T00:00:00"/>
    <d v="1899-12-30T15:05:00"/>
    <x v="2"/>
    <n v="18.28"/>
    <n v="4.7619047620000003"/>
    <n v="0.91400000000000003"/>
    <n v="8.3000000000000007"/>
    <x v="1"/>
    <n v="3"/>
    <s v="Standard"/>
    <s v="Standard Order"/>
    <m/>
    <s v=""/>
    <m/>
    <m/>
    <s v=""/>
  </r>
  <r>
    <x v="216"/>
    <x v="2"/>
    <x v="2"/>
    <s v="Normal"/>
    <s v="Female"/>
    <x v="3"/>
    <n v="24.77"/>
    <n v="5"/>
    <n v="6.1924999999999999"/>
    <n v="130.04249999999999"/>
    <d v="2019-03-24T00:00:00"/>
    <d v="1899-12-30T18:27:00"/>
    <x v="1"/>
    <n v="123.85"/>
    <n v="4.7619047620000003"/>
    <n v="6.1924999999999999"/>
    <n v="8.5"/>
    <x v="1"/>
    <n v="3"/>
    <s v="Standard"/>
    <s v="Standard Order"/>
    <m/>
    <s v=""/>
    <m/>
    <m/>
    <s v=""/>
  </r>
  <r>
    <x v="217"/>
    <x v="0"/>
    <x v="0"/>
    <s v="Member"/>
    <s v="Female"/>
    <x v="1"/>
    <n v="94.64"/>
    <n v="3"/>
    <n v="14.196"/>
    <n v="298.11599999999999"/>
    <d v="2019-02-21T00:00:00"/>
    <d v="1899-12-30T16:55:00"/>
    <x v="1"/>
    <n v="283.92"/>
    <n v="4.7619047620000003"/>
    <n v="14.196"/>
    <n v="5.5"/>
    <x v="2"/>
    <n v="2"/>
    <s v="Standard"/>
    <s v="Standard Order"/>
    <m/>
    <s v=""/>
    <m/>
    <m/>
    <s v=""/>
  </r>
  <r>
    <x v="218"/>
    <x v="2"/>
    <x v="2"/>
    <s v="Normal"/>
    <s v="Male"/>
    <x v="5"/>
    <n v="94.87"/>
    <n v="8"/>
    <n v="37.948"/>
    <n v="796.90800000000002"/>
    <d v="2019-02-12T00:00:00"/>
    <d v="1899-12-30T12:58:00"/>
    <x v="0"/>
    <n v="758.96"/>
    <n v="4.7619047620000003"/>
    <n v="37.948"/>
    <n v="8.6999999999999993"/>
    <x v="2"/>
    <n v="2"/>
    <s v="High Value"/>
    <s v="High Value Order"/>
    <m/>
    <s v=""/>
    <m/>
    <m/>
    <s v=""/>
  </r>
  <r>
    <x v="219"/>
    <x v="2"/>
    <x v="2"/>
    <s v="Normal"/>
    <s v="Female"/>
    <x v="4"/>
    <n v="57.34"/>
    <n v="3"/>
    <n v="8.6010000000000009"/>
    <n v="180.62100000000001"/>
    <d v="2019-03-10T00:00:00"/>
    <d v="1899-12-30T18:59:00"/>
    <x v="2"/>
    <n v="172.02"/>
    <n v="4.7619047620000003"/>
    <n v="8.6010000000000009"/>
    <n v="7.9"/>
    <x v="1"/>
    <n v="3"/>
    <s v="Standard"/>
    <s v="Standard Order"/>
    <m/>
    <s v=""/>
    <m/>
    <m/>
    <s v=""/>
  </r>
  <r>
    <x v="220"/>
    <x v="2"/>
    <x v="2"/>
    <s v="Normal"/>
    <s v="Male"/>
    <x v="1"/>
    <n v="45.35"/>
    <n v="6"/>
    <n v="13.605"/>
    <n v="285.70499999999998"/>
    <d v="2019-01-31T00:00:00"/>
    <d v="1899-12-30T13:44:00"/>
    <x v="0"/>
    <n v="272.10000000000002"/>
    <n v="4.7619047620000003"/>
    <n v="13.605"/>
    <n v="6.1"/>
    <x v="0"/>
    <n v="1"/>
    <s v="Standard"/>
    <s v="Standard Order"/>
    <m/>
    <s v=""/>
    <m/>
    <m/>
    <s v=""/>
  </r>
  <r>
    <x v="221"/>
    <x v="2"/>
    <x v="2"/>
    <s v="Normal"/>
    <s v="Male"/>
    <x v="4"/>
    <n v="62.08"/>
    <n v="7"/>
    <n v="21.728000000000002"/>
    <n v="456.28800000000001"/>
    <d v="2019-03-06T00:00:00"/>
    <d v="1899-12-30T13:46:00"/>
    <x v="0"/>
    <n v="434.56"/>
    <n v="4.7619047620000003"/>
    <n v="21.728000000000002"/>
    <n v="5.4"/>
    <x v="1"/>
    <n v="3"/>
    <s v="Standard"/>
    <s v="Standard Order"/>
    <m/>
    <s v=""/>
    <m/>
    <m/>
    <s v=""/>
  </r>
  <r>
    <x v="222"/>
    <x v="1"/>
    <x v="1"/>
    <s v="Normal"/>
    <s v="Male"/>
    <x v="1"/>
    <n v="11.81"/>
    <n v="5"/>
    <n v="2.9525000000000001"/>
    <n v="62.002499999999998"/>
    <d v="2019-02-17T00:00:00"/>
    <d v="1899-12-30T18:06:00"/>
    <x v="1"/>
    <n v="59.05"/>
    <n v="4.7619047620000003"/>
    <n v="2.9525000000000001"/>
    <n v="9.4"/>
    <x v="2"/>
    <n v="2"/>
    <s v="Standard"/>
    <s v="Standard Order"/>
    <m/>
    <s v=""/>
    <m/>
    <m/>
    <s v=""/>
  </r>
  <r>
    <x v="223"/>
    <x v="1"/>
    <x v="1"/>
    <s v="Member"/>
    <s v="Female"/>
    <x v="5"/>
    <n v="12.54"/>
    <n v="1"/>
    <n v="0.627"/>
    <n v="13.167"/>
    <d v="2019-02-21T00:00:00"/>
    <d v="1899-12-30T12:38:00"/>
    <x v="1"/>
    <n v="12.54"/>
    <n v="4.7619047620000003"/>
    <n v="0.627"/>
    <n v="8.1999999999999993"/>
    <x v="2"/>
    <n v="2"/>
    <s v="Standard"/>
    <s v="Standard Order"/>
    <m/>
    <s v=""/>
    <m/>
    <m/>
    <s v=""/>
  </r>
  <r>
    <x v="224"/>
    <x v="0"/>
    <x v="0"/>
    <s v="Normal"/>
    <s v="Male"/>
    <x v="4"/>
    <n v="43.25"/>
    <n v="2"/>
    <n v="4.3250000000000002"/>
    <n v="90.825000000000003"/>
    <d v="2019-03-20T00:00:00"/>
    <d v="1899-12-30T15:56:00"/>
    <x v="1"/>
    <n v="86.5"/>
    <n v="4.7619047620000003"/>
    <n v="4.3250000000000002"/>
    <n v="6.2"/>
    <x v="1"/>
    <n v="3"/>
    <s v="Standard"/>
    <s v="Standard Order"/>
    <m/>
    <s v=""/>
    <m/>
    <m/>
    <s v=""/>
  </r>
  <r>
    <x v="225"/>
    <x v="1"/>
    <x v="1"/>
    <s v="Member"/>
    <s v="Female"/>
    <x v="3"/>
    <n v="87.16"/>
    <n v="2"/>
    <n v="8.7159999999999993"/>
    <n v="183.036"/>
    <d v="2019-01-11T00:00:00"/>
    <d v="1899-12-30T14:29:00"/>
    <x v="2"/>
    <n v="174.32"/>
    <n v="4.7619047620000003"/>
    <n v="8.7159999999999993"/>
    <n v="9.6999999999999993"/>
    <x v="0"/>
    <n v="1"/>
    <s v="Standard"/>
    <s v="Standard Order"/>
    <m/>
    <s v=""/>
    <m/>
    <m/>
    <s v=""/>
  </r>
  <r>
    <x v="226"/>
    <x v="2"/>
    <x v="2"/>
    <s v="Member"/>
    <s v="Male"/>
    <x v="0"/>
    <n v="69.37"/>
    <n v="9"/>
    <n v="31.2165"/>
    <n v="655.54650000000004"/>
    <d v="2019-01-26T00:00:00"/>
    <d v="1899-12-30T19:14:00"/>
    <x v="0"/>
    <n v="624.33000000000004"/>
    <n v="4.7619047620000003"/>
    <n v="31.2165"/>
    <n v="4"/>
    <x v="0"/>
    <n v="1"/>
    <s v="High Value"/>
    <s v="High Value Order"/>
    <m/>
    <s v=""/>
    <m/>
    <m/>
    <s v=""/>
  </r>
  <r>
    <x v="227"/>
    <x v="1"/>
    <x v="1"/>
    <s v="Member"/>
    <s v="Male"/>
    <x v="1"/>
    <n v="37.06"/>
    <n v="4"/>
    <n v="7.4119999999999999"/>
    <n v="155.65199999999999"/>
    <d v="2019-01-31T00:00:00"/>
    <d v="1899-12-30T16:24:00"/>
    <x v="0"/>
    <n v="148.24"/>
    <n v="4.7619047620000003"/>
    <n v="7.4119999999999999"/>
    <n v="9.6999999999999993"/>
    <x v="0"/>
    <n v="1"/>
    <s v="Standard"/>
    <s v="Standard Order"/>
    <m/>
    <s v=""/>
    <m/>
    <m/>
    <s v=""/>
  </r>
  <r>
    <x v="228"/>
    <x v="2"/>
    <x v="2"/>
    <s v="Member"/>
    <s v="Female"/>
    <x v="1"/>
    <n v="90.7"/>
    <n v="6"/>
    <n v="27.21"/>
    <n v="571.41"/>
    <d v="2019-02-26T00:00:00"/>
    <d v="1899-12-30T10:52:00"/>
    <x v="1"/>
    <n v="544.20000000000005"/>
    <n v="4.7619047620000003"/>
    <n v="27.21"/>
    <n v="5.3"/>
    <x v="2"/>
    <n v="2"/>
    <s v="High Value"/>
    <s v="High Value Order"/>
    <m/>
    <s v=""/>
    <m/>
    <m/>
    <s v=""/>
  </r>
  <r>
    <x v="229"/>
    <x v="0"/>
    <x v="0"/>
    <s v="Normal"/>
    <s v="Female"/>
    <x v="2"/>
    <n v="63.42"/>
    <n v="8"/>
    <n v="25.367999999999999"/>
    <n v="532.72799999999995"/>
    <d v="2019-03-11T00:00:00"/>
    <d v="1899-12-30T12:55:00"/>
    <x v="0"/>
    <n v="507.36"/>
    <n v="4.7619047620000003"/>
    <n v="25.367999999999999"/>
    <n v="7.4"/>
    <x v="1"/>
    <n v="3"/>
    <s v="High Value"/>
    <s v="High Value Order"/>
    <m/>
    <s v=""/>
    <m/>
    <m/>
    <s v=""/>
  </r>
  <r>
    <x v="230"/>
    <x v="2"/>
    <x v="2"/>
    <s v="Normal"/>
    <s v="Female"/>
    <x v="5"/>
    <n v="81.37"/>
    <n v="2"/>
    <n v="8.1370000000000005"/>
    <n v="170.87700000000001"/>
    <d v="2019-01-26T00:00:00"/>
    <d v="1899-12-30T19:28:00"/>
    <x v="1"/>
    <n v="162.74"/>
    <n v="4.7619047620000003"/>
    <n v="8.1370000000000005"/>
    <n v="6.5"/>
    <x v="0"/>
    <n v="1"/>
    <s v="Standard"/>
    <s v="Standard Order"/>
    <m/>
    <s v=""/>
    <m/>
    <m/>
    <s v=""/>
  </r>
  <r>
    <x v="231"/>
    <x v="2"/>
    <x v="2"/>
    <s v="Member"/>
    <s v="Female"/>
    <x v="1"/>
    <n v="10.59"/>
    <n v="3"/>
    <n v="1.5885"/>
    <n v="33.358499999999999"/>
    <d v="2019-03-12T00:00:00"/>
    <d v="1899-12-30T13:52:00"/>
    <x v="2"/>
    <n v="31.77"/>
    <n v="4.7619047620000003"/>
    <n v="1.5885"/>
    <n v="8.6999999999999993"/>
    <x v="1"/>
    <n v="3"/>
    <s v="Standard"/>
    <s v="Standard Order"/>
    <m/>
    <s v=""/>
    <m/>
    <m/>
    <s v=""/>
  </r>
  <r>
    <x v="232"/>
    <x v="2"/>
    <x v="2"/>
    <s v="Normal"/>
    <s v="Female"/>
    <x v="0"/>
    <n v="84.09"/>
    <n v="9"/>
    <n v="37.840499999999999"/>
    <n v="794.65049999999997"/>
    <d v="2019-02-11T00:00:00"/>
    <d v="1899-12-30T10:54:00"/>
    <x v="1"/>
    <n v="756.81"/>
    <n v="4.7619047620000003"/>
    <n v="37.840499999999999"/>
    <n v="8"/>
    <x v="2"/>
    <n v="2"/>
    <s v="High Value"/>
    <s v="High Value Order"/>
    <m/>
    <s v=""/>
    <m/>
    <m/>
    <s v=""/>
  </r>
  <r>
    <x v="233"/>
    <x v="2"/>
    <x v="2"/>
    <s v="Member"/>
    <s v="Male"/>
    <x v="5"/>
    <n v="73.819999999999993"/>
    <n v="4"/>
    <n v="14.763999999999999"/>
    <n v="310.04399999999998"/>
    <d v="2019-02-21T00:00:00"/>
    <d v="1899-12-30T18:31:00"/>
    <x v="1"/>
    <n v="295.27999999999997"/>
    <n v="4.7619047620000003"/>
    <n v="14.763999999999999"/>
    <n v="6.7"/>
    <x v="2"/>
    <n v="2"/>
    <s v="Standard"/>
    <s v="Standard Order"/>
    <m/>
    <s v=""/>
    <m/>
    <m/>
    <s v=""/>
  </r>
  <r>
    <x v="234"/>
    <x v="0"/>
    <x v="0"/>
    <s v="Member"/>
    <s v="Male"/>
    <x v="0"/>
    <n v="51.94"/>
    <n v="10"/>
    <n v="25.97"/>
    <n v="545.37"/>
    <d v="2019-03-09T00:00:00"/>
    <d v="1899-12-30T18:24:00"/>
    <x v="0"/>
    <n v="519.4"/>
    <n v="4.7619047620000003"/>
    <n v="25.97"/>
    <n v="6.5"/>
    <x v="1"/>
    <n v="3"/>
    <s v="High Value"/>
    <s v="High Value Order"/>
    <m/>
    <s v=""/>
    <m/>
    <m/>
    <s v=""/>
  </r>
  <r>
    <x v="235"/>
    <x v="0"/>
    <x v="0"/>
    <s v="Normal"/>
    <s v="Female"/>
    <x v="3"/>
    <n v="93.14"/>
    <n v="2"/>
    <n v="9.3140000000000001"/>
    <n v="195.59399999999999"/>
    <d v="2019-01-20T00:00:00"/>
    <d v="1899-12-30T18:09:00"/>
    <x v="0"/>
    <n v="186.28"/>
    <n v="4.7619047620000003"/>
    <n v="9.3140000000000001"/>
    <n v="4.0999999999999996"/>
    <x v="0"/>
    <n v="1"/>
    <s v="Standard"/>
    <s v="Standard Order"/>
    <m/>
    <s v=""/>
    <m/>
    <m/>
    <s v=""/>
  </r>
  <r>
    <x v="236"/>
    <x v="1"/>
    <x v="1"/>
    <s v="Normal"/>
    <s v="Male"/>
    <x v="0"/>
    <n v="17.41"/>
    <n v="5"/>
    <n v="4.3525"/>
    <n v="91.402500000000003"/>
    <d v="2019-01-28T00:00:00"/>
    <d v="1899-12-30T15:16:00"/>
    <x v="2"/>
    <n v="87.05"/>
    <n v="4.7619047620000003"/>
    <n v="4.3525"/>
    <n v="4.9000000000000004"/>
    <x v="0"/>
    <n v="1"/>
    <s v="Standard"/>
    <s v="Standard Order"/>
    <m/>
    <s v=""/>
    <m/>
    <m/>
    <s v=""/>
  </r>
  <r>
    <x v="237"/>
    <x v="1"/>
    <x v="1"/>
    <s v="Member"/>
    <s v="Female"/>
    <x v="5"/>
    <n v="44.22"/>
    <n v="5"/>
    <n v="11.055"/>
    <n v="232.155"/>
    <d v="2019-03-05T00:00:00"/>
    <d v="1899-12-30T17:07:00"/>
    <x v="2"/>
    <n v="221.1"/>
    <n v="4.7619047620000003"/>
    <n v="11.055"/>
    <n v="8.6"/>
    <x v="1"/>
    <n v="3"/>
    <s v="Standard"/>
    <s v="Standard Order"/>
    <m/>
    <s v=""/>
    <m/>
    <m/>
    <s v=""/>
  </r>
  <r>
    <x v="238"/>
    <x v="2"/>
    <x v="2"/>
    <s v="Member"/>
    <s v="Female"/>
    <x v="1"/>
    <n v="13.22"/>
    <n v="5"/>
    <n v="3.3050000000000002"/>
    <n v="69.405000000000001"/>
    <d v="2019-03-02T00:00:00"/>
    <d v="1899-12-30T19:26:00"/>
    <x v="1"/>
    <n v="66.099999999999994"/>
    <n v="4.7619047620000003"/>
    <n v="3.3050000000000002"/>
    <n v="4.3"/>
    <x v="1"/>
    <n v="3"/>
    <s v="Standard"/>
    <s v="Standard Order"/>
    <m/>
    <s v=""/>
    <m/>
    <m/>
    <s v=""/>
  </r>
  <r>
    <x v="239"/>
    <x v="0"/>
    <x v="0"/>
    <s v="Normal"/>
    <s v="Male"/>
    <x v="5"/>
    <n v="89.69"/>
    <n v="1"/>
    <n v="4.4844999999999997"/>
    <n v="94.174499999999995"/>
    <d v="2019-01-11T00:00:00"/>
    <d v="1899-12-30T11:20:00"/>
    <x v="0"/>
    <n v="89.69"/>
    <n v="4.7619047620000003"/>
    <n v="4.4844999999999997"/>
    <n v="4.9000000000000004"/>
    <x v="0"/>
    <n v="1"/>
    <s v="Standard"/>
    <s v="Standard Order"/>
    <m/>
    <s v=""/>
    <m/>
    <m/>
    <s v=""/>
  </r>
  <r>
    <x v="240"/>
    <x v="0"/>
    <x v="0"/>
    <s v="Normal"/>
    <s v="Male"/>
    <x v="4"/>
    <n v="24.94"/>
    <n v="9"/>
    <n v="11.223000000000001"/>
    <n v="235.68299999999999"/>
    <d v="2019-01-11T00:00:00"/>
    <d v="1899-12-30T16:49:00"/>
    <x v="2"/>
    <n v="224.46"/>
    <n v="4.7619047620000003"/>
    <n v="11.223000000000001"/>
    <n v="5.6"/>
    <x v="0"/>
    <n v="1"/>
    <s v="Standard"/>
    <s v="Standard Order"/>
    <m/>
    <s v=""/>
    <m/>
    <m/>
    <s v=""/>
  </r>
  <r>
    <x v="241"/>
    <x v="0"/>
    <x v="0"/>
    <s v="Normal"/>
    <s v="Male"/>
    <x v="0"/>
    <n v="59.77"/>
    <n v="2"/>
    <n v="5.9770000000000003"/>
    <n v="125.517"/>
    <d v="2019-03-11T00:00:00"/>
    <d v="1899-12-30T12:01:00"/>
    <x v="2"/>
    <n v="119.54"/>
    <n v="4.7619047620000003"/>
    <n v="5.9770000000000003"/>
    <n v="5.8"/>
    <x v="1"/>
    <n v="3"/>
    <s v="Standard"/>
    <s v="Standard Order"/>
    <m/>
    <s v=""/>
    <m/>
    <m/>
    <s v=""/>
  </r>
  <r>
    <x v="242"/>
    <x v="1"/>
    <x v="1"/>
    <s v="Member"/>
    <s v="Male"/>
    <x v="5"/>
    <n v="93.2"/>
    <n v="2"/>
    <n v="9.32"/>
    <n v="195.72"/>
    <d v="2019-02-28T00:00:00"/>
    <d v="1899-12-30T18:37:00"/>
    <x v="2"/>
    <n v="186.4"/>
    <n v="4.7619047620000003"/>
    <n v="9.32"/>
    <n v="6"/>
    <x v="2"/>
    <n v="2"/>
    <s v="Standard"/>
    <s v="Standard Order"/>
    <m/>
    <s v=""/>
    <m/>
    <m/>
    <s v=""/>
  </r>
  <r>
    <x v="243"/>
    <x v="0"/>
    <x v="0"/>
    <s v="Member"/>
    <s v="Male"/>
    <x v="2"/>
    <n v="62.65"/>
    <n v="4"/>
    <n v="12.53"/>
    <n v="263.13"/>
    <d v="2019-01-05T00:00:00"/>
    <d v="1899-12-30T11:25:00"/>
    <x v="1"/>
    <n v="250.6"/>
    <n v="4.7619047620000003"/>
    <n v="12.53"/>
    <n v="4.2"/>
    <x v="0"/>
    <n v="1"/>
    <s v="Standard"/>
    <s v="Standard Order"/>
    <m/>
    <s v=""/>
    <m/>
    <m/>
    <s v=""/>
  </r>
  <r>
    <x v="244"/>
    <x v="2"/>
    <x v="2"/>
    <s v="Normal"/>
    <s v="Male"/>
    <x v="2"/>
    <n v="93.87"/>
    <n v="8"/>
    <n v="37.548000000000002"/>
    <n v="788.50800000000004"/>
    <d v="2019-02-02T00:00:00"/>
    <d v="1899-12-30T18:42:00"/>
    <x v="2"/>
    <n v="750.96"/>
    <n v="4.7619047620000003"/>
    <n v="37.548000000000002"/>
    <n v="8.3000000000000007"/>
    <x v="2"/>
    <n v="2"/>
    <s v="High Value"/>
    <s v="High Value Order"/>
    <m/>
    <s v=""/>
    <m/>
    <m/>
    <s v=""/>
  </r>
  <r>
    <x v="245"/>
    <x v="0"/>
    <x v="0"/>
    <s v="Member"/>
    <s v="Male"/>
    <x v="2"/>
    <n v="47.59"/>
    <n v="8"/>
    <n v="19.036000000000001"/>
    <n v="399.75599999999997"/>
    <d v="2019-01-01T00:00:00"/>
    <d v="1899-12-30T14:47:00"/>
    <x v="1"/>
    <n v="380.72"/>
    <n v="4.7619047620000003"/>
    <n v="19.036000000000001"/>
    <n v="5.7"/>
    <x v="0"/>
    <n v="1"/>
    <s v="Standard"/>
    <s v="Standard Order"/>
    <m/>
    <s v=""/>
    <m/>
    <m/>
    <s v=""/>
  </r>
  <r>
    <x v="246"/>
    <x v="2"/>
    <x v="2"/>
    <s v="Member"/>
    <s v="Female"/>
    <x v="1"/>
    <n v="81.400000000000006"/>
    <n v="3"/>
    <n v="12.21"/>
    <n v="256.41000000000003"/>
    <d v="2019-02-09T00:00:00"/>
    <d v="1899-12-30T19:43:00"/>
    <x v="1"/>
    <n v="244.2"/>
    <n v="4.7619047620000003"/>
    <n v="12.21"/>
    <n v="4.8"/>
    <x v="2"/>
    <n v="2"/>
    <s v="Standard"/>
    <s v="Standard Order"/>
    <m/>
    <s v=""/>
    <m/>
    <m/>
    <s v=""/>
  </r>
  <r>
    <x v="247"/>
    <x v="0"/>
    <x v="0"/>
    <s v="Member"/>
    <s v="Male"/>
    <x v="5"/>
    <n v="17.940000000000001"/>
    <n v="5"/>
    <n v="4.4850000000000003"/>
    <n v="94.185000000000002"/>
    <d v="2019-01-23T00:00:00"/>
    <d v="1899-12-30T14:04:00"/>
    <x v="0"/>
    <n v="89.7"/>
    <n v="4.7619047620000003"/>
    <n v="4.4850000000000003"/>
    <n v="6.8"/>
    <x v="0"/>
    <n v="1"/>
    <s v="Standard"/>
    <s v="Standard Order"/>
    <m/>
    <s v=""/>
    <m/>
    <m/>
    <s v=""/>
  </r>
  <r>
    <x v="248"/>
    <x v="0"/>
    <x v="0"/>
    <s v="Member"/>
    <s v="Male"/>
    <x v="1"/>
    <n v="77.72"/>
    <n v="4"/>
    <n v="15.544"/>
    <n v="326.42399999999998"/>
    <d v="2019-01-07T00:00:00"/>
    <d v="1899-12-30T16:11:00"/>
    <x v="2"/>
    <n v="310.88"/>
    <n v="4.7619047620000003"/>
    <n v="15.544"/>
    <n v="8.8000000000000007"/>
    <x v="0"/>
    <n v="1"/>
    <s v="Standard"/>
    <s v="Standard Order"/>
    <m/>
    <s v=""/>
    <m/>
    <m/>
    <s v=""/>
  </r>
  <r>
    <x v="249"/>
    <x v="2"/>
    <x v="2"/>
    <s v="Normal"/>
    <s v="Male"/>
    <x v="4"/>
    <n v="73.06"/>
    <n v="7"/>
    <n v="25.571000000000002"/>
    <n v="536.99099999999999"/>
    <d v="2019-01-14T00:00:00"/>
    <d v="1899-12-30T19:06:00"/>
    <x v="2"/>
    <n v="511.42"/>
    <n v="4.7619047620000003"/>
    <n v="25.571000000000002"/>
    <n v="4.2"/>
    <x v="0"/>
    <n v="1"/>
    <s v="High Value"/>
    <s v="High Value Order"/>
    <m/>
    <s v=""/>
    <m/>
    <m/>
    <s v=""/>
  </r>
  <r>
    <x v="250"/>
    <x v="2"/>
    <x v="2"/>
    <s v="Member"/>
    <s v="Male"/>
    <x v="4"/>
    <n v="46.55"/>
    <n v="9"/>
    <n v="20.947500000000002"/>
    <n v="439.89749999999998"/>
    <d v="2019-02-02T00:00:00"/>
    <d v="1899-12-30T15:34:00"/>
    <x v="0"/>
    <n v="418.95"/>
    <n v="4.7619047620000003"/>
    <n v="20.947500000000002"/>
    <n v="6.4"/>
    <x v="2"/>
    <n v="2"/>
    <s v="Standard"/>
    <s v="Standard Order"/>
    <m/>
    <s v=""/>
    <m/>
    <m/>
    <s v=""/>
  </r>
  <r>
    <x v="251"/>
    <x v="1"/>
    <x v="1"/>
    <s v="Member"/>
    <s v="Male"/>
    <x v="5"/>
    <n v="35.19"/>
    <n v="10"/>
    <n v="17.594999999999999"/>
    <n v="369.495"/>
    <d v="2019-03-17T00:00:00"/>
    <d v="1899-12-30T19:06:00"/>
    <x v="2"/>
    <n v="351.9"/>
    <n v="4.7619047620000003"/>
    <n v="17.594999999999999"/>
    <n v="8.4"/>
    <x v="1"/>
    <n v="3"/>
    <s v="Standard"/>
    <s v="Standard Order"/>
    <m/>
    <s v=""/>
    <m/>
    <m/>
    <s v=""/>
  </r>
  <r>
    <x v="252"/>
    <x v="1"/>
    <x v="1"/>
    <s v="Normal"/>
    <s v="Female"/>
    <x v="3"/>
    <n v="14.39"/>
    <n v="2"/>
    <n v="1.4390000000000001"/>
    <n v="30.219000000000001"/>
    <d v="2019-03-02T00:00:00"/>
    <d v="1899-12-30T19:44:00"/>
    <x v="2"/>
    <n v="28.78"/>
    <n v="4.7619047620000003"/>
    <n v="1.4390000000000001"/>
    <n v="7.2"/>
    <x v="1"/>
    <n v="3"/>
    <s v="Standard"/>
    <s v="Standard Order"/>
    <m/>
    <s v=""/>
    <m/>
    <m/>
    <s v=""/>
  </r>
  <r>
    <x v="253"/>
    <x v="0"/>
    <x v="0"/>
    <s v="Normal"/>
    <s v="Male"/>
    <x v="2"/>
    <n v="23.75"/>
    <n v="4"/>
    <n v="4.75"/>
    <n v="99.75"/>
    <d v="2019-03-16T00:00:00"/>
    <d v="1899-12-30T11:22:00"/>
    <x v="1"/>
    <n v="95"/>
    <n v="4.7619047620000003"/>
    <n v="4.75"/>
    <n v="5.2"/>
    <x v="1"/>
    <n v="3"/>
    <s v="Standard"/>
    <s v="Standard Order"/>
    <m/>
    <s v=""/>
    <m/>
    <m/>
    <s v=""/>
  </r>
  <r>
    <x v="254"/>
    <x v="0"/>
    <x v="0"/>
    <s v="Member"/>
    <s v="Male"/>
    <x v="2"/>
    <n v="58.9"/>
    <n v="8"/>
    <n v="23.56"/>
    <n v="494.76"/>
    <d v="2019-01-06T00:00:00"/>
    <d v="1899-12-30T11:23:00"/>
    <x v="1"/>
    <n v="471.2"/>
    <n v="4.7619047620000003"/>
    <n v="23.56"/>
    <n v="8.9"/>
    <x v="0"/>
    <n v="1"/>
    <s v="Standard"/>
    <s v="Standard Order"/>
    <m/>
    <s v=""/>
    <m/>
    <m/>
    <s v=""/>
  </r>
  <r>
    <x v="255"/>
    <x v="2"/>
    <x v="2"/>
    <s v="Member"/>
    <s v="Male"/>
    <x v="5"/>
    <n v="32.619999999999997"/>
    <n v="4"/>
    <n v="6.524"/>
    <n v="137.00399999999999"/>
    <d v="2019-01-29T00:00:00"/>
    <d v="1899-12-30T14:12:00"/>
    <x v="1"/>
    <n v="130.47999999999999"/>
    <n v="4.7619047620000003"/>
    <n v="6.524"/>
    <n v="9"/>
    <x v="0"/>
    <n v="1"/>
    <s v="Standard"/>
    <s v="Standard Order"/>
    <m/>
    <s v=""/>
    <m/>
    <m/>
    <s v=""/>
  </r>
  <r>
    <x v="256"/>
    <x v="0"/>
    <x v="0"/>
    <s v="Member"/>
    <s v="Male"/>
    <x v="1"/>
    <n v="66.349999999999994"/>
    <n v="1"/>
    <n v="3.3174999999999999"/>
    <n v="69.667500000000004"/>
    <d v="2019-01-31T00:00:00"/>
    <d v="1899-12-30T10:46:00"/>
    <x v="2"/>
    <n v="66.349999999999994"/>
    <n v="4.7619047620000003"/>
    <n v="3.3174999999999999"/>
    <n v="9.6999999999999993"/>
    <x v="0"/>
    <n v="1"/>
    <s v="Standard"/>
    <s v="Standard Order"/>
    <m/>
    <s v=""/>
    <m/>
    <m/>
    <s v=""/>
  </r>
  <r>
    <x v="257"/>
    <x v="0"/>
    <x v="0"/>
    <s v="Member"/>
    <s v="Male"/>
    <x v="2"/>
    <n v="25.91"/>
    <n v="6"/>
    <n v="7.7729999999999997"/>
    <n v="163.233"/>
    <d v="2019-02-05T00:00:00"/>
    <d v="1899-12-30T10:16:00"/>
    <x v="0"/>
    <n v="155.46"/>
    <n v="4.7619047620000003"/>
    <n v="7.7729999999999997"/>
    <n v="8.6999999999999993"/>
    <x v="2"/>
    <n v="2"/>
    <s v="Standard"/>
    <s v="Standard Order"/>
    <m/>
    <s v=""/>
    <m/>
    <m/>
    <s v=""/>
  </r>
  <r>
    <x v="258"/>
    <x v="0"/>
    <x v="0"/>
    <s v="Member"/>
    <s v="Male"/>
    <x v="1"/>
    <n v="32.25"/>
    <n v="4"/>
    <n v="6.45"/>
    <n v="135.44999999999999"/>
    <d v="2019-02-13T00:00:00"/>
    <d v="1899-12-30T12:38:00"/>
    <x v="0"/>
    <n v="129"/>
    <n v="4.7619047620000003"/>
    <n v="6.45"/>
    <n v="6.5"/>
    <x v="2"/>
    <n v="2"/>
    <s v="Standard"/>
    <s v="Standard Order"/>
    <m/>
    <s v=""/>
    <m/>
    <m/>
    <s v=""/>
  </r>
  <r>
    <x v="259"/>
    <x v="1"/>
    <x v="1"/>
    <s v="Member"/>
    <s v="Male"/>
    <x v="1"/>
    <n v="65.94"/>
    <n v="4"/>
    <n v="13.188000000000001"/>
    <n v="276.94799999999998"/>
    <d v="2019-02-07T00:00:00"/>
    <d v="1899-12-30T13:05:00"/>
    <x v="2"/>
    <n v="263.76"/>
    <n v="4.7619047620000003"/>
    <n v="13.188000000000001"/>
    <n v="6.9"/>
    <x v="2"/>
    <n v="2"/>
    <s v="Standard"/>
    <s v="Standard Order"/>
    <m/>
    <s v=""/>
    <m/>
    <m/>
    <s v=""/>
  </r>
  <r>
    <x v="260"/>
    <x v="0"/>
    <x v="0"/>
    <s v="Normal"/>
    <s v="Female"/>
    <x v="1"/>
    <n v="75.06"/>
    <n v="9"/>
    <n v="33.777000000000001"/>
    <n v="709.31700000000001"/>
    <d v="2019-03-19T00:00:00"/>
    <d v="1899-12-30T13:25:00"/>
    <x v="0"/>
    <n v="675.54"/>
    <n v="4.7619047620000003"/>
    <n v="33.777000000000001"/>
    <n v="6.2"/>
    <x v="1"/>
    <n v="3"/>
    <s v="High Value"/>
    <s v="High Value Order"/>
    <m/>
    <s v=""/>
    <m/>
    <m/>
    <s v=""/>
  </r>
  <r>
    <x v="261"/>
    <x v="1"/>
    <x v="1"/>
    <s v="Normal"/>
    <s v="Female"/>
    <x v="5"/>
    <n v="16.45"/>
    <n v="4"/>
    <n v="3.29"/>
    <n v="69.09"/>
    <d v="2019-03-07T00:00:00"/>
    <d v="1899-12-30T14:53:00"/>
    <x v="0"/>
    <n v="65.8"/>
    <n v="4.7619047620000003"/>
    <n v="3.29"/>
    <n v="5.6"/>
    <x v="1"/>
    <n v="3"/>
    <s v="Standard"/>
    <s v="Standard Order"/>
    <m/>
    <s v=""/>
    <m/>
    <m/>
    <s v=""/>
  </r>
  <r>
    <x v="262"/>
    <x v="2"/>
    <x v="2"/>
    <s v="Member"/>
    <s v="Female"/>
    <x v="5"/>
    <n v="38.299999999999997"/>
    <n v="4"/>
    <n v="7.66"/>
    <n v="160.86000000000001"/>
    <d v="2019-03-13T00:00:00"/>
    <d v="1899-12-30T19:22:00"/>
    <x v="1"/>
    <n v="153.19999999999999"/>
    <n v="4.7619047620000003"/>
    <n v="7.66"/>
    <n v="5.7"/>
    <x v="1"/>
    <n v="3"/>
    <s v="Standard"/>
    <s v="Standard Order"/>
    <m/>
    <s v=""/>
    <m/>
    <m/>
    <s v=""/>
  </r>
  <r>
    <x v="263"/>
    <x v="0"/>
    <x v="0"/>
    <s v="Member"/>
    <s v="Female"/>
    <x v="3"/>
    <n v="22.24"/>
    <n v="10"/>
    <n v="11.12"/>
    <n v="233.52"/>
    <d v="2019-02-09T00:00:00"/>
    <d v="1899-12-30T11:00:00"/>
    <x v="1"/>
    <n v="222.4"/>
    <n v="4.7619047620000003"/>
    <n v="11.12"/>
    <n v="4.2"/>
    <x v="2"/>
    <n v="2"/>
    <s v="Standard"/>
    <s v="Standard Order"/>
    <m/>
    <s v=""/>
    <m/>
    <m/>
    <s v=""/>
  </r>
  <r>
    <x v="264"/>
    <x v="2"/>
    <x v="2"/>
    <s v="Normal"/>
    <s v="Male"/>
    <x v="3"/>
    <n v="54.45"/>
    <n v="1"/>
    <n v="2.7225000000000001"/>
    <n v="57.172499999999999"/>
    <d v="2019-02-26T00:00:00"/>
    <d v="1899-12-30T19:24:00"/>
    <x v="0"/>
    <n v="54.45"/>
    <n v="4.7619047620000003"/>
    <n v="2.7225000000000001"/>
    <n v="7.9"/>
    <x v="2"/>
    <n v="2"/>
    <s v="Standard"/>
    <s v="Standard Order"/>
    <m/>
    <s v=""/>
    <m/>
    <m/>
    <s v=""/>
  </r>
  <r>
    <x v="265"/>
    <x v="0"/>
    <x v="0"/>
    <s v="Member"/>
    <s v="Female"/>
    <x v="3"/>
    <n v="98.4"/>
    <n v="7"/>
    <n v="34.44"/>
    <n v="723.24"/>
    <d v="2019-03-12T00:00:00"/>
    <d v="1899-12-30T12:43:00"/>
    <x v="2"/>
    <n v="688.8"/>
    <n v="4.7619047620000003"/>
    <n v="34.44"/>
    <n v="8.6999999999999993"/>
    <x v="1"/>
    <n v="3"/>
    <s v="High Value"/>
    <s v="High Value Order"/>
    <m/>
    <s v=""/>
    <m/>
    <m/>
    <s v=""/>
  </r>
  <r>
    <x v="266"/>
    <x v="1"/>
    <x v="1"/>
    <s v="Normal"/>
    <s v="Male"/>
    <x v="2"/>
    <n v="35.47"/>
    <n v="4"/>
    <n v="7.0940000000000003"/>
    <n v="148.97399999999999"/>
    <d v="2019-03-14T00:00:00"/>
    <d v="1899-12-30T17:22:00"/>
    <x v="2"/>
    <n v="141.88"/>
    <n v="4.7619047620000003"/>
    <n v="7.0940000000000003"/>
    <n v="6.9"/>
    <x v="1"/>
    <n v="3"/>
    <s v="Standard"/>
    <s v="Standard Order"/>
    <m/>
    <s v=""/>
    <m/>
    <m/>
    <s v=""/>
  </r>
  <r>
    <x v="267"/>
    <x v="2"/>
    <x v="2"/>
    <s v="Member"/>
    <s v="Female"/>
    <x v="4"/>
    <n v="74.599999999999994"/>
    <n v="10"/>
    <n v="37.299999999999997"/>
    <n v="783.3"/>
    <d v="2019-01-08T00:00:00"/>
    <d v="1899-12-30T20:55:00"/>
    <x v="1"/>
    <n v="746"/>
    <n v="4.7619047620000003"/>
    <n v="37.299999999999997"/>
    <n v="9.5"/>
    <x v="0"/>
    <n v="1"/>
    <s v="High Value"/>
    <s v="High Value Order"/>
    <m/>
    <s v=""/>
    <m/>
    <m/>
    <s v=""/>
  </r>
  <r>
    <x v="268"/>
    <x v="0"/>
    <x v="0"/>
    <s v="Member"/>
    <s v="Male"/>
    <x v="2"/>
    <n v="70.739999999999995"/>
    <n v="4"/>
    <n v="14.148"/>
    <n v="297.108"/>
    <d v="2019-01-05T00:00:00"/>
    <d v="1899-12-30T16:05:00"/>
    <x v="2"/>
    <n v="282.95999999999998"/>
    <n v="4.7619047620000003"/>
    <n v="14.148"/>
    <n v="4.4000000000000004"/>
    <x v="0"/>
    <n v="1"/>
    <s v="Standard"/>
    <s v="Standard Order"/>
    <m/>
    <s v=""/>
    <m/>
    <m/>
    <s v=""/>
  </r>
  <r>
    <x v="269"/>
    <x v="0"/>
    <x v="0"/>
    <s v="Member"/>
    <s v="Female"/>
    <x v="2"/>
    <n v="35.54"/>
    <n v="10"/>
    <n v="17.77"/>
    <n v="373.17"/>
    <d v="2019-01-04T00:00:00"/>
    <d v="1899-12-30T13:34:00"/>
    <x v="0"/>
    <n v="355.4"/>
    <n v="4.7619047620000003"/>
    <n v="17.77"/>
    <n v="7"/>
    <x v="0"/>
    <n v="1"/>
    <s v="Standard"/>
    <s v="Standard Order"/>
    <m/>
    <s v=""/>
    <m/>
    <m/>
    <s v=""/>
  </r>
  <r>
    <x v="270"/>
    <x v="2"/>
    <x v="2"/>
    <s v="Normal"/>
    <s v="Female"/>
    <x v="3"/>
    <n v="67.430000000000007"/>
    <n v="5"/>
    <n v="16.857500000000002"/>
    <n v="354.00749999999999"/>
    <d v="2019-03-06T00:00:00"/>
    <d v="1899-12-30T18:13:00"/>
    <x v="0"/>
    <n v="337.15"/>
    <n v="4.7619047620000003"/>
    <n v="16.857500000000002"/>
    <n v="6.3"/>
    <x v="1"/>
    <n v="3"/>
    <s v="Standard"/>
    <s v="Standard Order"/>
    <m/>
    <s v=""/>
    <m/>
    <m/>
    <s v=""/>
  </r>
  <r>
    <x v="271"/>
    <x v="1"/>
    <x v="1"/>
    <s v="Member"/>
    <s v="Female"/>
    <x v="0"/>
    <n v="21.12"/>
    <n v="2"/>
    <n v="2.1120000000000001"/>
    <n v="44.351999999999997"/>
    <d v="2019-01-03T00:00:00"/>
    <d v="1899-12-30T19:17:00"/>
    <x v="1"/>
    <n v="42.24"/>
    <n v="4.7619047620000003"/>
    <n v="2.1120000000000001"/>
    <n v="9.6999999999999993"/>
    <x v="0"/>
    <n v="1"/>
    <s v="Standard"/>
    <s v="Standard Order"/>
    <m/>
    <s v=""/>
    <m/>
    <m/>
    <s v=""/>
  </r>
  <r>
    <x v="272"/>
    <x v="0"/>
    <x v="0"/>
    <s v="Member"/>
    <s v="Female"/>
    <x v="2"/>
    <n v="21.54"/>
    <n v="9"/>
    <n v="9.6929999999999996"/>
    <n v="203.553"/>
    <d v="2019-01-07T00:00:00"/>
    <d v="1899-12-30T11:44:00"/>
    <x v="2"/>
    <n v="193.86"/>
    <n v="4.7619047620000003"/>
    <n v="9.6929999999999996"/>
    <n v="8.8000000000000007"/>
    <x v="0"/>
    <n v="1"/>
    <s v="Standard"/>
    <s v="Standard Order"/>
    <m/>
    <s v=""/>
    <m/>
    <m/>
    <s v=""/>
  </r>
  <r>
    <x v="273"/>
    <x v="0"/>
    <x v="0"/>
    <s v="Normal"/>
    <s v="Female"/>
    <x v="2"/>
    <n v="12.03"/>
    <n v="2"/>
    <n v="1.2030000000000001"/>
    <n v="25.263000000000002"/>
    <d v="2019-01-27T00:00:00"/>
    <d v="1899-12-30T15:51:00"/>
    <x v="1"/>
    <n v="24.06"/>
    <n v="4.7619047620000003"/>
    <n v="1.2030000000000001"/>
    <n v="5.0999999999999996"/>
    <x v="0"/>
    <n v="1"/>
    <s v="Standard"/>
    <s v="Standard Order"/>
    <m/>
    <s v=""/>
    <m/>
    <m/>
    <s v=""/>
  </r>
  <r>
    <x v="274"/>
    <x v="2"/>
    <x v="2"/>
    <s v="Normal"/>
    <s v="Female"/>
    <x v="0"/>
    <n v="99.71"/>
    <n v="6"/>
    <n v="29.913"/>
    <n v="628.173"/>
    <d v="2019-02-26T00:00:00"/>
    <d v="1899-12-30T16:52:00"/>
    <x v="0"/>
    <n v="598.26"/>
    <n v="4.7619047620000003"/>
    <n v="29.913"/>
    <n v="7.9"/>
    <x v="2"/>
    <n v="2"/>
    <s v="High Value"/>
    <s v="High Value Order"/>
    <m/>
    <s v=""/>
    <m/>
    <m/>
    <s v=""/>
  </r>
  <r>
    <x v="275"/>
    <x v="2"/>
    <x v="2"/>
    <s v="Normal"/>
    <s v="Male"/>
    <x v="5"/>
    <n v="47.97"/>
    <n v="7"/>
    <n v="16.7895"/>
    <n v="352.5795"/>
    <d v="2019-01-07T00:00:00"/>
    <d v="1899-12-30T20:52:00"/>
    <x v="1"/>
    <n v="335.79"/>
    <n v="4.7619047620000003"/>
    <n v="16.7895"/>
    <n v="6.2"/>
    <x v="0"/>
    <n v="1"/>
    <s v="Standard"/>
    <s v="Standard Order"/>
    <m/>
    <s v=""/>
    <m/>
    <m/>
    <s v=""/>
  </r>
  <r>
    <x v="276"/>
    <x v="1"/>
    <x v="1"/>
    <s v="Member"/>
    <s v="Female"/>
    <x v="2"/>
    <n v="21.82"/>
    <n v="10"/>
    <n v="10.91"/>
    <n v="229.11"/>
    <d v="2019-01-07T00:00:00"/>
    <d v="1899-12-30T17:36:00"/>
    <x v="1"/>
    <n v="218.2"/>
    <n v="4.7619047620000003"/>
    <n v="10.91"/>
    <n v="7.1"/>
    <x v="0"/>
    <n v="1"/>
    <s v="Standard"/>
    <s v="Standard Order"/>
    <m/>
    <s v=""/>
    <m/>
    <m/>
    <s v=""/>
  </r>
  <r>
    <x v="277"/>
    <x v="1"/>
    <x v="1"/>
    <s v="Normal"/>
    <s v="Female"/>
    <x v="5"/>
    <n v="95.42"/>
    <n v="4"/>
    <n v="19.084"/>
    <n v="400.76400000000001"/>
    <d v="2019-02-02T00:00:00"/>
    <d v="1899-12-30T13:23:00"/>
    <x v="0"/>
    <n v="381.68"/>
    <n v="4.7619047620000003"/>
    <n v="19.084"/>
    <n v="6.4"/>
    <x v="2"/>
    <n v="2"/>
    <s v="Standard"/>
    <s v="Standard Order"/>
    <m/>
    <s v=""/>
    <m/>
    <m/>
    <s v=""/>
  </r>
  <r>
    <x v="278"/>
    <x v="1"/>
    <x v="1"/>
    <s v="Member"/>
    <s v="Male"/>
    <x v="5"/>
    <n v="70.989999999999995"/>
    <n v="10"/>
    <n v="35.494999999999997"/>
    <n v="745.39499999999998"/>
    <d v="2019-03-20T00:00:00"/>
    <d v="1899-12-30T16:28:00"/>
    <x v="1"/>
    <n v="709.9"/>
    <n v="4.7619047620000003"/>
    <n v="35.494999999999997"/>
    <n v="5.7"/>
    <x v="1"/>
    <n v="3"/>
    <s v="High Value"/>
    <s v="High Value Order"/>
    <m/>
    <s v=""/>
    <m/>
    <m/>
    <s v=""/>
  </r>
  <r>
    <x v="279"/>
    <x v="0"/>
    <x v="0"/>
    <s v="Member"/>
    <s v="Male"/>
    <x v="3"/>
    <n v="44.02"/>
    <n v="10"/>
    <n v="22.01"/>
    <n v="462.21"/>
    <d v="2019-03-20T00:00:00"/>
    <d v="1899-12-30T19:57:00"/>
    <x v="2"/>
    <n v="440.2"/>
    <n v="4.7619047620000003"/>
    <n v="22.01"/>
    <n v="9.6"/>
    <x v="1"/>
    <n v="3"/>
    <s v="Standard"/>
    <s v="Standard Order"/>
    <m/>
    <s v=""/>
    <m/>
    <m/>
    <s v=""/>
  </r>
  <r>
    <x v="280"/>
    <x v="0"/>
    <x v="0"/>
    <s v="Normal"/>
    <s v="Female"/>
    <x v="2"/>
    <n v="69.959999999999994"/>
    <n v="8"/>
    <n v="27.984000000000002"/>
    <n v="587.66399999999999"/>
    <d v="2019-02-15T00:00:00"/>
    <d v="1899-12-30T17:01:00"/>
    <x v="2"/>
    <n v="559.67999999999995"/>
    <n v="4.7619047620000003"/>
    <n v="27.984000000000002"/>
    <n v="6.4"/>
    <x v="2"/>
    <n v="2"/>
    <s v="High Value"/>
    <s v="High Value Order"/>
    <m/>
    <s v=""/>
    <m/>
    <m/>
    <s v=""/>
  </r>
  <r>
    <x v="281"/>
    <x v="1"/>
    <x v="1"/>
    <s v="Normal"/>
    <s v="Male"/>
    <x v="2"/>
    <n v="37"/>
    <n v="1"/>
    <n v="1.85"/>
    <n v="38.85"/>
    <d v="2019-03-06T00:00:00"/>
    <d v="1899-12-30T13:29:00"/>
    <x v="2"/>
    <n v="37"/>
    <n v="4.7619047620000003"/>
    <n v="1.85"/>
    <n v="7.9"/>
    <x v="1"/>
    <n v="3"/>
    <s v="Standard"/>
    <s v="Standard Order"/>
    <m/>
    <s v=""/>
    <m/>
    <m/>
    <s v=""/>
  </r>
  <r>
    <x v="282"/>
    <x v="0"/>
    <x v="0"/>
    <s v="Normal"/>
    <s v="Female"/>
    <x v="3"/>
    <n v="15.34"/>
    <n v="1"/>
    <n v="0.76700000000000002"/>
    <n v="16.106999999999999"/>
    <d v="2019-01-06T00:00:00"/>
    <d v="1899-12-30T11:09:00"/>
    <x v="1"/>
    <n v="15.34"/>
    <n v="4.7619047620000003"/>
    <n v="0.76700000000000002"/>
    <n v="6.5"/>
    <x v="0"/>
    <n v="1"/>
    <s v="Standard"/>
    <s v="Standard Order"/>
    <m/>
    <s v=""/>
    <m/>
    <m/>
    <s v=""/>
  </r>
  <r>
    <x v="283"/>
    <x v="0"/>
    <x v="0"/>
    <s v="Member"/>
    <s v="Male"/>
    <x v="0"/>
    <n v="99.83"/>
    <n v="6"/>
    <n v="29.949000000000002"/>
    <n v="628.92899999999997"/>
    <d v="2019-03-04T00:00:00"/>
    <d v="1899-12-30T15:02:00"/>
    <x v="0"/>
    <n v="598.98"/>
    <n v="4.7619047620000003"/>
    <n v="29.949000000000002"/>
    <n v="8.5"/>
    <x v="1"/>
    <n v="3"/>
    <s v="High Value"/>
    <s v="High Value Order"/>
    <m/>
    <s v=""/>
    <m/>
    <m/>
    <s v=""/>
  </r>
  <r>
    <x v="284"/>
    <x v="0"/>
    <x v="0"/>
    <s v="Member"/>
    <s v="Female"/>
    <x v="0"/>
    <n v="47.67"/>
    <n v="4"/>
    <n v="9.5340000000000007"/>
    <n v="200.214"/>
    <d v="2019-03-12T00:00:00"/>
    <d v="1899-12-30T14:21:00"/>
    <x v="1"/>
    <n v="190.68"/>
    <n v="4.7619047620000003"/>
    <n v="9.5340000000000007"/>
    <n v="9.1"/>
    <x v="1"/>
    <n v="3"/>
    <s v="Standard"/>
    <s v="Standard Order"/>
    <m/>
    <s v=""/>
    <m/>
    <m/>
    <s v=""/>
  </r>
  <r>
    <x v="285"/>
    <x v="2"/>
    <x v="2"/>
    <s v="Normal"/>
    <s v="Male"/>
    <x v="0"/>
    <n v="66.680000000000007"/>
    <n v="5"/>
    <n v="16.670000000000002"/>
    <n v="350.07"/>
    <d v="2019-02-20T00:00:00"/>
    <d v="1899-12-30T18:01:00"/>
    <x v="1"/>
    <n v="333.4"/>
    <n v="4.7619047620000003"/>
    <n v="16.670000000000002"/>
    <n v="7.6"/>
    <x v="2"/>
    <n v="2"/>
    <s v="Standard"/>
    <s v="Standard Order"/>
    <m/>
    <s v=""/>
    <m/>
    <m/>
    <s v=""/>
  </r>
  <r>
    <x v="286"/>
    <x v="1"/>
    <x v="1"/>
    <s v="Member"/>
    <s v="Male"/>
    <x v="2"/>
    <n v="74.86"/>
    <n v="1"/>
    <n v="3.7429999999999999"/>
    <n v="78.602999999999994"/>
    <d v="2019-03-24T00:00:00"/>
    <d v="1899-12-30T14:49:00"/>
    <x v="1"/>
    <n v="74.86"/>
    <n v="4.7619047620000003"/>
    <n v="3.7429999999999999"/>
    <n v="6.9"/>
    <x v="1"/>
    <n v="3"/>
    <s v="Standard"/>
    <s v="Standard Order"/>
    <m/>
    <s v=""/>
    <m/>
    <m/>
    <s v=""/>
  </r>
  <r>
    <x v="287"/>
    <x v="1"/>
    <x v="1"/>
    <s v="Normal"/>
    <s v="Female"/>
    <x v="3"/>
    <n v="23.75"/>
    <n v="9"/>
    <n v="10.6875"/>
    <n v="224.4375"/>
    <d v="2019-01-31T00:00:00"/>
    <d v="1899-12-30T12:02:00"/>
    <x v="1"/>
    <n v="213.75"/>
    <n v="4.7619047620000003"/>
    <n v="10.6875"/>
    <n v="9.5"/>
    <x v="0"/>
    <n v="1"/>
    <s v="Standard"/>
    <s v="Standard Order"/>
    <m/>
    <s v=""/>
    <m/>
    <m/>
    <s v=""/>
  </r>
  <r>
    <x v="288"/>
    <x v="2"/>
    <x v="2"/>
    <s v="Normal"/>
    <s v="Female"/>
    <x v="4"/>
    <n v="48.51"/>
    <n v="7"/>
    <n v="16.9785"/>
    <n v="356.54849999999999"/>
    <d v="2019-01-25T00:00:00"/>
    <d v="1899-12-30T13:30:00"/>
    <x v="2"/>
    <n v="339.57"/>
    <n v="4.7619047620000003"/>
    <n v="16.9785"/>
    <n v="5.2"/>
    <x v="0"/>
    <n v="1"/>
    <s v="Standard"/>
    <s v="Standard Order"/>
    <m/>
    <s v=""/>
    <m/>
    <m/>
    <s v=""/>
  </r>
  <r>
    <x v="289"/>
    <x v="0"/>
    <x v="0"/>
    <s v="Member"/>
    <s v="Female"/>
    <x v="2"/>
    <n v="94.88"/>
    <n v="7"/>
    <n v="33.207999999999998"/>
    <n v="697.36800000000005"/>
    <d v="2019-02-03T00:00:00"/>
    <d v="1899-12-30T14:38:00"/>
    <x v="1"/>
    <n v="664.16"/>
    <n v="4.7619047620000003"/>
    <n v="33.207999999999998"/>
    <n v="4.2"/>
    <x v="2"/>
    <n v="2"/>
    <s v="High Value"/>
    <s v="High Value Order"/>
    <m/>
    <s v=""/>
    <m/>
    <m/>
    <s v=""/>
  </r>
  <r>
    <x v="290"/>
    <x v="2"/>
    <x v="2"/>
    <s v="Member"/>
    <s v="Male"/>
    <x v="1"/>
    <n v="40.299999999999997"/>
    <n v="10"/>
    <n v="20.149999999999999"/>
    <n v="423.15"/>
    <d v="2019-01-24T00:00:00"/>
    <d v="1899-12-30T17:37:00"/>
    <x v="2"/>
    <n v="403"/>
    <n v="4.7619047620000003"/>
    <n v="20.149999999999999"/>
    <n v="7"/>
    <x v="0"/>
    <n v="1"/>
    <s v="Standard"/>
    <s v="Standard Order"/>
    <m/>
    <s v=""/>
    <m/>
    <m/>
    <s v=""/>
  </r>
  <r>
    <x v="291"/>
    <x v="1"/>
    <x v="1"/>
    <s v="Normal"/>
    <s v="Male"/>
    <x v="1"/>
    <n v="27.85"/>
    <n v="7"/>
    <n v="9.7475000000000005"/>
    <n v="204.69749999999999"/>
    <d v="2019-03-14T00:00:00"/>
    <d v="1899-12-30T17:20:00"/>
    <x v="0"/>
    <n v="194.95"/>
    <n v="4.7619047620000003"/>
    <n v="9.7475000000000005"/>
    <n v="6"/>
    <x v="1"/>
    <n v="3"/>
    <s v="Standard"/>
    <s v="Standard Order"/>
    <m/>
    <s v=""/>
    <m/>
    <m/>
    <s v=""/>
  </r>
  <r>
    <x v="292"/>
    <x v="0"/>
    <x v="0"/>
    <s v="Member"/>
    <s v="Female"/>
    <x v="1"/>
    <n v="62.48"/>
    <n v="1"/>
    <n v="3.1240000000000001"/>
    <n v="65.603999999999999"/>
    <d v="2019-02-18T00:00:00"/>
    <d v="1899-12-30T20:29:00"/>
    <x v="1"/>
    <n v="62.48"/>
    <n v="4.7619047620000003"/>
    <n v="3.1240000000000001"/>
    <n v="4.7"/>
    <x v="2"/>
    <n v="2"/>
    <s v="Standard"/>
    <s v="Standard Order"/>
    <m/>
    <s v=""/>
    <m/>
    <m/>
    <s v=""/>
  </r>
  <r>
    <x v="293"/>
    <x v="0"/>
    <x v="0"/>
    <s v="Member"/>
    <s v="Female"/>
    <x v="4"/>
    <n v="36.36"/>
    <n v="2"/>
    <n v="3.6360000000000001"/>
    <n v="76.355999999999995"/>
    <d v="2019-01-21T00:00:00"/>
    <d v="1899-12-30T10:00:00"/>
    <x v="1"/>
    <n v="72.72"/>
    <n v="4.7619047620000003"/>
    <n v="3.6360000000000001"/>
    <n v="7.1"/>
    <x v="0"/>
    <n v="1"/>
    <s v="Standard"/>
    <s v="Standard Order"/>
    <m/>
    <s v=""/>
    <m/>
    <m/>
    <s v=""/>
  </r>
  <r>
    <x v="294"/>
    <x v="2"/>
    <x v="2"/>
    <s v="Normal"/>
    <s v="Male"/>
    <x v="0"/>
    <n v="18.11"/>
    <n v="10"/>
    <n v="9.0549999999999997"/>
    <n v="190.155"/>
    <d v="2019-03-13T00:00:00"/>
    <d v="1899-12-30T11:46:00"/>
    <x v="0"/>
    <n v="181.1"/>
    <n v="4.7619047620000003"/>
    <n v="9.0549999999999997"/>
    <n v="5.9"/>
    <x v="1"/>
    <n v="3"/>
    <s v="Standard"/>
    <s v="Standard Order"/>
    <m/>
    <s v=""/>
    <m/>
    <m/>
    <s v=""/>
  </r>
  <r>
    <x v="295"/>
    <x v="1"/>
    <x v="1"/>
    <s v="Member"/>
    <s v="Female"/>
    <x v="1"/>
    <n v="51.92"/>
    <n v="5"/>
    <n v="12.98"/>
    <n v="272.58"/>
    <d v="2019-03-03T00:00:00"/>
    <d v="1899-12-30T13:42:00"/>
    <x v="1"/>
    <n v="259.60000000000002"/>
    <n v="4.7619047620000003"/>
    <n v="12.98"/>
    <n v="7.5"/>
    <x v="1"/>
    <n v="3"/>
    <s v="Standard"/>
    <s v="Standard Order"/>
    <m/>
    <s v=""/>
    <m/>
    <m/>
    <s v=""/>
  </r>
  <r>
    <x v="296"/>
    <x v="1"/>
    <x v="1"/>
    <s v="Normal"/>
    <s v="Male"/>
    <x v="1"/>
    <n v="28.84"/>
    <n v="4"/>
    <n v="5.7679999999999998"/>
    <n v="121.128"/>
    <d v="2019-03-29T00:00:00"/>
    <d v="1899-12-30T14:44:00"/>
    <x v="1"/>
    <n v="115.36"/>
    <n v="4.7619047620000003"/>
    <n v="5.7679999999999998"/>
    <n v="6.4"/>
    <x v="1"/>
    <n v="3"/>
    <s v="Standard"/>
    <s v="Standard Order"/>
    <m/>
    <s v=""/>
    <m/>
    <m/>
    <s v=""/>
  </r>
  <r>
    <x v="297"/>
    <x v="0"/>
    <x v="0"/>
    <s v="Member"/>
    <s v="Male"/>
    <x v="2"/>
    <n v="78.38"/>
    <n v="6"/>
    <n v="23.513999999999999"/>
    <n v="493.79399999999998"/>
    <d v="2019-01-10T00:00:00"/>
    <d v="1899-12-30T14:16:00"/>
    <x v="0"/>
    <n v="470.28"/>
    <n v="4.7619047620000003"/>
    <n v="23.513999999999999"/>
    <n v="5.8"/>
    <x v="0"/>
    <n v="1"/>
    <s v="Standard"/>
    <s v="Standard Order"/>
    <m/>
    <s v=""/>
    <m/>
    <m/>
    <s v=""/>
  </r>
  <r>
    <x v="298"/>
    <x v="0"/>
    <x v="0"/>
    <s v="Member"/>
    <s v="Male"/>
    <x v="2"/>
    <n v="60.01"/>
    <n v="4"/>
    <n v="12.002000000000001"/>
    <n v="252.042"/>
    <d v="2019-01-25T00:00:00"/>
    <d v="1899-12-30T15:54:00"/>
    <x v="1"/>
    <n v="240.04"/>
    <n v="4.7619047620000003"/>
    <n v="12.002000000000001"/>
    <n v="4.5"/>
    <x v="0"/>
    <n v="1"/>
    <s v="Standard"/>
    <s v="Standard Order"/>
    <m/>
    <s v=""/>
    <m/>
    <m/>
    <s v=""/>
  </r>
  <r>
    <x v="299"/>
    <x v="1"/>
    <x v="1"/>
    <s v="Member"/>
    <s v="Female"/>
    <x v="2"/>
    <n v="88.61"/>
    <n v="1"/>
    <n v="4.4305000000000003"/>
    <n v="93.040499999999994"/>
    <d v="2019-01-19T00:00:00"/>
    <d v="1899-12-30T10:21:00"/>
    <x v="1"/>
    <n v="88.61"/>
    <n v="4.7619047620000003"/>
    <n v="4.4305000000000003"/>
    <n v="7.7"/>
    <x v="0"/>
    <n v="1"/>
    <s v="Standard"/>
    <s v="Standard Order"/>
    <m/>
    <s v=""/>
    <m/>
    <m/>
    <s v=""/>
  </r>
  <r>
    <x v="300"/>
    <x v="1"/>
    <x v="1"/>
    <s v="Normal"/>
    <s v="Male"/>
    <x v="5"/>
    <n v="99.82"/>
    <n v="2"/>
    <n v="9.9819999999999993"/>
    <n v="209.62200000000001"/>
    <d v="2019-01-02T00:00:00"/>
    <d v="1899-12-30T18:09:00"/>
    <x v="2"/>
    <n v="199.64"/>
    <n v="4.7619047620000003"/>
    <n v="9.9819999999999993"/>
    <n v="6.7"/>
    <x v="0"/>
    <n v="1"/>
    <s v="Standard"/>
    <s v="Standard Order"/>
    <m/>
    <s v=""/>
    <m/>
    <m/>
    <s v=""/>
  </r>
  <r>
    <x v="301"/>
    <x v="2"/>
    <x v="2"/>
    <s v="Member"/>
    <s v="Male"/>
    <x v="0"/>
    <n v="39.01"/>
    <n v="1"/>
    <n v="1.9504999999999999"/>
    <n v="40.960500000000003"/>
    <d v="2019-03-12T00:00:00"/>
    <d v="1899-12-30T16:46:00"/>
    <x v="2"/>
    <n v="39.01"/>
    <n v="4.7619047620000003"/>
    <n v="1.9504999999999999"/>
    <n v="4.7"/>
    <x v="1"/>
    <n v="3"/>
    <s v="Standard"/>
    <s v="Standard Order"/>
    <m/>
    <s v=""/>
    <m/>
    <m/>
    <s v=""/>
  </r>
  <r>
    <x v="302"/>
    <x v="1"/>
    <x v="1"/>
    <s v="Normal"/>
    <s v="Male"/>
    <x v="4"/>
    <n v="48.61"/>
    <n v="1"/>
    <n v="2.4304999999999999"/>
    <n v="51.040500000000002"/>
    <d v="2019-02-25T00:00:00"/>
    <d v="1899-12-30T15:31:00"/>
    <x v="1"/>
    <n v="48.61"/>
    <n v="4.7619047620000003"/>
    <n v="2.4304999999999999"/>
    <n v="4.4000000000000004"/>
    <x v="2"/>
    <n v="2"/>
    <s v="Standard"/>
    <s v="Standard Order"/>
    <m/>
    <s v=""/>
    <m/>
    <m/>
    <s v=""/>
  </r>
  <r>
    <x v="303"/>
    <x v="0"/>
    <x v="0"/>
    <s v="Normal"/>
    <s v="Female"/>
    <x v="1"/>
    <n v="51.19"/>
    <n v="4"/>
    <n v="10.238"/>
    <n v="214.99799999999999"/>
    <d v="2019-03-18T00:00:00"/>
    <d v="1899-12-30T17:15:00"/>
    <x v="2"/>
    <n v="204.76"/>
    <n v="4.7619047620000003"/>
    <n v="10.238"/>
    <n v="4.7"/>
    <x v="1"/>
    <n v="3"/>
    <s v="Standard"/>
    <s v="Standard Order"/>
    <m/>
    <s v=""/>
    <m/>
    <m/>
    <s v=""/>
  </r>
  <r>
    <x v="304"/>
    <x v="2"/>
    <x v="2"/>
    <s v="Normal"/>
    <s v="Female"/>
    <x v="1"/>
    <n v="14.96"/>
    <n v="8"/>
    <n v="5.984"/>
    <n v="125.664"/>
    <d v="2019-02-23T00:00:00"/>
    <d v="1899-12-30T12:29:00"/>
    <x v="1"/>
    <n v="119.68"/>
    <n v="4.7619047620000003"/>
    <n v="5.984"/>
    <n v="8.6"/>
    <x v="2"/>
    <n v="2"/>
    <s v="Standard"/>
    <s v="Standard Order"/>
    <m/>
    <s v=""/>
    <m/>
    <m/>
    <s v=""/>
  </r>
  <r>
    <x v="305"/>
    <x v="0"/>
    <x v="0"/>
    <s v="Member"/>
    <s v="Male"/>
    <x v="1"/>
    <n v="72.2"/>
    <n v="7"/>
    <n v="25.27"/>
    <n v="530.66999999999996"/>
    <d v="2019-03-26T00:00:00"/>
    <d v="1899-12-30T20:14:00"/>
    <x v="0"/>
    <n v="505.4"/>
    <n v="4.7619047620000003"/>
    <n v="25.27"/>
    <n v="4.3"/>
    <x v="1"/>
    <n v="3"/>
    <s v="High Value"/>
    <s v="High Value Order"/>
    <m/>
    <s v=""/>
    <m/>
    <m/>
    <s v=""/>
  </r>
  <r>
    <x v="306"/>
    <x v="0"/>
    <x v="0"/>
    <s v="Normal"/>
    <s v="Female"/>
    <x v="3"/>
    <n v="40.229999999999997"/>
    <n v="7"/>
    <n v="14.080500000000001"/>
    <n v="295.69049999999999"/>
    <d v="2019-03-30T00:00:00"/>
    <d v="1899-12-30T13:22:00"/>
    <x v="1"/>
    <n v="281.61"/>
    <n v="4.7619047620000003"/>
    <n v="14.080500000000001"/>
    <n v="9.6"/>
    <x v="1"/>
    <n v="3"/>
    <s v="Standard"/>
    <s v="Standard Order"/>
    <m/>
    <s v=""/>
    <m/>
    <m/>
    <s v=""/>
  </r>
  <r>
    <x v="307"/>
    <x v="0"/>
    <x v="0"/>
    <s v="Member"/>
    <s v="Female"/>
    <x v="2"/>
    <n v="88.79"/>
    <n v="8"/>
    <n v="35.515999999999998"/>
    <n v="745.83600000000001"/>
    <d v="2019-02-17T00:00:00"/>
    <d v="1899-12-30T17:09:00"/>
    <x v="1"/>
    <n v="710.32"/>
    <n v="4.7619047620000003"/>
    <n v="35.515999999999998"/>
    <n v="4.0999999999999996"/>
    <x v="2"/>
    <n v="2"/>
    <s v="High Value"/>
    <s v="High Value Order"/>
    <m/>
    <s v=""/>
    <m/>
    <m/>
    <s v=""/>
  </r>
  <r>
    <x v="308"/>
    <x v="0"/>
    <x v="0"/>
    <s v="Member"/>
    <s v="Female"/>
    <x v="1"/>
    <n v="26.48"/>
    <n v="3"/>
    <n v="3.972"/>
    <n v="83.412000000000006"/>
    <d v="2019-03-21T00:00:00"/>
    <d v="1899-12-30T10:40:00"/>
    <x v="0"/>
    <n v="79.44"/>
    <n v="4.7619047620000003"/>
    <n v="3.972"/>
    <n v="4.7"/>
    <x v="1"/>
    <n v="3"/>
    <s v="Standard"/>
    <s v="Standard Order"/>
    <m/>
    <s v=""/>
    <m/>
    <m/>
    <s v=""/>
  </r>
  <r>
    <x v="309"/>
    <x v="0"/>
    <x v="0"/>
    <s v="Normal"/>
    <s v="Female"/>
    <x v="5"/>
    <n v="81.91"/>
    <n v="2"/>
    <n v="8.1910000000000007"/>
    <n v="172.011"/>
    <d v="2019-03-05T00:00:00"/>
    <d v="1899-12-30T17:43:00"/>
    <x v="1"/>
    <n v="163.82"/>
    <n v="4.7619047620000003"/>
    <n v="8.1910000000000007"/>
    <n v="7.8"/>
    <x v="1"/>
    <n v="3"/>
    <s v="Standard"/>
    <s v="Standard Order"/>
    <m/>
    <s v=""/>
    <m/>
    <m/>
    <s v=""/>
  </r>
  <r>
    <x v="310"/>
    <x v="2"/>
    <x v="2"/>
    <s v="Member"/>
    <s v="Male"/>
    <x v="3"/>
    <n v="79.930000000000007"/>
    <n v="6"/>
    <n v="23.978999999999999"/>
    <n v="503.55900000000003"/>
    <d v="2019-01-31T00:00:00"/>
    <d v="1899-12-30T14:04:00"/>
    <x v="1"/>
    <n v="479.58"/>
    <n v="4.7619047620000003"/>
    <n v="23.978999999999999"/>
    <n v="5.5"/>
    <x v="0"/>
    <n v="1"/>
    <s v="High Value"/>
    <s v="High Value Order"/>
    <m/>
    <s v=""/>
    <m/>
    <m/>
    <s v=""/>
  </r>
  <r>
    <x v="311"/>
    <x v="1"/>
    <x v="1"/>
    <s v="Member"/>
    <s v="Male"/>
    <x v="5"/>
    <n v="69.33"/>
    <n v="2"/>
    <n v="6.9329999999999998"/>
    <n v="145.59299999999999"/>
    <d v="2019-02-05T00:00:00"/>
    <d v="1899-12-30T19:05:00"/>
    <x v="0"/>
    <n v="138.66"/>
    <n v="4.7619047620000003"/>
    <n v="6.9329999999999998"/>
    <n v="9.6999999999999993"/>
    <x v="2"/>
    <n v="2"/>
    <s v="Standard"/>
    <s v="Standard Order"/>
    <m/>
    <s v=""/>
    <m/>
    <m/>
    <s v=""/>
  </r>
  <r>
    <x v="312"/>
    <x v="0"/>
    <x v="0"/>
    <s v="Member"/>
    <s v="Female"/>
    <x v="4"/>
    <n v="14.23"/>
    <n v="5"/>
    <n v="3.5575000000000001"/>
    <n v="74.707499999999996"/>
    <d v="2019-02-01T00:00:00"/>
    <d v="1899-12-30T10:08:00"/>
    <x v="2"/>
    <n v="71.150000000000006"/>
    <n v="4.7619047620000003"/>
    <n v="3.5575000000000001"/>
    <n v="4.4000000000000004"/>
    <x v="2"/>
    <n v="2"/>
    <s v="Standard"/>
    <s v="Standard Order"/>
    <m/>
    <s v=""/>
    <m/>
    <m/>
    <s v=""/>
  </r>
  <r>
    <x v="313"/>
    <x v="0"/>
    <x v="0"/>
    <s v="Member"/>
    <s v="Female"/>
    <x v="0"/>
    <n v="15.55"/>
    <n v="9"/>
    <n v="6.9974999999999996"/>
    <n v="146.94749999999999"/>
    <d v="2019-03-07T00:00:00"/>
    <d v="1899-12-30T13:12:00"/>
    <x v="1"/>
    <n v="139.94999999999999"/>
    <n v="4.7619047620000003"/>
    <n v="6.9974999999999996"/>
    <n v="5"/>
    <x v="1"/>
    <n v="3"/>
    <s v="Standard"/>
    <s v="Standard Order"/>
    <m/>
    <s v=""/>
    <m/>
    <m/>
    <s v=""/>
  </r>
  <r>
    <x v="314"/>
    <x v="1"/>
    <x v="1"/>
    <s v="Member"/>
    <s v="Female"/>
    <x v="1"/>
    <n v="78.13"/>
    <n v="10"/>
    <n v="39.064999999999998"/>
    <n v="820.36500000000001"/>
    <d v="2019-02-10T00:00:00"/>
    <d v="1899-12-30T20:51:00"/>
    <x v="1"/>
    <n v="781.3"/>
    <n v="4.7619047620000003"/>
    <n v="39.064999999999998"/>
    <n v="4.4000000000000004"/>
    <x v="2"/>
    <n v="2"/>
    <s v="High Value"/>
    <s v="High Value Order"/>
    <m/>
    <s v=""/>
    <m/>
    <m/>
    <s v=""/>
  </r>
  <r>
    <x v="315"/>
    <x v="1"/>
    <x v="1"/>
    <s v="Member"/>
    <s v="Male"/>
    <x v="4"/>
    <n v="99.37"/>
    <n v="2"/>
    <n v="9.9369999999999994"/>
    <n v="208.67699999999999"/>
    <d v="2019-02-14T00:00:00"/>
    <d v="1899-12-30T17:29:00"/>
    <x v="1"/>
    <n v="198.74"/>
    <n v="4.7619047620000003"/>
    <n v="9.9369999999999994"/>
    <n v="5.2"/>
    <x v="2"/>
    <n v="2"/>
    <s v="Standard"/>
    <s v="Standard Order"/>
    <m/>
    <s v=""/>
    <m/>
    <m/>
    <s v=""/>
  </r>
  <r>
    <x v="316"/>
    <x v="1"/>
    <x v="1"/>
    <s v="Member"/>
    <s v="Female"/>
    <x v="4"/>
    <n v="21.08"/>
    <n v="3"/>
    <n v="3.1619999999999999"/>
    <n v="66.402000000000001"/>
    <d v="2019-02-09T00:00:00"/>
    <d v="1899-12-30T10:25:00"/>
    <x v="1"/>
    <n v="63.24"/>
    <n v="4.7619047620000003"/>
    <n v="3.1619999999999999"/>
    <n v="7.3"/>
    <x v="2"/>
    <n v="2"/>
    <s v="Standard"/>
    <s v="Standard Order"/>
    <m/>
    <s v=""/>
    <m/>
    <m/>
    <s v=""/>
  </r>
  <r>
    <x v="317"/>
    <x v="1"/>
    <x v="1"/>
    <s v="Member"/>
    <s v="Male"/>
    <x v="1"/>
    <n v="74.790000000000006"/>
    <n v="5"/>
    <n v="18.697500000000002"/>
    <n v="392.64749999999998"/>
    <d v="2019-01-10T00:00:00"/>
    <d v="1899-12-30T11:34:00"/>
    <x v="1"/>
    <n v="373.95"/>
    <n v="4.7619047620000003"/>
    <n v="18.697500000000002"/>
    <n v="4.9000000000000004"/>
    <x v="0"/>
    <n v="1"/>
    <s v="Standard"/>
    <s v="Standard Order"/>
    <m/>
    <s v=""/>
    <m/>
    <m/>
    <s v=""/>
  </r>
  <r>
    <x v="318"/>
    <x v="1"/>
    <x v="1"/>
    <s v="Member"/>
    <s v="Female"/>
    <x v="0"/>
    <n v="29.67"/>
    <n v="7"/>
    <n v="10.384499999999999"/>
    <n v="218.0745"/>
    <d v="2019-03-11T00:00:00"/>
    <d v="1899-12-30T18:58:00"/>
    <x v="2"/>
    <n v="207.69"/>
    <n v="4.7619047620000003"/>
    <n v="10.384499999999999"/>
    <n v="8.1"/>
    <x v="1"/>
    <n v="3"/>
    <s v="Standard"/>
    <s v="Standard Order"/>
    <m/>
    <s v=""/>
    <m/>
    <m/>
    <s v=""/>
  </r>
  <r>
    <x v="319"/>
    <x v="1"/>
    <x v="1"/>
    <s v="Member"/>
    <s v="Male"/>
    <x v="0"/>
    <n v="44.07"/>
    <n v="4"/>
    <n v="8.8140000000000001"/>
    <n v="185.09399999999999"/>
    <d v="2019-02-18T00:00:00"/>
    <d v="1899-12-30T16:28:00"/>
    <x v="0"/>
    <n v="176.28"/>
    <n v="4.7619047620000003"/>
    <n v="8.8140000000000001"/>
    <n v="8.4"/>
    <x v="2"/>
    <n v="2"/>
    <s v="Standard"/>
    <s v="Standard Order"/>
    <m/>
    <s v=""/>
    <m/>
    <m/>
    <s v=""/>
  </r>
  <r>
    <x v="320"/>
    <x v="1"/>
    <x v="1"/>
    <s v="Normal"/>
    <s v="Female"/>
    <x v="4"/>
    <n v="22.93"/>
    <n v="9"/>
    <n v="10.3185"/>
    <n v="216.6885"/>
    <d v="2019-02-26T00:00:00"/>
    <d v="1899-12-30T20:26:00"/>
    <x v="1"/>
    <n v="206.37"/>
    <n v="4.7619047620000003"/>
    <n v="10.3185"/>
    <n v="5.5"/>
    <x v="2"/>
    <n v="2"/>
    <s v="Standard"/>
    <s v="Standard Order"/>
    <m/>
    <s v=""/>
    <m/>
    <m/>
    <s v=""/>
  </r>
  <r>
    <x v="321"/>
    <x v="1"/>
    <x v="1"/>
    <s v="Normal"/>
    <s v="Female"/>
    <x v="0"/>
    <n v="39.42"/>
    <n v="1"/>
    <n v="1.9710000000000001"/>
    <n v="41.390999999999998"/>
    <d v="2019-01-18T00:00:00"/>
    <d v="1899-12-30T15:08:00"/>
    <x v="1"/>
    <n v="39.42"/>
    <n v="4.7619047620000003"/>
    <n v="1.9710000000000001"/>
    <n v="8.4"/>
    <x v="0"/>
    <n v="1"/>
    <s v="Standard"/>
    <s v="Standard Order"/>
    <m/>
    <s v=""/>
    <m/>
    <m/>
    <s v=""/>
  </r>
  <r>
    <x v="322"/>
    <x v="0"/>
    <x v="0"/>
    <s v="Normal"/>
    <s v="Male"/>
    <x v="0"/>
    <n v="15.26"/>
    <n v="6"/>
    <n v="4.5780000000000003"/>
    <n v="96.138000000000005"/>
    <d v="2019-02-15T00:00:00"/>
    <d v="1899-12-30T18:03:00"/>
    <x v="0"/>
    <n v="91.56"/>
    <n v="4.7619047620000003"/>
    <n v="4.5780000000000003"/>
    <n v="9.8000000000000007"/>
    <x v="2"/>
    <n v="2"/>
    <s v="Standard"/>
    <s v="Standard Order"/>
    <m/>
    <s v=""/>
    <m/>
    <m/>
    <s v=""/>
  </r>
  <r>
    <x v="323"/>
    <x v="0"/>
    <x v="0"/>
    <s v="Normal"/>
    <s v="Female"/>
    <x v="5"/>
    <n v="61.77"/>
    <n v="5"/>
    <n v="15.442500000000001"/>
    <n v="324.29250000000002"/>
    <d v="2019-03-08T00:00:00"/>
    <d v="1899-12-30T13:21:00"/>
    <x v="1"/>
    <n v="308.85000000000002"/>
    <n v="4.7619047620000003"/>
    <n v="15.442500000000001"/>
    <n v="6.7"/>
    <x v="1"/>
    <n v="3"/>
    <s v="Standard"/>
    <s v="Standard Order"/>
    <m/>
    <s v=""/>
    <m/>
    <m/>
    <s v=""/>
  </r>
  <r>
    <x v="324"/>
    <x v="0"/>
    <x v="0"/>
    <s v="Normal"/>
    <s v="Male"/>
    <x v="2"/>
    <n v="21.52"/>
    <n v="6"/>
    <n v="6.4560000000000004"/>
    <n v="135.57599999999999"/>
    <d v="2019-01-17T00:00:00"/>
    <d v="1899-12-30T12:48:00"/>
    <x v="2"/>
    <n v="129.12"/>
    <n v="4.7619047620000003"/>
    <n v="6.4560000000000004"/>
    <n v="9.4"/>
    <x v="0"/>
    <n v="1"/>
    <s v="Standard"/>
    <s v="Standard Order"/>
    <m/>
    <s v=""/>
    <m/>
    <m/>
    <s v=""/>
  </r>
  <r>
    <x v="325"/>
    <x v="2"/>
    <x v="2"/>
    <s v="Normal"/>
    <s v="Male"/>
    <x v="3"/>
    <n v="97.74"/>
    <n v="4"/>
    <n v="19.547999999999998"/>
    <n v="410.50799999999998"/>
    <d v="2019-03-12T00:00:00"/>
    <d v="1899-12-30T19:53:00"/>
    <x v="0"/>
    <n v="390.96"/>
    <n v="4.7619047620000003"/>
    <n v="19.547999999999998"/>
    <n v="6.4"/>
    <x v="1"/>
    <n v="3"/>
    <s v="Standard"/>
    <s v="Standard Order"/>
    <m/>
    <s v=""/>
    <m/>
    <m/>
    <s v=""/>
  </r>
  <r>
    <x v="326"/>
    <x v="0"/>
    <x v="0"/>
    <s v="Member"/>
    <s v="Male"/>
    <x v="4"/>
    <n v="99.78"/>
    <n v="5"/>
    <n v="24.945"/>
    <n v="523.84500000000003"/>
    <d v="2019-03-09T00:00:00"/>
    <d v="1899-12-30T19:09:00"/>
    <x v="1"/>
    <n v="498.9"/>
    <n v="4.7619047620000003"/>
    <n v="24.945"/>
    <n v="5.4"/>
    <x v="1"/>
    <n v="3"/>
    <s v="High Value"/>
    <s v="High Value Order"/>
    <m/>
    <s v=""/>
    <m/>
    <m/>
    <s v=""/>
  </r>
  <r>
    <x v="327"/>
    <x v="1"/>
    <x v="1"/>
    <s v="Member"/>
    <s v="Male"/>
    <x v="4"/>
    <n v="94.26"/>
    <n v="4"/>
    <n v="18.852"/>
    <n v="395.892"/>
    <d v="2019-03-12T00:00:00"/>
    <d v="1899-12-30T16:30:00"/>
    <x v="1"/>
    <n v="377.04"/>
    <n v="4.7619047620000003"/>
    <n v="18.852"/>
    <n v="8.6"/>
    <x v="1"/>
    <n v="3"/>
    <s v="Standard"/>
    <s v="Standard Order"/>
    <m/>
    <s v=""/>
    <m/>
    <m/>
    <s v=""/>
  </r>
  <r>
    <x v="328"/>
    <x v="2"/>
    <x v="2"/>
    <s v="Member"/>
    <s v="Male"/>
    <x v="0"/>
    <n v="51.13"/>
    <n v="4"/>
    <n v="10.226000000000001"/>
    <n v="214.74600000000001"/>
    <d v="2019-01-25T00:00:00"/>
    <d v="1899-12-30T10:11:00"/>
    <x v="2"/>
    <n v="204.52"/>
    <n v="4.7619047620000003"/>
    <n v="10.226000000000001"/>
    <n v="4"/>
    <x v="0"/>
    <n v="1"/>
    <s v="Standard"/>
    <s v="Standard Order"/>
    <m/>
    <s v=""/>
    <m/>
    <m/>
    <s v=""/>
  </r>
  <r>
    <x v="329"/>
    <x v="0"/>
    <x v="0"/>
    <s v="Member"/>
    <s v="Male"/>
    <x v="1"/>
    <n v="36.36"/>
    <n v="4"/>
    <n v="7.2720000000000002"/>
    <n v="152.71199999999999"/>
    <d v="2019-03-25T00:00:00"/>
    <d v="1899-12-30T13:07:00"/>
    <x v="1"/>
    <n v="145.44"/>
    <n v="4.7619047620000003"/>
    <n v="7.2720000000000002"/>
    <n v="7.6"/>
    <x v="1"/>
    <n v="3"/>
    <s v="Standard"/>
    <s v="Standard Order"/>
    <m/>
    <s v=""/>
    <m/>
    <m/>
    <s v=""/>
  </r>
  <r>
    <x v="330"/>
    <x v="2"/>
    <x v="2"/>
    <s v="Normal"/>
    <s v="Male"/>
    <x v="2"/>
    <n v="22.02"/>
    <n v="9"/>
    <n v="9.9090000000000007"/>
    <n v="208.089"/>
    <d v="2019-02-07T00:00:00"/>
    <d v="1899-12-30T18:48:00"/>
    <x v="1"/>
    <n v="198.18"/>
    <n v="4.7619047620000003"/>
    <n v="9.9090000000000007"/>
    <n v="6.8"/>
    <x v="2"/>
    <n v="2"/>
    <s v="Standard"/>
    <s v="Standard Order"/>
    <m/>
    <s v=""/>
    <m/>
    <m/>
    <s v=""/>
  </r>
  <r>
    <x v="331"/>
    <x v="0"/>
    <x v="0"/>
    <s v="Normal"/>
    <s v="Male"/>
    <x v="4"/>
    <n v="32.9"/>
    <n v="3"/>
    <n v="4.9349999999999996"/>
    <n v="103.63500000000001"/>
    <d v="2019-02-17T00:00:00"/>
    <d v="1899-12-30T17:27:00"/>
    <x v="2"/>
    <n v="98.7"/>
    <n v="4.7619047620000003"/>
    <n v="4.9349999999999996"/>
    <n v="9.1"/>
    <x v="2"/>
    <n v="2"/>
    <s v="Standard"/>
    <s v="Standard Order"/>
    <m/>
    <s v=""/>
    <m/>
    <m/>
    <s v=""/>
  </r>
  <r>
    <x v="332"/>
    <x v="0"/>
    <x v="0"/>
    <s v="Normal"/>
    <s v="Male"/>
    <x v="5"/>
    <n v="77.02"/>
    <n v="5"/>
    <n v="19.254999999999999"/>
    <n v="404.35500000000002"/>
    <d v="2019-02-03T00:00:00"/>
    <d v="1899-12-30T15:59:00"/>
    <x v="1"/>
    <n v="385.1"/>
    <n v="4.7619047620000003"/>
    <n v="19.254999999999999"/>
    <n v="5.5"/>
    <x v="2"/>
    <n v="2"/>
    <s v="Standard"/>
    <s v="Standard Order"/>
    <m/>
    <s v=""/>
    <m/>
    <m/>
    <s v=""/>
  </r>
  <r>
    <x v="333"/>
    <x v="0"/>
    <x v="0"/>
    <s v="Member"/>
    <s v="Male"/>
    <x v="4"/>
    <n v="23.48"/>
    <n v="2"/>
    <n v="2.3479999999999999"/>
    <n v="49.308"/>
    <d v="2019-03-14T00:00:00"/>
    <d v="1899-12-30T11:21:00"/>
    <x v="2"/>
    <n v="46.96"/>
    <n v="4.7619047620000003"/>
    <n v="2.3479999999999999"/>
    <n v="7.9"/>
    <x v="1"/>
    <n v="3"/>
    <s v="Standard"/>
    <s v="Standard Order"/>
    <m/>
    <s v=""/>
    <m/>
    <m/>
    <s v=""/>
  </r>
  <r>
    <x v="334"/>
    <x v="1"/>
    <x v="1"/>
    <s v="Member"/>
    <s v="Male"/>
    <x v="3"/>
    <n v="14.7"/>
    <n v="5"/>
    <n v="3.6749999999999998"/>
    <n v="77.174999999999997"/>
    <d v="2019-03-24T00:00:00"/>
    <d v="1899-12-30T13:48:00"/>
    <x v="0"/>
    <n v="73.5"/>
    <n v="4.7619047620000003"/>
    <n v="3.6749999999999998"/>
    <n v="8.5"/>
    <x v="1"/>
    <n v="3"/>
    <s v="Standard"/>
    <s v="Standard Order"/>
    <m/>
    <s v=""/>
    <m/>
    <m/>
    <s v=""/>
  </r>
  <r>
    <x v="335"/>
    <x v="0"/>
    <x v="0"/>
    <s v="Member"/>
    <s v="Female"/>
    <x v="1"/>
    <n v="28.45"/>
    <n v="5"/>
    <n v="7.1124999999999998"/>
    <n v="149.36250000000001"/>
    <d v="2019-03-21T00:00:00"/>
    <d v="1899-12-30T10:17:00"/>
    <x v="2"/>
    <n v="142.25"/>
    <n v="4.7619047620000003"/>
    <n v="7.1124999999999998"/>
    <n v="9.1"/>
    <x v="1"/>
    <n v="3"/>
    <s v="Standard"/>
    <s v="Standard Order"/>
    <m/>
    <s v=""/>
    <m/>
    <m/>
    <s v=""/>
  </r>
  <r>
    <x v="336"/>
    <x v="0"/>
    <x v="0"/>
    <s v="Normal"/>
    <s v="Male"/>
    <x v="5"/>
    <n v="76.400000000000006"/>
    <n v="9"/>
    <n v="34.380000000000003"/>
    <n v="721.98"/>
    <d v="2019-03-19T00:00:00"/>
    <d v="1899-12-30T15:49:00"/>
    <x v="0"/>
    <n v="687.6"/>
    <n v="4.7619047620000003"/>
    <n v="34.380000000000003"/>
    <n v="7.5"/>
    <x v="1"/>
    <n v="3"/>
    <s v="High Value"/>
    <s v="High Value Order"/>
    <m/>
    <s v=""/>
    <m/>
    <m/>
    <s v=""/>
  </r>
  <r>
    <x v="337"/>
    <x v="2"/>
    <x v="2"/>
    <s v="Normal"/>
    <s v="Female"/>
    <x v="3"/>
    <n v="57.95"/>
    <n v="6"/>
    <n v="17.385000000000002"/>
    <n v="365.08499999999998"/>
    <d v="2019-02-24T00:00:00"/>
    <d v="1899-12-30T13:02:00"/>
    <x v="1"/>
    <n v="347.7"/>
    <n v="4.7619047620000003"/>
    <n v="17.385000000000002"/>
    <n v="5.2"/>
    <x v="2"/>
    <n v="2"/>
    <s v="Standard"/>
    <s v="Standard Order"/>
    <m/>
    <s v=""/>
    <m/>
    <m/>
    <s v=""/>
  </r>
  <r>
    <x v="338"/>
    <x v="1"/>
    <x v="1"/>
    <s v="Normal"/>
    <s v="Female"/>
    <x v="1"/>
    <n v="47.65"/>
    <n v="3"/>
    <n v="7.1475"/>
    <n v="150.0975"/>
    <d v="2019-03-28T00:00:00"/>
    <d v="1899-12-30T12:58:00"/>
    <x v="2"/>
    <n v="142.94999999999999"/>
    <n v="4.7619047620000003"/>
    <n v="7.1475"/>
    <n v="9.5"/>
    <x v="1"/>
    <n v="3"/>
    <s v="Standard"/>
    <s v="Standard Order"/>
    <m/>
    <s v=""/>
    <m/>
    <m/>
    <s v=""/>
  </r>
  <r>
    <x v="339"/>
    <x v="2"/>
    <x v="2"/>
    <s v="Member"/>
    <s v="Female"/>
    <x v="4"/>
    <n v="42.82"/>
    <n v="9"/>
    <n v="19.268999999999998"/>
    <n v="404.649"/>
    <d v="2019-02-05T00:00:00"/>
    <d v="1899-12-30T15:26:00"/>
    <x v="2"/>
    <n v="385.38"/>
    <n v="4.7619047620000003"/>
    <n v="19.268999999999998"/>
    <n v="8.9"/>
    <x v="2"/>
    <n v="2"/>
    <s v="Standard"/>
    <s v="Standard Order"/>
    <m/>
    <s v=""/>
    <m/>
    <m/>
    <s v=""/>
  </r>
  <r>
    <x v="340"/>
    <x v="2"/>
    <x v="2"/>
    <s v="Member"/>
    <s v="Male"/>
    <x v="1"/>
    <n v="48.09"/>
    <n v="3"/>
    <n v="7.2134999999999998"/>
    <n v="151.48349999999999"/>
    <d v="2019-02-10T00:00:00"/>
    <d v="1899-12-30T18:23:00"/>
    <x v="2"/>
    <n v="144.27000000000001"/>
    <n v="4.7619047620000003"/>
    <n v="7.2134999999999998"/>
    <n v="7.8"/>
    <x v="2"/>
    <n v="2"/>
    <s v="Standard"/>
    <s v="Standard Order"/>
    <m/>
    <s v=""/>
    <m/>
    <m/>
    <s v=""/>
  </r>
  <r>
    <x v="341"/>
    <x v="2"/>
    <x v="2"/>
    <s v="Member"/>
    <s v="Female"/>
    <x v="0"/>
    <n v="55.97"/>
    <n v="7"/>
    <n v="19.589500000000001"/>
    <n v="411.37950000000001"/>
    <d v="2019-03-05T00:00:00"/>
    <d v="1899-12-30T19:06:00"/>
    <x v="0"/>
    <n v="391.79"/>
    <n v="4.7619047620000003"/>
    <n v="19.589500000000001"/>
    <n v="8.9"/>
    <x v="1"/>
    <n v="3"/>
    <s v="Standard"/>
    <s v="Standard Order"/>
    <m/>
    <s v=""/>
    <m/>
    <m/>
    <s v=""/>
  </r>
  <r>
    <x v="342"/>
    <x v="2"/>
    <x v="2"/>
    <s v="Member"/>
    <s v="Female"/>
    <x v="0"/>
    <n v="76.900000000000006"/>
    <n v="7"/>
    <n v="26.914999999999999"/>
    <n v="565.21500000000003"/>
    <d v="2019-02-15T00:00:00"/>
    <d v="1899-12-30T20:21:00"/>
    <x v="1"/>
    <n v="538.29999999999995"/>
    <n v="4.7619047620000003"/>
    <n v="26.914999999999999"/>
    <n v="7.7"/>
    <x v="2"/>
    <n v="2"/>
    <s v="High Value"/>
    <s v="High Value Order"/>
    <m/>
    <s v=""/>
    <m/>
    <m/>
    <s v=""/>
  </r>
  <r>
    <x v="343"/>
    <x v="1"/>
    <x v="1"/>
    <s v="Normal"/>
    <s v="Female"/>
    <x v="4"/>
    <n v="97.03"/>
    <n v="5"/>
    <n v="24.2575"/>
    <n v="509.40750000000003"/>
    <d v="2019-01-30T00:00:00"/>
    <d v="1899-12-30T16:24:00"/>
    <x v="0"/>
    <n v="485.15"/>
    <n v="4.7619047620000003"/>
    <n v="24.2575"/>
    <n v="9.3000000000000007"/>
    <x v="0"/>
    <n v="1"/>
    <s v="High Value"/>
    <s v="High Value Order"/>
    <m/>
    <s v=""/>
    <m/>
    <m/>
    <s v=""/>
  </r>
  <r>
    <x v="344"/>
    <x v="0"/>
    <x v="0"/>
    <s v="Normal"/>
    <s v="Male"/>
    <x v="3"/>
    <n v="44.65"/>
    <n v="3"/>
    <n v="6.6974999999999998"/>
    <n v="140.64750000000001"/>
    <d v="2019-02-14T00:00:00"/>
    <d v="1899-12-30T15:04:00"/>
    <x v="1"/>
    <n v="133.94999999999999"/>
    <n v="4.7619047620000003"/>
    <n v="6.6974999999999998"/>
    <n v="6.2"/>
    <x v="2"/>
    <n v="2"/>
    <s v="Standard"/>
    <s v="Standard Order"/>
    <m/>
    <s v=""/>
    <m/>
    <m/>
    <s v=""/>
  </r>
  <r>
    <x v="345"/>
    <x v="0"/>
    <x v="0"/>
    <s v="Normal"/>
    <s v="Female"/>
    <x v="5"/>
    <n v="77.930000000000007"/>
    <n v="9"/>
    <n v="35.0685"/>
    <n v="736.43849999999998"/>
    <d v="2019-02-27T00:00:00"/>
    <d v="1899-12-30T16:10:00"/>
    <x v="0"/>
    <n v="701.37"/>
    <n v="4.7619047620000003"/>
    <n v="35.0685"/>
    <n v="7.6"/>
    <x v="2"/>
    <n v="2"/>
    <s v="High Value"/>
    <s v="High Value Order"/>
    <m/>
    <s v=""/>
    <m/>
    <m/>
    <s v=""/>
  </r>
  <r>
    <x v="346"/>
    <x v="0"/>
    <x v="0"/>
    <s v="Member"/>
    <s v="Male"/>
    <x v="1"/>
    <n v="71.95"/>
    <n v="1"/>
    <n v="3.5975000000000001"/>
    <n v="75.547499999999999"/>
    <d v="2019-02-04T00:00:00"/>
    <d v="1899-12-30T12:14:00"/>
    <x v="1"/>
    <n v="71.95"/>
    <n v="4.7619047620000003"/>
    <n v="3.5975000000000001"/>
    <n v="7.3"/>
    <x v="2"/>
    <n v="2"/>
    <s v="Standard"/>
    <s v="Standard Order"/>
    <m/>
    <s v=""/>
    <m/>
    <m/>
    <s v=""/>
  </r>
  <r>
    <x v="347"/>
    <x v="1"/>
    <x v="1"/>
    <s v="Member"/>
    <s v="Female"/>
    <x v="2"/>
    <n v="89.25"/>
    <n v="8"/>
    <n v="35.700000000000003"/>
    <n v="749.7"/>
    <d v="2019-01-20T00:00:00"/>
    <d v="1899-12-30T10:13:00"/>
    <x v="1"/>
    <n v="714"/>
    <n v="4.7619047620000003"/>
    <n v="35.700000000000003"/>
    <n v="4.7"/>
    <x v="0"/>
    <n v="1"/>
    <s v="High Value"/>
    <s v="High Value Order"/>
    <m/>
    <s v=""/>
    <m/>
    <m/>
    <s v=""/>
  </r>
  <r>
    <x v="348"/>
    <x v="0"/>
    <x v="0"/>
    <s v="Normal"/>
    <s v="Male"/>
    <x v="1"/>
    <n v="26.02"/>
    <n v="7"/>
    <n v="9.1069999999999993"/>
    <n v="191.24700000000001"/>
    <d v="2019-03-28T00:00:00"/>
    <d v="1899-12-30T17:38:00"/>
    <x v="1"/>
    <n v="182.14"/>
    <n v="4.7619047620000003"/>
    <n v="9.1069999999999993"/>
    <n v="5.0999999999999996"/>
    <x v="1"/>
    <n v="3"/>
    <s v="Standard"/>
    <s v="Standard Order"/>
    <m/>
    <s v=""/>
    <m/>
    <m/>
    <s v=""/>
  </r>
  <r>
    <x v="349"/>
    <x v="2"/>
    <x v="2"/>
    <s v="Normal"/>
    <s v="Female"/>
    <x v="0"/>
    <n v="13.5"/>
    <n v="10"/>
    <n v="6.75"/>
    <n v="141.75"/>
    <d v="2019-02-27T00:00:00"/>
    <d v="1899-12-30T11:06:00"/>
    <x v="2"/>
    <n v="135"/>
    <n v="4.7619047620000003"/>
    <n v="6.75"/>
    <n v="4.8"/>
    <x v="2"/>
    <n v="2"/>
    <s v="Standard"/>
    <s v="Standard Order"/>
    <m/>
    <s v=""/>
    <m/>
    <m/>
    <s v=""/>
  </r>
  <r>
    <x v="350"/>
    <x v="1"/>
    <x v="1"/>
    <s v="Member"/>
    <s v="Female"/>
    <x v="5"/>
    <n v="99.3"/>
    <n v="10"/>
    <n v="49.65"/>
    <n v="1042.6500000000001"/>
    <d v="2019-02-15T00:00:00"/>
    <d v="1899-12-30T14:53:00"/>
    <x v="2"/>
    <n v="993"/>
    <n v="4.7619047620000003"/>
    <n v="49.65"/>
    <n v="6.6"/>
    <x v="2"/>
    <n v="2"/>
    <s v="High Value"/>
    <s v="High Value Order"/>
    <m/>
    <s v=""/>
    <m/>
    <m/>
    <s v=""/>
  </r>
  <r>
    <x v="351"/>
    <x v="0"/>
    <x v="0"/>
    <s v="Normal"/>
    <s v="Male"/>
    <x v="1"/>
    <n v="51.69"/>
    <n v="7"/>
    <n v="18.0915"/>
    <n v="379.92149999999998"/>
    <d v="2019-01-26T00:00:00"/>
    <d v="1899-12-30T18:22:00"/>
    <x v="1"/>
    <n v="361.83"/>
    <n v="4.7619047620000003"/>
    <n v="18.0915"/>
    <n v="5.5"/>
    <x v="0"/>
    <n v="1"/>
    <s v="Standard"/>
    <s v="Standard Order"/>
    <m/>
    <s v=""/>
    <m/>
    <m/>
    <s v=""/>
  </r>
  <r>
    <x v="352"/>
    <x v="2"/>
    <x v="2"/>
    <s v="Member"/>
    <s v="Female"/>
    <x v="5"/>
    <n v="54.73"/>
    <n v="7"/>
    <n v="19.1555"/>
    <n v="402.26549999999997"/>
    <d v="2019-03-14T00:00:00"/>
    <d v="1899-12-30T19:02:00"/>
    <x v="2"/>
    <n v="383.11"/>
    <n v="4.7619047620000003"/>
    <n v="19.1555"/>
    <n v="8.5"/>
    <x v="1"/>
    <n v="3"/>
    <s v="Standard"/>
    <s v="Standard Order"/>
    <m/>
    <s v=""/>
    <m/>
    <m/>
    <s v=""/>
  </r>
  <r>
    <x v="353"/>
    <x v="2"/>
    <x v="2"/>
    <s v="Member"/>
    <s v="Male"/>
    <x v="2"/>
    <n v="27"/>
    <n v="9"/>
    <n v="12.15"/>
    <n v="255.15"/>
    <d v="2019-03-02T00:00:00"/>
    <d v="1899-12-30T14:16:00"/>
    <x v="1"/>
    <n v="243"/>
    <n v="4.7619047620000003"/>
    <n v="12.15"/>
    <n v="4.8"/>
    <x v="1"/>
    <n v="3"/>
    <s v="Standard"/>
    <s v="Standard Order"/>
    <m/>
    <s v=""/>
    <m/>
    <m/>
    <s v=""/>
  </r>
  <r>
    <x v="354"/>
    <x v="1"/>
    <x v="1"/>
    <s v="Normal"/>
    <s v="Female"/>
    <x v="1"/>
    <n v="30.24"/>
    <n v="1"/>
    <n v="1.512"/>
    <n v="31.751999999999999"/>
    <d v="2019-03-04T00:00:00"/>
    <d v="1899-12-30T15:44:00"/>
    <x v="1"/>
    <n v="30.24"/>
    <n v="4.7619047620000003"/>
    <n v="1.512"/>
    <n v="8.4"/>
    <x v="1"/>
    <n v="3"/>
    <s v="Standard"/>
    <s v="Standard Order"/>
    <m/>
    <s v=""/>
    <m/>
    <m/>
    <s v=""/>
  </r>
  <r>
    <x v="355"/>
    <x v="2"/>
    <x v="2"/>
    <s v="Member"/>
    <s v="Female"/>
    <x v="4"/>
    <n v="89.14"/>
    <n v="4"/>
    <n v="17.827999999999999"/>
    <n v="374.38799999999998"/>
    <d v="2019-01-07T00:00:00"/>
    <d v="1899-12-30T12:20:00"/>
    <x v="2"/>
    <n v="356.56"/>
    <n v="4.7619047620000003"/>
    <n v="17.827999999999999"/>
    <n v="7.8"/>
    <x v="0"/>
    <n v="1"/>
    <s v="Standard"/>
    <s v="Standard Order"/>
    <m/>
    <s v=""/>
    <m/>
    <m/>
    <s v=""/>
  </r>
  <r>
    <x v="356"/>
    <x v="1"/>
    <x v="1"/>
    <s v="Normal"/>
    <s v="Female"/>
    <x v="5"/>
    <n v="37.549999999999997"/>
    <n v="10"/>
    <n v="18.774999999999999"/>
    <n v="394.27499999999998"/>
    <d v="2019-03-08T00:00:00"/>
    <d v="1899-12-30T20:01:00"/>
    <x v="2"/>
    <n v="375.5"/>
    <n v="4.7619047620000003"/>
    <n v="18.774999999999999"/>
    <n v="9.3000000000000007"/>
    <x v="1"/>
    <n v="3"/>
    <s v="Standard"/>
    <s v="Standard Order"/>
    <m/>
    <s v=""/>
    <m/>
    <m/>
    <s v=""/>
  </r>
  <r>
    <x v="357"/>
    <x v="1"/>
    <x v="1"/>
    <s v="Normal"/>
    <s v="Female"/>
    <x v="3"/>
    <n v="95.44"/>
    <n v="10"/>
    <n v="47.72"/>
    <n v="1002.12"/>
    <d v="2019-01-09T00:00:00"/>
    <d v="1899-12-30T13:45:00"/>
    <x v="1"/>
    <n v="954.4"/>
    <n v="4.7619047620000003"/>
    <n v="47.72"/>
    <n v="5.2"/>
    <x v="0"/>
    <n v="1"/>
    <s v="High Value"/>
    <s v="High Value Order"/>
    <m/>
    <s v=""/>
    <m/>
    <m/>
    <s v=""/>
  </r>
  <r>
    <x v="358"/>
    <x v="2"/>
    <x v="2"/>
    <s v="Normal"/>
    <s v="Male"/>
    <x v="1"/>
    <n v="27.5"/>
    <n v="3"/>
    <n v="4.125"/>
    <n v="86.625"/>
    <d v="2019-03-01T00:00:00"/>
    <d v="1899-12-30T15:40:00"/>
    <x v="0"/>
    <n v="82.5"/>
    <n v="4.7619047620000003"/>
    <n v="4.125"/>
    <n v="6.5"/>
    <x v="1"/>
    <n v="3"/>
    <s v="Standard"/>
    <s v="Standard Order"/>
    <m/>
    <s v=""/>
    <m/>
    <m/>
    <s v=""/>
  </r>
  <r>
    <x v="359"/>
    <x v="2"/>
    <x v="2"/>
    <s v="Normal"/>
    <s v="Male"/>
    <x v="3"/>
    <n v="74.97"/>
    <n v="1"/>
    <n v="3.7484999999999999"/>
    <n v="78.718500000000006"/>
    <d v="2019-03-16T00:00:00"/>
    <d v="1899-12-30T16:58:00"/>
    <x v="1"/>
    <n v="74.97"/>
    <n v="4.7619047620000003"/>
    <n v="3.7484999999999999"/>
    <n v="5.6"/>
    <x v="1"/>
    <n v="3"/>
    <s v="Standard"/>
    <s v="Standard Order"/>
    <m/>
    <s v=""/>
    <m/>
    <m/>
    <s v=""/>
  </r>
  <r>
    <x v="360"/>
    <x v="0"/>
    <x v="0"/>
    <s v="Member"/>
    <s v="Male"/>
    <x v="4"/>
    <n v="80.959999999999994"/>
    <n v="8"/>
    <n v="32.384"/>
    <n v="680.06399999999996"/>
    <d v="2019-02-17T00:00:00"/>
    <d v="1899-12-30T11:12:00"/>
    <x v="2"/>
    <n v="647.67999999999995"/>
    <n v="4.7619047620000003"/>
    <n v="32.384"/>
    <n v="7.4"/>
    <x v="2"/>
    <n v="2"/>
    <s v="High Value"/>
    <s v="High Value Order"/>
    <m/>
    <s v=""/>
    <m/>
    <m/>
    <s v=""/>
  </r>
  <r>
    <x v="361"/>
    <x v="1"/>
    <x v="1"/>
    <s v="Normal"/>
    <s v="Female"/>
    <x v="4"/>
    <n v="94.47"/>
    <n v="8"/>
    <n v="37.787999999999997"/>
    <n v="793.548"/>
    <d v="2019-02-27T00:00:00"/>
    <d v="1899-12-30T15:12:00"/>
    <x v="1"/>
    <n v="755.76"/>
    <n v="4.7619047620000003"/>
    <n v="37.787999999999997"/>
    <n v="9.1"/>
    <x v="2"/>
    <n v="2"/>
    <s v="High Value"/>
    <s v="High Value Order"/>
    <m/>
    <s v=""/>
    <m/>
    <m/>
    <s v=""/>
  </r>
  <r>
    <x v="362"/>
    <x v="1"/>
    <x v="1"/>
    <s v="Normal"/>
    <s v="Male"/>
    <x v="4"/>
    <n v="99.79"/>
    <n v="2"/>
    <n v="9.9789999999999992"/>
    <n v="209.559"/>
    <d v="2019-03-07T00:00:00"/>
    <d v="1899-12-30T20:37:00"/>
    <x v="0"/>
    <n v="199.58"/>
    <n v="4.7619047620000003"/>
    <n v="9.9789999999999992"/>
    <n v="8"/>
    <x v="1"/>
    <n v="3"/>
    <s v="Standard"/>
    <s v="Standard Order"/>
    <m/>
    <s v=""/>
    <m/>
    <m/>
    <s v=""/>
  </r>
  <r>
    <x v="363"/>
    <x v="0"/>
    <x v="0"/>
    <s v="Normal"/>
    <s v="Male"/>
    <x v="2"/>
    <n v="73.22"/>
    <n v="6"/>
    <n v="21.966000000000001"/>
    <n v="461.286"/>
    <d v="2019-01-21T00:00:00"/>
    <d v="1899-12-30T17:44:00"/>
    <x v="1"/>
    <n v="439.32"/>
    <n v="4.7619047620000003"/>
    <n v="21.966000000000001"/>
    <n v="7.2"/>
    <x v="0"/>
    <n v="1"/>
    <s v="Standard"/>
    <s v="Standard Order"/>
    <m/>
    <s v=""/>
    <m/>
    <m/>
    <s v=""/>
  </r>
  <r>
    <x v="364"/>
    <x v="1"/>
    <x v="1"/>
    <s v="Normal"/>
    <s v="Female"/>
    <x v="4"/>
    <n v="41.24"/>
    <n v="4"/>
    <n v="8.2479999999999993"/>
    <n v="173.208"/>
    <d v="2019-02-19T00:00:00"/>
    <d v="1899-12-30T16:23:00"/>
    <x v="1"/>
    <n v="164.96"/>
    <n v="4.7619047620000003"/>
    <n v="8.2479999999999993"/>
    <n v="7.1"/>
    <x v="2"/>
    <n v="2"/>
    <s v="Standard"/>
    <s v="Standard Order"/>
    <m/>
    <s v=""/>
    <m/>
    <m/>
    <s v=""/>
  </r>
  <r>
    <x v="365"/>
    <x v="1"/>
    <x v="1"/>
    <s v="Normal"/>
    <s v="Female"/>
    <x v="5"/>
    <n v="81.680000000000007"/>
    <n v="4"/>
    <n v="16.335999999999999"/>
    <n v="343.05599999999998"/>
    <d v="2019-01-06T00:00:00"/>
    <d v="1899-12-30T12:12:00"/>
    <x v="1"/>
    <n v="326.72000000000003"/>
    <n v="4.7619047620000003"/>
    <n v="16.335999999999999"/>
    <n v="9.1"/>
    <x v="0"/>
    <n v="1"/>
    <s v="Standard"/>
    <s v="Standard Order"/>
    <m/>
    <s v=""/>
    <m/>
    <m/>
    <s v=""/>
  </r>
  <r>
    <x v="366"/>
    <x v="1"/>
    <x v="1"/>
    <s v="Normal"/>
    <s v="Female"/>
    <x v="1"/>
    <n v="51.32"/>
    <n v="9"/>
    <n v="23.094000000000001"/>
    <n v="484.97399999999999"/>
    <d v="2019-03-14T00:00:00"/>
    <d v="1899-12-30T19:33:00"/>
    <x v="1"/>
    <n v="461.88"/>
    <n v="4.7619047620000003"/>
    <n v="23.094000000000001"/>
    <n v="5.6"/>
    <x v="1"/>
    <n v="3"/>
    <s v="Standard"/>
    <s v="Standard Order"/>
    <m/>
    <s v=""/>
    <m/>
    <m/>
    <s v=""/>
  </r>
  <r>
    <x v="367"/>
    <x v="0"/>
    <x v="0"/>
    <s v="Member"/>
    <s v="Male"/>
    <x v="2"/>
    <n v="65.94"/>
    <n v="4"/>
    <n v="13.188000000000001"/>
    <n v="276.94799999999998"/>
    <d v="2019-03-24T00:00:00"/>
    <d v="1899-12-30T10:29:00"/>
    <x v="1"/>
    <n v="263.76"/>
    <n v="4.7619047620000003"/>
    <n v="13.188000000000001"/>
    <n v="6"/>
    <x v="1"/>
    <n v="3"/>
    <s v="Standard"/>
    <s v="Standard Order"/>
    <m/>
    <s v=""/>
    <m/>
    <m/>
    <s v=""/>
  </r>
  <r>
    <x v="368"/>
    <x v="1"/>
    <x v="1"/>
    <s v="Normal"/>
    <s v="Female"/>
    <x v="3"/>
    <n v="14.36"/>
    <n v="10"/>
    <n v="7.18"/>
    <n v="150.78"/>
    <d v="2019-01-27T00:00:00"/>
    <d v="1899-12-30T14:28:00"/>
    <x v="1"/>
    <n v="143.6"/>
    <n v="4.7619047620000003"/>
    <n v="7.18"/>
    <n v="5.4"/>
    <x v="0"/>
    <n v="1"/>
    <s v="Standard"/>
    <s v="Standard Order"/>
    <m/>
    <s v=""/>
    <m/>
    <m/>
    <s v=""/>
  </r>
  <r>
    <x v="369"/>
    <x v="0"/>
    <x v="0"/>
    <s v="Member"/>
    <s v="Male"/>
    <x v="1"/>
    <n v="21.5"/>
    <n v="9"/>
    <n v="9.6750000000000007"/>
    <n v="203.17500000000001"/>
    <d v="2019-03-06T00:00:00"/>
    <d v="1899-12-30T12:46:00"/>
    <x v="2"/>
    <n v="193.5"/>
    <n v="4.7619047620000003"/>
    <n v="9.6750000000000007"/>
    <n v="7.8"/>
    <x v="1"/>
    <n v="3"/>
    <s v="Standard"/>
    <s v="Standard Order"/>
    <m/>
    <s v=""/>
    <m/>
    <m/>
    <s v=""/>
  </r>
  <r>
    <x v="370"/>
    <x v="2"/>
    <x v="2"/>
    <s v="Member"/>
    <s v="Female"/>
    <x v="1"/>
    <n v="26.26"/>
    <n v="7"/>
    <n v="9.1910000000000007"/>
    <n v="193.011"/>
    <d v="2019-02-02T00:00:00"/>
    <d v="1899-12-30T19:40:00"/>
    <x v="1"/>
    <n v="183.82"/>
    <n v="4.7619047620000003"/>
    <n v="9.1910000000000007"/>
    <n v="9.9"/>
    <x v="2"/>
    <n v="2"/>
    <s v="Standard"/>
    <s v="Standard Order"/>
    <m/>
    <s v=""/>
    <m/>
    <m/>
    <s v=""/>
  </r>
  <r>
    <x v="371"/>
    <x v="2"/>
    <x v="2"/>
    <s v="Normal"/>
    <s v="Female"/>
    <x v="5"/>
    <n v="60.96"/>
    <n v="2"/>
    <n v="6.0960000000000001"/>
    <n v="128.01599999999999"/>
    <d v="2019-01-25T00:00:00"/>
    <d v="1899-12-30T19:39:00"/>
    <x v="2"/>
    <n v="121.92"/>
    <n v="4.7619047620000003"/>
    <n v="6.0960000000000001"/>
    <n v="4.9000000000000004"/>
    <x v="0"/>
    <n v="1"/>
    <s v="Standard"/>
    <s v="Standard Order"/>
    <m/>
    <s v=""/>
    <m/>
    <m/>
    <s v=""/>
  </r>
  <r>
    <x v="372"/>
    <x v="1"/>
    <x v="1"/>
    <s v="Normal"/>
    <s v="Female"/>
    <x v="2"/>
    <n v="70.11"/>
    <n v="6"/>
    <n v="21.033000000000001"/>
    <n v="441.69299999999998"/>
    <d v="2019-03-14T00:00:00"/>
    <d v="1899-12-30T17:54:00"/>
    <x v="0"/>
    <n v="420.66"/>
    <n v="4.7619047620000003"/>
    <n v="21.033000000000001"/>
    <n v="5.2"/>
    <x v="1"/>
    <n v="3"/>
    <s v="Standard"/>
    <s v="Standard Order"/>
    <m/>
    <s v=""/>
    <m/>
    <m/>
    <s v=""/>
  </r>
  <r>
    <x v="373"/>
    <x v="1"/>
    <x v="1"/>
    <s v="Normal"/>
    <s v="Male"/>
    <x v="5"/>
    <n v="42.08"/>
    <n v="6"/>
    <n v="12.624000000000001"/>
    <n v="265.10399999999998"/>
    <d v="2019-01-29T00:00:00"/>
    <d v="1899-12-30T12:25:00"/>
    <x v="1"/>
    <n v="252.48"/>
    <n v="4.7619047620000003"/>
    <n v="12.624000000000001"/>
    <n v="8.9"/>
    <x v="0"/>
    <n v="1"/>
    <s v="Standard"/>
    <s v="Standard Order"/>
    <m/>
    <s v=""/>
    <m/>
    <m/>
    <s v=""/>
  </r>
  <r>
    <x v="374"/>
    <x v="0"/>
    <x v="0"/>
    <s v="Normal"/>
    <s v="Female"/>
    <x v="2"/>
    <n v="67.09"/>
    <n v="5"/>
    <n v="16.772500000000001"/>
    <n v="352.22250000000003"/>
    <d v="2019-01-03T00:00:00"/>
    <d v="1899-12-30T16:47:00"/>
    <x v="2"/>
    <n v="335.45"/>
    <n v="4.7619047620000003"/>
    <n v="16.772500000000001"/>
    <n v="9.1"/>
    <x v="0"/>
    <n v="1"/>
    <s v="Standard"/>
    <s v="Standard Order"/>
    <m/>
    <s v=""/>
    <m/>
    <m/>
    <s v=""/>
  </r>
  <r>
    <x v="375"/>
    <x v="0"/>
    <x v="0"/>
    <s v="Member"/>
    <s v="Female"/>
    <x v="5"/>
    <n v="96.7"/>
    <n v="5"/>
    <n v="24.175000000000001"/>
    <n v="507.67500000000001"/>
    <d v="2019-01-14T00:00:00"/>
    <d v="1899-12-30T12:52:00"/>
    <x v="0"/>
    <n v="483.5"/>
    <n v="4.7619047620000003"/>
    <n v="24.175000000000001"/>
    <n v="7"/>
    <x v="0"/>
    <n v="1"/>
    <s v="High Value"/>
    <s v="High Value Order"/>
    <m/>
    <s v=""/>
    <m/>
    <m/>
    <s v=""/>
  </r>
  <r>
    <x v="376"/>
    <x v="2"/>
    <x v="2"/>
    <s v="Member"/>
    <s v="Female"/>
    <x v="2"/>
    <n v="35.380000000000003"/>
    <n v="9"/>
    <n v="15.920999999999999"/>
    <n v="334.34100000000001"/>
    <d v="2019-01-05T00:00:00"/>
    <d v="1899-12-30T19:50:00"/>
    <x v="2"/>
    <n v="318.42"/>
    <n v="4.7619047620000003"/>
    <n v="15.920999999999999"/>
    <n v="9.6"/>
    <x v="0"/>
    <n v="1"/>
    <s v="Standard"/>
    <s v="Standard Order"/>
    <m/>
    <s v=""/>
    <m/>
    <m/>
    <s v=""/>
  </r>
  <r>
    <x v="377"/>
    <x v="1"/>
    <x v="1"/>
    <s v="Normal"/>
    <s v="Male"/>
    <x v="3"/>
    <n v="95.49"/>
    <n v="7"/>
    <n v="33.421500000000002"/>
    <n v="701.85149999999999"/>
    <d v="2019-02-22T00:00:00"/>
    <d v="1899-12-30T18:17:00"/>
    <x v="0"/>
    <n v="668.43"/>
    <n v="4.7619047620000003"/>
    <n v="33.421500000000002"/>
    <n v="8.6999999999999993"/>
    <x v="2"/>
    <n v="2"/>
    <s v="High Value"/>
    <s v="High Value Order"/>
    <m/>
    <s v=""/>
    <m/>
    <m/>
    <s v=""/>
  </r>
  <r>
    <x v="378"/>
    <x v="1"/>
    <x v="1"/>
    <s v="Member"/>
    <s v="Male"/>
    <x v="5"/>
    <n v="96.98"/>
    <n v="4"/>
    <n v="19.396000000000001"/>
    <n v="407.31599999999997"/>
    <d v="2019-02-06T00:00:00"/>
    <d v="1899-12-30T17:20:00"/>
    <x v="0"/>
    <n v="387.92"/>
    <n v="4.7619047620000003"/>
    <n v="19.396000000000001"/>
    <n v="9.4"/>
    <x v="2"/>
    <n v="2"/>
    <s v="Standard"/>
    <s v="Standard Order"/>
    <m/>
    <s v=""/>
    <m/>
    <m/>
    <s v=""/>
  </r>
  <r>
    <x v="379"/>
    <x v="2"/>
    <x v="2"/>
    <s v="Normal"/>
    <s v="Female"/>
    <x v="1"/>
    <n v="23.65"/>
    <n v="4"/>
    <n v="4.7300000000000004"/>
    <n v="99.33"/>
    <d v="2019-01-30T00:00:00"/>
    <d v="1899-12-30T13:32:00"/>
    <x v="2"/>
    <n v="94.6"/>
    <n v="4.7619047620000003"/>
    <n v="4.7300000000000004"/>
    <n v="4"/>
    <x v="0"/>
    <n v="1"/>
    <s v="Standard"/>
    <s v="Standard Order"/>
    <m/>
    <s v=""/>
    <m/>
    <m/>
    <s v=""/>
  </r>
  <r>
    <x v="380"/>
    <x v="0"/>
    <x v="0"/>
    <s v="Member"/>
    <s v="Male"/>
    <x v="3"/>
    <n v="82.33"/>
    <n v="4"/>
    <n v="16.466000000000001"/>
    <n v="345.786"/>
    <d v="2019-01-11T00:00:00"/>
    <d v="1899-12-30T10:37:00"/>
    <x v="2"/>
    <n v="329.32"/>
    <n v="4.7619047620000003"/>
    <n v="16.466000000000001"/>
    <n v="7.5"/>
    <x v="0"/>
    <n v="1"/>
    <s v="Standard"/>
    <s v="Standard Order"/>
    <m/>
    <s v=""/>
    <m/>
    <m/>
    <s v=""/>
  </r>
  <r>
    <x v="381"/>
    <x v="1"/>
    <x v="1"/>
    <s v="Normal"/>
    <s v="Female"/>
    <x v="1"/>
    <n v="26.61"/>
    <n v="2"/>
    <n v="2.661"/>
    <n v="55.881"/>
    <d v="2019-03-19T00:00:00"/>
    <d v="1899-12-30T14:35:00"/>
    <x v="1"/>
    <n v="53.22"/>
    <n v="4.7619047620000003"/>
    <n v="2.661"/>
    <n v="4.2"/>
    <x v="1"/>
    <n v="3"/>
    <s v="Standard"/>
    <s v="Standard Order"/>
    <m/>
    <s v=""/>
    <m/>
    <m/>
    <s v=""/>
  </r>
  <r>
    <x v="382"/>
    <x v="2"/>
    <x v="2"/>
    <s v="Normal"/>
    <s v="Female"/>
    <x v="4"/>
    <n v="99.69"/>
    <n v="5"/>
    <n v="24.922499999999999"/>
    <n v="523.37249999999995"/>
    <d v="2019-01-14T00:00:00"/>
    <d v="1899-12-30T12:09:00"/>
    <x v="1"/>
    <n v="498.45"/>
    <n v="4.7619047620000003"/>
    <n v="24.922499999999999"/>
    <n v="9.9"/>
    <x v="0"/>
    <n v="1"/>
    <s v="High Value"/>
    <s v="High Value Order"/>
    <m/>
    <s v=""/>
    <m/>
    <m/>
    <s v=""/>
  </r>
  <r>
    <x v="383"/>
    <x v="1"/>
    <x v="1"/>
    <s v="Member"/>
    <s v="Female"/>
    <x v="4"/>
    <n v="74.89"/>
    <n v="4"/>
    <n v="14.978"/>
    <n v="314.53800000000001"/>
    <d v="2019-03-01T00:00:00"/>
    <d v="1899-12-30T15:32:00"/>
    <x v="0"/>
    <n v="299.56"/>
    <n v="4.7619047620000003"/>
    <n v="14.978"/>
    <n v="4.2"/>
    <x v="1"/>
    <n v="3"/>
    <s v="Standard"/>
    <s v="Standard Order"/>
    <m/>
    <s v=""/>
    <m/>
    <m/>
    <s v=""/>
  </r>
  <r>
    <x v="384"/>
    <x v="0"/>
    <x v="0"/>
    <s v="Normal"/>
    <s v="Female"/>
    <x v="4"/>
    <n v="40.94"/>
    <n v="5"/>
    <n v="10.234999999999999"/>
    <n v="214.935"/>
    <d v="2019-01-06T00:00:00"/>
    <d v="1899-12-30T13:58:00"/>
    <x v="0"/>
    <n v="204.7"/>
    <n v="4.7619047620000003"/>
    <n v="10.234999999999999"/>
    <n v="9.9"/>
    <x v="0"/>
    <n v="1"/>
    <s v="Standard"/>
    <s v="Standard Order"/>
    <m/>
    <s v=""/>
    <m/>
    <m/>
    <s v=""/>
  </r>
  <r>
    <x v="385"/>
    <x v="2"/>
    <x v="2"/>
    <s v="Member"/>
    <s v="Male"/>
    <x v="3"/>
    <n v="75.819999999999993"/>
    <n v="1"/>
    <n v="3.7909999999999999"/>
    <n v="79.611000000000004"/>
    <d v="2019-01-31T00:00:00"/>
    <d v="1899-12-30T13:19:00"/>
    <x v="1"/>
    <n v="75.819999999999993"/>
    <n v="4.7619047620000003"/>
    <n v="3.7909999999999999"/>
    <n v="5.8"/>
    <x v="0"/>
    <n v="1"/>
    <s v="Standard"/>
    <s v="Standard Order"/>
    <m/>
    <s v=""/>
    <m/>
    <m/>
    <s v=""/>
  </r>
  <r>
    <x v="386"/>
    <x v="1"/>
    <x v="1"/>
    <s v="Normal"/>
    <s v="Male"/>
    <x v="4"/>
    <n v="46.77"/>
    <n v="6"/>
    <n v="14.031000000000001"/>
    <n v="294.65100000000001"/>
    <d v="2019-03-11T00:00:00"/>
    <d v="1899-12-30T13:37:00"/>
    <x v="1"/>
    <n v="280.62"/>
    <n v="4.7619047620000003"/>
    <n v="14.031000000000001"/>
    <n v="6"/>
    <x v="1"/>
    <n v="3"/>
    <s v="Standard"/>
    <s v="Standard Order"/>
    <m/>
    <s v=""/>
    <m/>
    <m/>
    <s v=""/>
  </r>
  <r>
    <x v="387"/>
    <x v="0"/>
    <x v="0"/>
    <s v="Normal"/>
    <s v="Female"/>
    <x v="0"/>
    <n v="32.32"/>
    <n v="10"/>
    <n v="16.16"/>
    <n v="339.36"/>
    <d v="2019-02-20T00:00:00"/>
    <d v="1899-12-30T16:49:00"/>
    <x v="2"/>
    <n v="323.2"/>
    <n v="4.7619047620000003"/>
    <n v="16.16"/>
    <n v="10"/>
    <x v="2"/>
    <n v="2"/>
    <s v="Standard"/>
    <s v="Standard Order"/>
    <m/>
    <s v=""/>
    <m/>
    <m/>
    <s v=""/>
  </r>
  <r>
    <x v="388"/>
    <x v="1"/>
    <x v="1"/>
    <s v="Member"/>
    <s v="Female"/>
    <x v="5"/>
    <n v="54.07"/>
    <n v="9"/>
    <n v="24.331499999999998"/>
    <n v="510.9615"/>
    <d v="2019-01-27T00:00:00"/>
    <d v="1899-12-30T14:55:00"/>
    <x v="0"/>
    <n v="486.63"/>
    <n v="4.7619047620000003"/>
    <n v="24.331499999999998"/>
    <n v="9.5"/>
    <x v="0"/>
    <n v="1"/>
    <s v="High Value"/>
    <s v="High Value Order"/>
    <m/>
    <s v=""/>
    <m/>
    <m/>
    <s v=""/>
  </r>
  <r>
    <x v="389"/>
    <x v="2"/>
    <x v="2"/>
    <s v="Normal"/>
    <s v="Male"/>
    <x v="4"/>
    <n v="18.22"/>
    <n v="7"/>
    <n v="6.3769999999999998"/>
    <n v="133.917"/>
    <d v="2019-03-10T00:00:00"/>
    <d v="1899-12-30T14:04:00"/>
    <x v="2"/>
    <n v="127.54"/>
    <n v="4.7619047620000003"/>
    <n v="6.3769999999999998"/>
    <n v="6.6"/>
    <x v="1"/>
    <n v="3"/>
    <s v="Standard"/>
    <s v="Standard Order"/>
    <m/>
    <s v=""/>
    <m/>
    <m/>
    <s v=""/>
  </r>
  <r>
    <x v="390"/>
    <x v="1"/>
    <x v="1"/>
    <s v="Member"/>
    <s v="Female"/>
    <x v="5"/>
    <n v="80.48"/>
    <n v="3"/>
    <n v="12.071999999999999"/>
    <n v="253.512"/>
    <d v="2019-02-15T00:00:00"/>
    <d v="1899-12-30T12:31:00"/>
    <x v="1"/>
    <n v="241.44"/>
    <n v="4.7619047620000003"/>
    <n v="12.071999999999999"/>
    <n v="8.1"/>
    <x v="2"/>
    <n v="2"/>
    <s v="Standard"/>
    <s v="Standard Order"/>
    <m/>
    <s v=""/>
    <m/>
    <m/>
    <s v=""/>
  </r>
  <r>
    <x v="391"/>
    <x v="2"/>
    <x v="2"/>
    <s v="Normal"/>
    <s v="Female"/>
    <x v="5"/>
    <n v="37.950000000000003"/>
    <n v="10"/>
    <n v="18.975000000000001"/>
    <n v="398.47500000000002"/>
    <d v="2019-01-26T00:00:00"/>
    <d v="1899-12-30T14:51:00"/>
    <x v="1"/>
    <n v="379.5"/>
    <n v="4.7619047620000003"/>
    <n v="18.975000000000001"/>
    <n v="9.6999999999999993"/>
    <x v="0"/>
    <n v="1"/>
    <s v="Standard"/>
    <s v="Standard Order"/>
    <m/>
    <s v=""/>
    <m/>
    <m/>
    <s v=""/>
  </r>
  <r>
    <x v="392"/>
    <x v="0"/>
    <x v="0"/>
    <s v="Member"/>
    <s v="Male"/>
    <x v="1"/>
    <n v="76.819999999999993"/>
    <n v="1"/>
    <n v="3.8410000000000002"/>
    <n v="80.661000000000001"/>
    <d v="2019-02-13T00:00:00"/>
    <d v="1899-12-30T18:27:00"/>
    <x v="0"/>
    <n v="76.819999999999993"/>
    <n v="4.7619047620000003"/>
    <n v="3.8410000000000002"/>
    <n v="7.2"/>
    <x v="2"/>
    <n v="2"/>
    <s v="Standard"/>
    <s v="Standard Order"/>
    <m/>
    <s v=""/>
    <m/>
    <m/>
    <s v=""/>
  </r>
  <r>
    <x v="393"/>
    <x v="0"/>
    <x v="0"/>
    <s v="Member"/>
    <s v="Female"/>
    <x v="3"/>
    <n v="52.26"/>
    <n v="10"/>
    <n v="26.13"/>
    <n v="548.73"/>
    <d v="2019-03-09T00:00:00"/>
    <d v="1899-12-30T12:45:00"/>
    <x v="2"/>
    <n v="522.6"/>
    <n v="4.7619047620000003"/>
    <n v="26.13"/>
    <n v="6.2"/>
    <x v="1"/>
    <n v="3"/>
    <s v="High Value"/>
    <s v="High Value Order"/>
    <m/>
    <s v=""/>
    <m/>
    <m/>
    <s v=""/>
  </r>
  <r>
    <x v="394"/>
    <x v="0"/>
    <x v="0"/>
    <s v="Normal"/>
    <s v="Female"/>
    <x v="0"/>
    <n v="79.739999999999995"/>
    <n v="1"/>
    <n v="3.9870000000000001"/>
    <n v="83.727000000000004"/>
    <d v="2019-03-06T00:00:00"/>
    <d v="1899-12-30T10:36:00"/>
    <x v="0"/>
    <n v="79.739999999999995"/>
    <n v="4.7619047620000003"/>
    <n v="3.9870000000000001"/>
    <n v="7.3"/>
    <x v="1"/>
    <n v="3"/>
    <s v="Standard"/>
    <s v="Standard Order"/>
    <m/>
    <s v=""/>
    <m/>
    <m/>
    <s v=""/>
  </r>
  <r>
    <x v="395"/>
    <x v="0"/>
    <x v="0"/>
    <s v="Normal"/>
    <s v="Female"/>
    <x v="0"/>
    <n v="77.5"/>
    <n v="5"/>
    <n v="19.375"/>
    <n v="406.875"/>
    <d v="2019-01-24T00:00:00"/>
    <d v="1899-12-30T20:36:00"/>
    <x v="0"/>
    <n v="387.5"/>
    <n v="4.7619047620000003"/>
    <n v="19.375"/>
    <n v="4.3"/>
    <x v="0"/>
    <n v="1"/>
    <s v="Standard"/>
    <s v="Standard Order"/>
    <m/>
    <s v=""/>
    <m/>
    <m/>
    <s v=""/>
  </r>
  <r>
    <x v="396"/>
    <x v="0"/>
    <x v="0"/>
    <s v="Normal"/>
    <s v="Female"/>
    <x v="4"/>
    <n v="54.27"/>
    <n v="5"/>
    <n v="13.567500000000001"/>
    <n v="284.91750000000002"/>
    <d v="2019-03-13T00:00:00"/>
    <d v="1899-12-30T14:16:00"/>
    <x v="0"/>
    <n v="271.35000000000002"/>
    <n v="4.7619047620000003"/>
    <n v="13.567500000000001"/>
    <n v="4.5999999999999996"/>
    <x v="1"/>
    <n v="3"/>
    <s v="Standard"/>
    <s v="Standard Order"/>
    <m/>
    <s v=""/>
    <m/>
    <m/>
    <s v=""/>
  </r>
  <r>
    <x v="397"/>
    <x v="2"/>
    <x v="2"/>
    <s v="Normal"/>
    <s v="Male"/>
    <x v="2"/>
    <n v="13.59"/>
    <n v="9"/>
    <n v="6.1154999999999999"/>
    <n v="128.4255"/>
    <d v="2019-03-15T00:00:00"/>
    <d v="1899-12-30T10:26:00"/>
    <x v="1"/>
    <n v="122.31"/>
    <n v="4.7619047620000003"/>
    <n v="6.1154999999999999"/>
    <n v="5.8"/>
    <x v="1"/>
    <n v="3"/>
    <s v="Standard"/>
    <s v="Standard Order"/>
    <m/>
    <s v=""/>
    <m/>
    <m/>
    <s v=""/>
  </r>
  <r>
    <x v="398"/>
    <x v="2"/>
    <x v="2"/>
    <s v="Member"/>
    <s v="Female"/>
    <x v="0"/>
    <n v="41.06"/>
    <n v="6"/>
    <n v="12.318"/>
    <n v="258.678"/>
    <d v="2019-03-05T00:00:00"/>
    <d v="1899-12-30T13:30:00"/>
    <x v="2"/>
    <n v="246.36"/>
    <n v="4.7619047620000003"/>
    <n v="12.318"/>
    <n v="8.3000000000000007"/>
    <x v="1"/>
    <n v="3"/>
    <s v="Standard"/>
    <s v="Standard Order"/>
    <m/>
    <s v=""/>
    <m/>
    <m/>
    <s v=""/>
  </r>
  <r>
    <x v="399"/>
    <x v="2"/>
    <x v="2"/>
    <s v="Member"/>
    <s v="Male"/>
    <x v="1"/>
    <n v="19.239999999999998"/>
    <n v="9"/>
    <n v="8.6579999999999995"/>
    <n v="181.81800000000001"/>
    <d v="2019-03-04T00:00:00"/>
    <d v="1899-12-30T16:28:00"/>
    <x v="1"/>
    <n v="173.16"/>
    <n v="4.7619047620000003"/>
    <n v="8.6579999999999995"/>
    <n v="8"/>
    <x v="1"/>
    <n v="3"/>
    <s v="Standard"/>
    <s v="Standard Order"/>
    <m/>
    <s v=""/>
    <m/>
    <m/>
    <s v=""/>
  </r>
  <r>
    <x v="400"/>
    <x v="1"/>
    <x v="1"/>
    <s v="Normal"/>
    <s v="Female"/>
    <x v="4"/>
    <n v="39.43"/>
    <n v="6"/>
    <n v="11.829000000000001"/>
    <n v="248.40899999999999"/>
    <d v="2019-03-25T00:00:00"/>
    <d v="1899-12-30T20:18:00"/>
    <x v="2"/>
    <n v="236.58"/>
    <n v="4.7619047620000003"/>
    <n v="11.829000000000001"/>
    <n v="9.4"/>
    <x v="1"/>
    <n v="3"/>
    <s v="Standard"/>
    <s v="Standard Order"/>
    <m/>
    <s v=""/>
    <m/>
    <m/>
    <s v=""/>
  </r>
  <r>
    <x v="401"/>
    <x v="1"/>
    <x v="1"/>
    <s v="Normal"/>
    <s v="Male"/>
    <x v="2"/>
    <n v="46.22"/>
    <n v="4"/>
    <n v="9.2439999999999998"/>
    <n v="194.124"/>
    <d v="2019-03-12T00:00:00"/>
    <d v="1899-12-30T20:04:00"/>
    <x v="2"/>
    <n v="184.88"/>
    <n v="4.7619047620000003"/>
    <n v="9.2439999999999998"/>
    <n v="6.2"/>
    <x v="1"/>
    <n v="3"/>
    <s v="Standard"/>
    <s v="Standard Order"/>
    <m/>
    <s v=""/>
    <m/>
    <m/>
    <s v=""/>
  </r>
  <r>
    <x v="402"/>
    <x v="1"/>
    <x v="1"/>
    <s v="Member"/>
    <s v="Male"/>
    <x v="2"/>
    <n v="13.98"/>
    <n v="1"/>
    <n v="0.69899999999999995"/>
    <n v="14.679"/>
    <d v="2019-02-04T00:00:00"/>
    <d v="1899-12-30T13:38:00"/>
    <x v="0"/>
    <n v="13.98"/>
    <n v="4.7619047620000003"/>
    <n v="0.69899999999999995"/>
    <n v="9.8000000000000007"/>
    <x v="2"/>
    <n v="2"/>
    <s v="Standard"/>
    <s v="Standard Order"/>
    <m/>
    <s v=""/>
    <m/>
    <m/>
    <s v=""/>
  </r>
  <r>
    <x v="403"/>
    <x v="2"/>
    <x v="2"/>
    <s v="Normal"/>
    <s v="Female"/>
    <x v="5"/>
    <n v="39.75"/>
    <n v="5"/>
    <n v="9.9375"/>
    <n v="208.6875"/>
    <d v="2019-02-22T00:00:00"/>
    <d v="1899-12-30T10:43:00"/>
    <x v="0"/>
    <n v="198.75"/>
    <n v="4.7619047620000003"/>
    <n v="9.9375"/>
    <n v="9.6"/>
    <x v="2"/>
    <n v="2"/>
    <s v="Standard"/>
    <s v="Standard Order"/>
    <m/>
    <s v=""/>
    <m/>
    <m/>
    <s v=""/>
  </r>
  <r>
    <x v="404"/>
    <x v="1"/>
    <x v="1"/>
    <s v="Member"/>
    <s v="Female"/>
    <x v="5"/>
    <n v="97.79"/>
    <n v="7"/>
    <n v="34.226500000000001"/>
    <n v="718.75649999999996"/>
    <d v="2019-02-16T00:00:00"/>
    <d v="1899-12-30T17:30:00"/>
    <x v="0"/>
    <n v="684.53"/>
    <n v="4.7619047620000003"/>
    <n v="34.226500000000001"/>
    <n v="4.9000000000000004"/>
    <x v="2"/>
    <n v="2"/>
    <s v="High Value"/>
    <s v="High Value Order"/>
    <m/>
    <s v=""/>
    <m/>
    <m/>
    <s v=""/>
  </r>
  <r>
    <x v="405"/>
    <x v="0"/>
    <x v="0"/>
    <s v="Member"/>
    <s v="Male"/>
    <x v="3"/>
    <n v="67.260000000000005"/>
    <n v="4"/>
    <n v="13.452"/>
    <n v="282.49200000000002"/>
    <d v="2019-01-19T00:00:00"/>
    <d v="1899-12-30T15:28:00"/>
    <x v="2"/>
    <n v="269.04000000000002"/>
    <n v="4.7619047620000003"/>
    <n v="13.452"/>
    <n v="8"/>
    <x v="0"/>
    <n v="1"/>
    <s v="Standard"/>
    <s v="Standard Order"/>
    <m/>
    <s v=""/>
    <m/>
    <m/>
    <s v=""/>
  </r>
  <r>
    <x v="406"/>
    <x v="0"/>
    <x v="0"/>
    <s v="Normal"/>
    <s v="Male"/>
    <x v="4"/>
    <n v="13.79"/>
    <n v="5"/>
    <n v="3.4474999999999998"/>
    <n v="72.397499999999994"/>
    <d v="2019-01-11T00:00:00"/>
    <d v="1899-12-30T19:07:00"/>
    <x v="2"/>
    <n v="68.95"/>
    <n v="4.7619047620000003"/>
    <n v="3.4474999999999998"/>
    <n v="7.8"/>
    <x v="0"/>
    <n v="1"/>
    <s v="Standard"/>
    <s v="Standard Order"/>
    <m/>
    <s v=""/>
    <m/>
    <m/>
    <s v=""/>
  </r>
  <r>
    <x v="407"/>
    <x v="2"/>
    <x v="2"/>
    <s v="Member"/>
    <s v="Female"/>
    <x v="5"/>
    <n v="68.709999999999994"/>
    <n v="4"/>
    <n v="13.742000000000001"/>
    <n v="288.58199999999999"/>
    <d v="2019-01-04T00:00:00"/>
    <d v="1899-12-30T19:01:00"/>
    <x v="1"/>
    <n v="274.83999999999997"/>
    <n v="4.7619047620000003"/>
    <n v="13.742000000000001"/>
    <n v="4.0999999999999996"/>
    <x v="0"/>
    <n v="1"/>
    <s v="Standard"/>
    <s v="Standard Order"/>
    <m/>
    <s v=""/>
    <m/>
    <m/>
    <s v=""/>
  </r>
  <r>
    <x v="408"/>
    <x v="0"/>
    <x v="0"/>
    <s v="Normal"/>
    <s v="Female"/>
    <x v="2"/>
    <n v="56.53"/>
    <n v="4"/>
    <n v="11.305999999999999"/>
    <n v="237.42599999999999"/>
    <d v="2019-03-04T00:00:00"/>
    <d v="1899-12-30T19:48:00"/>
    <x v="0"/>
    <n v="226.12"/>
    <n v="4.7619047620000003"/>
    <n v="11.305999999999999"/>
    <n v="5.5"/>
    <x v="1"/>
    <n v="3"/>
    <s v="Standard"/>
    <s v="Standard Order"/>
    <m/>
    <s v=""/>
    <m/>
    <m/>
    <s v=""/>
  </r>
  <r>
    <x v="409"/>
    <x v="1"/>
    <x v="1"/>
    <s v="Normal"/>
    <s v="Female"/>
    <x v="5"/>
    <n v="23.82"/>
    <n v="5"/>
    <n v="5.9550000000000001"/>
    <n v="125.05500000000001"/>
    <d v="2019-01-28T00:00:00"/>
    <d v="1899-12-30T19:24:00"/>
    <x v="0"/>
    <n v="119.1"/>
    <n v="4.7619047620000003"/>
    <n v="5.9550000000000001"/>
    <n v="5.4"/>
    <x v="0"/>
    <n v="1"/>
    <s v="Standard"/>
    <s v="Standard Order"/>
    <m/>
    <s v=""/>
    <m/>
    <m/>
    <s v=""/>
  </r>
  <r>
    <x v="410"/>
    <x v="2"/>
    <x v="2"/>
    <s v="Normal"/>
    <s v="Female"/>
    <x v="0"/>
    <n v="34.21"/>
    <n v="10"/>
    <n v="17.105"/>
    <n v="359.20499999999998"/>
    <d v="2019-01-02T00:00:00"/>
    <d v="1899-12-30T13:00:00"/>
    <x v="1"/>
    <n v="342.1"/>
    <n v="4.7619047620000003"/>
    <n v="17.105"/>
    <n v="5.0999999999999996"/>
    <x v="0"/>
    <n v="1"/>
    <s v="Standard"/>
    <s v="Standard Order"/>
    <m/>
    <s v=""/>
    <m/>
    <m/>
    <s v=""/>
  </r>
  <r>
    <x v="411"/>
    <x v="2"/>
    <x v="2"/>
    <s v="Normal"/>
    <s v="Male"/>
    <x v="3"/>
    <n v="21.87"/>
    <n v="2"/>
    <n v="2.1869999999999998"/>
    <n v="45.927"/>
    <d v="2019-01-25T00:00:00"/>
    <d v="1899-12-30T14:29:00"/>
    <x v="0"/>
    <n v="43.74"/>
    <n v="4.7619047620000003"/>
    <n v="2.1869999999999998"/>
    <n v="6.9"/>
    <x v="0"/>
    <n v="1"/>
    <s v="Standard"/>
    <s v="Standard Order"/>
    <m/>
    <s v=""/>
    <m/>
    <m/>
    <s v=""/>
  </r>
  <r>
    <x v="412"/>
    <x v="0"/>
    <x v="0"/>
    <s v="Member"/>
    <s v="Male"/>
    <x v="0"/>
    <n v="20.97"/>
    <n v="5"/>
    <n v="5.2424999999999997"/>
    <n v="110.0925"/>
    <d v="2019-01-04T00:00:00"/>
    <d v="1899-12-30T13:21:00"/>
    <x v="1"/>
    <n v="104.85"/>
    <n v="4.7619047620000003"/>
    <n v="5.2424999999999997"/>
    <n v="7.8"/>
    <x v="0"/>
    <n v="1"/>
    <s v="Standard"/>
    <s v="Standard Order"/>
    <m/>
    <s v=""/>
    <m/>
    <m/>
    <s v=""/>
  </r>
  <r>
    <x v="413"/>
    <x v="0"/>
    <x v="0"/>
    <s v="Normal"/>
    <s v="Male"/>
    <x v="3"/>
    <n v="25.84"/>
    <n v="3"/>
    <n v="3.8759999999999999"/>
    <n v="81.396000000000001"/>
    <d v="2019-03-10T00:00:00"/>
    <d v="1899-12-30T18:55:00"/>
    <x v="0"/>
    <n v="77.52"/>
    <n v="4.7619047620000003"/>
    <n v="3.8759999999999999"/>
    <n v="6.6"/>
    <x v="1"/>
    <n v="3"/>
    <s v="Standard"/>
    <s v="Standard Order"/>
    <m/>
    <s v=""/>
    <m/>
    <m/>
    <s v=""/>
  </r>
  <r>
    <x v="414"/>
    <x v="0"/>
    <x v="0"/>
    <s v="Normal"/>
    <s v="Male"/>
    <x v="2"/>
    <n v="50.93"/>
    <n v="8"/>
    <n v="20.372"/>
    <n v="427.81200000000001"/>
    <d v="2019-03-22T00:00:00"/>
    <d v="1899-12-30T19:36:00"/>
    <x v="0"/>
    <n v="407.44"/>
    <n v="4.7619047620000003"/>
    <n v="20.372"/>
    <n v="9.1999999999999993"/>
    <x v="1"/>
    <n v="3"/>
    <s v="Standard"/>
    <s v="Standard Order"/>
    <m/>
    <s v=""/>
    <m/>
    <m/>
    <s v=""/>
  </r>
  <r>
    <x v="415"/>
    <x v="2"/>
    <x v="2"/>
    <s v="Normal"/>
    <s v="Male"/>
    <x v="0"/>
    <n v="96.11"/>
    <n v="1"/>
    <n v="4.8055000000000003"/>
    <n v="100.91549999999999"/>
    <d v="2019-01-25T00:00:00"/>
    <d v="1899-12-30T16:28:00"/>
    <x v="0"/>
    <n v="96.11"/>
    <n v="4.7619047620000003"/>
    <n v="4.8055000000000003"/>
    <n v="7.8"/>
    <x v="0"/>
    <n v="1"/>
    <s v="Standard"/>
    <s v="Standard Order"/>
    <m/>
    <s v=""/>
    <m/>
    <m/>
    <s v=""/>
  </r>
  <r>
    <x v="416"/>
    <x v="1"/>
    <x v="1"/>
    <s v="Normal"/>
    <s v="Female"/>
    <x v="2"/>
    <n v="45.38"/>
    <n v="4"/>
    <n v="9.0760000000000005"/>
    <n v="190.596"/>
    <d v="2019-01-08T00:00:00"/>
    <d v="1899-12-30T13:48:00"/>
    <x v="2"/>
    <n v="181.52"/>
    <n v="4.7619047620000003"/>
    <n v="9.0760000000000005"/>
    <n v="8.6999999999999993"/>
    <x v="0"/>
    <n v="1"/>
    <s v="Standard"/>
    <s v="Standard Order"/>
    <m/>
    <s v=""/>
    <m/>
    <m/>
    <s v=""/>
  </r>
  <r>
    <x v="417"/>
    <x v="1"/>
    <x v="1"/>
    <s v="Member"/>
    <s v="Female"/>
    <x v="0"/>
    <n v="81.510000000000005"/>
    <n v="1"/>
    <n v="4.0754999999999999"/>
    <n v="85.585499999999996"/>
    <d v="2019-01-22T00:00:00"/>
    <d v="1899-12-30T10:57:00"/>
    <x v="0"/>
    <n v="81.510000000000005"/>
    <n v="4.7619047620000003"/>
    <n v="4.0754999999999999"/>
    <n v="9.1999999999999993"/>
    <x v="0"/>
    <n v="1"/>
    <s v="Standard"/>
    <s v="Standard Order"/>
    <m/>
    <s v=""/>
    <m/>
    <m/>
    <s v=""/>
  </r>
  <r>
    <x v="418"/>
    <x v="2"/>
    <x v="2"/>
    <s v="Normal"/>
    <s v="Female"/>
    <x v="0"/>
    <n v="57.22"/>
    <n v="2"/>
    <n v="5.7220000000000004"/>
    <n v="120.16200000000001"/>
    <d v="2019-01-12T00:00:00"/>
    <d v="1899-12-30T17:13:00"/>
    <x v="0"/>
    <n v="114.44"/>
    <n v="4.7619047620000003"/>
    <n v="5.7220000000000004"/>
    <n v="8.3000000000000007"/>
    <x v="0"/>
    <n v="1"/>
    <s v="Standard"/>
    <s v="Standard Order"/>
    <m/>
    <s v=""/>
    <m/>
    <m/>
    <s v=""/>
  </r>
  <r>
    <x v="419"/>
    <x v="0"/>
    <x v="0"/>
    <s v="Member"/>
    <s v="Female"/>
    <x v="1"/>
    <n v="25.22"/>
    <n v="7"/>
    <n v="8.827"/>
    <n v="185.36699999999999"/>
    <d v="2019-02-04T00:00:00"/>
    <d v="1899-12-30T10:23:00"/>
    <x v="1"/>
    <n v="176.54"/>
    <n v="4.7619047620000003"/>
    <n v="8.827"/>
    <n v="8.1999999999999993"/>
    <x v="2"/>
    <n v="2"/>
    <s v="Standard"/>
    <s v="Standard Order"/>
    <m/>
    <s v=""/>
    <m/>
    <m/>
    <s v=""/>
  </r>
  <r>
    <x v="420"/>
    <x v="1"/>
    <x v="1"/>
    <s v="Member"/>
    <s v="Female"/>
    <x v="4"/>
    <n v="38.6"/>
    <n v="3"/>
    <n v="5.79"/>
    <n v="121.59"/>
    <d v="2019-03-28T00:00:00"/>
    <d v="1899-12-30T13:57:00"/>
    <x v="0"/>
    <n v="115.8"/>
    <n v="4.7619047620000003"/>
    <n v="5.79"/>
    <n v="7.5"/>
    <x v="1"/>
    <n v="3"/>
    <s v="Standard"/>
    <s v="Standard Order"/>
    <m/>
    <s v=""/>
    <m/>
    <m/>
    <s v=""/>
  </r>
  <r>
    <x v="421"/>
    <x v="1"/>
    <x v="1"/>
    <s v="Normal"/>
    <s v="Female"/>
    <x v="1"/>
    <n v="84.05"/>
    <n v="3"/>
    <n v="12.6075"/>
    <n v="264.75749999999999"/>
    <d v="2019-01-23T00:00:00"/>
    <d v="1899-12-30T13:29:00"/>
    <x v="1"/>
    <n v="252.15"/>
    <n v="4.7619047620000003"/>
    <n v="12.6075"/>
    <n v="9.8000000000000007"/>
    <x v="0"/>
    <n v="1"/>
    <s v="Standard"/>
    <s v="Standard Order"/>
    <m/>
    <s v=""/>
    <m/>
    <m/>
    <s v=""/>
  </r>
  <r>
    <x v="422"/>
    <x v="1"/>
    <x v="1"/>
    <s v="Member"/>
    <s v="Female"/>
    <x v="5"/>
    <n v="97.21"/>
    <n v="10"/>
    <n v="48.604999999999997"/>
    <n v="1020.705"/>
    <d v="2019-02-08T00:00:00"/>
    <d v="1899-12-30T13:00:00"/>
    <x v="2"/>
    <n v="972.1"/>
    <n v="4.7619047620000003"/>
    <n v="48.604999999999997"/>
    <n v="8.6999999999999993"/>
    <x v="2"/>
    <n v="2"/>
    <s v="High Value"/>
    <s v="High Value Order"/>
    <m/>
    <s v=""/>
    <m/>
    <m/>
    <s v=""/>
  </r>
  <r>
    <x v="423"/>
    <x v="2"/>
    <x v="2"/>
    <s v="Member"/>
    <s v="Male"/>
    <x v="5"/>
    <n v="25.42"/>
    <n v="8"/>
    <n v="10.167999999999999"/>
    <n v="213.52799999999999"/>
    <d v="2019-03-19T00:00:00"/>
    <d v="1899-12-30T19:42:00"/>
    <x v="2"/>
    <n v="203.36"/>
    <n v="4.7619047620000003"/>
    <n v="10.167999999999999"/>
    <n v="6.7"/>
    <x v="1"/>
    <n v="3"/>
    <s v="Standard"/>
    <s v="Standard Order"/>
    <m/>
    <s v=""/>
    <m/>
    <m/>
    <s v=""/>
  </r>
  <r>
    <x v="424"/>
    <x v="1"/>
    <x v="1"/>
    <s v="Normal"/>
    <s v="Male"/>
    <x v="5"/>
    <n v="16.28"/>
    <n v="1"/>
    <n v="0.81399999999999995"/>
    <n v="17.094000000000001"/>
    <d v="2019-03-09T00:00:00"/>
    <d v="1899-12-30T15:36:00"/>
    <x v="1"/>
    <n v="16.28"/>
    <n v="4.7619047620000003"/>
    <n v="0.81399999999999995"/>
    <n v="5"/>
    <x v="1"/>
    <n v="3"/>
    <s v="Standard"/>
    <s v="Standard Order"/>
    <m/>
    <s v=""/>
    <m/>
    <m/>
    <s v=""/>
  </r>
  <r>
    <x v="425"/>
    <x v="2"/>
    <x v="2"/>
    <s v="Member"/>
    <s v="Male"/>
    <x v="5"/>
    <n v="40.61"/>
    <n v="9"/>
    <n v="18.2745"/>
    <n v="383.7645"/>
    <d v="2019-01-02T00:00:00"/>
    <d v="1899-12-30T13:40:00"/>
    <x v="1"/>
    <n v="365.49"/>
    <n v="4.7619047620000003"/>
    <n v="18.2745"/>
    <n v="7"/>
    <x v="0"/>
    <n v="1"/>
    <s v="Standard"/>
    <s v="Standard Order"/>
    <m/>
    <s v=""/>
    <m/>
    <m/>
    <s v=""/>
  </r>
  <r>
    <x v="426"/>
    <x v="0"/>
    <x v="0"/>
    <s v="Member"/>
    <s v="Male"/>
    <x v="0"/>
    <n v="53.17"/>
    <n v="7"/>
    <n v="18.609500000000001"/>
    <n v="390.79950000000002"/>
    <d v="2019-01-21T00:00:00"/>
    <d v="1899-12-30T18:01:00"/>
    <x v="1"/>
    <n v="372.19"/>
    <n v="4.7619047620000003"/>
    <n v="18.609500000000001"/>
    <n v="8.9"/>
    <x v="0"/>
    <n v="1"/>
    <s v="Standard"/>
    <s v="Standard Order"/>
    <m/>
    <s v=""/>
    <m/>
    <m/>
    <s v=""/>
  </r>
  <r>
    <x v="427"/>
    <x v="2"/>
    <x v="2"/>
    <s v="Member"/>
    <s v="Female"/>
    <x v="4"/>
    <n v="20.87"/>
    <n v="3"/>
    <n v="3.1305000000000001"/>
    <n v="65.740499999999997"/>
    <d v="2019-03-20T00:00:00"/>
    <d v="1899-12-30T13:53:00"/>
    <x v="2"/>
    <n v="62.61"/>
    <n v="4.7619047620000003"/>
    <n v="3.1305000000000001"/>
    <n v="8"/>
    <x v="1"/>
    <n v="3"/>
    <s v="Standard"/>
    <s v="Standard Order"/>
    <m/>
    <s v=""/>
    <m/>
    <m/>
    <s v=""/>
  </r>
  <r>
    <x v="428"/>
    <x v="2"/>
    <x v="2"/>
    <s v="Normal"/>
    <s v="Male"/>
    <x v="3"/>
    <n v="67.27"/>
    <n v="5"/>
    <n v="16.817499999999999"/>
    <n v="353.16750000000002"/>
    <d v="2019-02-27T00:00:00"/>
    <d v="1899-12-30T17:27:00"/>
    <x v="1"/>
    <n v="336.35"/>
    <n v="4.7619047620000003"/>
    <n v="16.817499999999999"/>
    <n v="6.9"/>
    <x v="2"/>
    <n v="2"/>
    <s v="Standard"/>
    <s v="Standard Order"/>
    <m/>
    <s v=""/>
    <m/>
    <m/>
    <s v=""/>
  </r>
  <r>
    <x v="429"/>
    <x v="0"/>
    <x v="0"/>
    <s v="Member"/>
    <s v="Female"/>
    <x v="2"/>
    <n v="90.65"/>
    <n v="10"/>
    <n v="45.325000000000003"/>
    <n v="951.82500000000005"/>
    <d v="2019-03-08T00:00:00"/>
    <d v="1899-12-30T10:53:00"/>
    <x v="0"/>
    <n v="906.5"/>
    <n v="4.7619047620000003"/>
    <n v="45.325000000000003"/>
    <n v="7.3"/>
    <x v="1"/>
    <n v="3"/>
    <s v="High Value"/>
    <s v="High Value Order"/>
    <m/>
    <s v=""/>
    <m/>
    <m/>
    <s v=""/>
  </r>
  <r>
    <x v="430"/>
    <x v="2"/>
    <x v="2"/>
    <s v="Normal"/>
    <s v="Male"/>
    <x v="5"/>
    <n v="69.08"/>
    <n v="2"/>
    <n v="6.9080000000000004"/>
    <n v="145.06800000000001"/>
    <d v="2019-01-31T00:00:00"/>
    <d v="1899-12-30T19:48:00"/>
    <x v="2"/>
    <n v="138.16"/>
    <n v="4.7619047620000003"/>
    <n v="6.9080000000000004"/>
    <n v="6.9"/>
    <x v="0"/>
    <n v="1"/>
    <s v="Standard"/>
    <s v="Standard Order"/>
    <m/>
    <s v=""/>
    <m/>
    <m/>
    <s v=""/>
  </r>
  <r>
    <x v="431"/>
    <x v="1"/>
    <x v="1"/>
    <s v="Normal"/>
    <s v="Male"/>
    <x v="4"/>
    <n v="43.27"/>
    <n v="2"/>
    <n v="4.327"/>
    <n v="90.867000000000004"/>
    <d v="2019-03-08T00:00:00"/>
    <d v="1899-12-30T16:53:00"/>
    <x v="0"/>
    <n v="86.54"/>
    <n v="4.7619047620000003"/>
    <n v="4.327"/>
    <n v="5.7"/>
    <x v="1"/>
    <n v="3"/>
    <s v="Standard"/>
    <s v="Standard Order"/>
    <m/>
    <s v=""/>
    <m/>
    <m/>
    <s v=""/>
  </r>
  <r>
    <x v="432"/>
    <x v="0"/>
    <x v="0"/>
    <s v="Normal"/>
    <s v="Female"/>
    <x v="1"/>
    <n v="23.46"/>
    <n v="6"/>
    <n v="7.0380000000000003"/>
    <n v="147.798"/>
    <d v="2019-01-13T00:00:00"/>
    <d v="1899-12-30T19:14:00"/>
    <x v="0"/>
    <n v="140.76"/>
    <n v="4.7619047620000003"/>
    <n v="7.0380000000000003"/>
    <n v="6.4"/>
    <x v="0"/>
    <n v="1"/>
    <s v="Standard"/>
    <s v="Standard Order"/>
    <m/>
    <s v=""/>
    <m/>
    <m/>
    <s v=""/>
  </r>
  <r>
    <x v="433"/>
    <x v="2"/>
    <x v="2"/>
    <s v="Normal"/>
    <s v="Male"/>
    <x v="5"/>
    <n v="95.54"/>
    <n v="7"/>
    <n v="33.439"/>
    <n v="702.21900000000005"/>
    <d v="2019-03-09T00:00:00"/>
    <d v="1899-12-30T14:36:00"/>
    <x v="2"/>
    <n v="668.78"/>
    <n v="4.7619047620000003"/>
    <n v="33.439"/>
    <n v="9.6"/>
    <x v="1"/>
    <n v="3"/>
    <s v="High Value"/>
    <s v="High Value Order"/>
    <m/>
    <s v=""/>
    <m/>
    <m/>
    <s v=""/>
  </r>
  <r>
    <x v="434"/>
    <x v="2"/>
    <x v="2"/>
    <s v="Normal"/>
    <s v="Female"/>
    <x v="5"/>
    <n v="47.44"/>
    <n v="1"/>
    <n v="2.3719999999999999"/>
    <n v="49.811999999999998"/>
    <d v="2019-02-22T00:00:00"/>
    <d v="1899-12-30T18:19:00"/>
    <x v="2"/>
    <n v="47.44"/>
    <n v="4.7619047620000003"/>
    <n v="2.3719999999999999"/>
    <n v="6.8"/>
    <x v="2"/>
    <n v="2"/>
    <s v="Standard"/>
    <s v="Standard Order"/>
    <m/>
    <s v=""/>
    <m/>
    <m/>
    <s v=""/>
  </r>
  <r>
    <x v="435"/>
    <x v="1"/>
    <x v="1"/>
    <s v="Normal"/>
    <s v="Male"/>
    <x v="3"/>
    <n v="99.24"/>
    <n v="9"/>
    <n v="44.658000000000001"/>
    <n v="937.81799999999998"/>
    <d v="2019-03-19T00:00:00"/>
    <d v="1899-12-30T19:09:00"/>
    <x v="0"/>
    <n v="893.16"/>
    <n v="4.7619047620000003"/>
    <n v="44.658000000000001"/>
    <n v="9"/>
    <x v="1"/>
    <n v="3"/>
    <s v="High Value"/>
    <s v="High Value Order"/>
    <m/>
    <s v=""/>
    <m/>
    <m/>
    <s v=""/>
  </r>
  <r>
    <x v="436"/>
    <x v="1"/>
    <x v="1"/>
    <s v="Member"/>
    <s v="Male"/>
    <x v="3"/>
    <n v="82.93"/>
    <n v="4"/>
    <n v="16.585999999999999"/>
    <n v="348.30599999999998"/>
    <d v="2019-01-20T00:00:00"/>
    <d v="1899-12-30T16:51:00"/>
    <x v="0"/>
    <n v="331.72"/>
    <n v="4.7619047620000003"/>
    <n v="16.585999999999999"/>
    <n v="9.6"/>
    <x v="0"/>
    <n v="1"/>
    <s v="Standard"/>
    <s v="Standard Order"/>
    <m/>
    <s v=""/>
    <m/>
    <m/>
    <s v=""/>
  </r>
  <r>
    <x v="437"/>
    <x v="0"/>
    <x v="0"/>
    <s v="Normal"/>
    <s v="Male"/>
    <x v="2"/>
    <n v="33.99"/>
    <n v="6"/>
    <n v="10.196999999999999"/>
    <n v="214.137"/>
    <d v="2019-03-08T00:00:00"/>
    <d v="1899-12-30T15:37:00"/>
    <x v="2"/>
    <n v="203.94"/>
    <n v="4.7619047620000003"/>
    <n v="10.196999999999999"/>
    <n v="7.7"/>
    <x v="1"/>
    <n v="3"/>
    <s v="Standard"/>
    <s v="Standard Order"/>
    <m/>
    <s v=""/>
    <m/>
    <m/>
    <s v=""/>
  </r>
  <r>
    <x v="438"/>
    <x v="1"/>
    <x v="1"/>
    <s v="Member"/>
    <s v="Male"/>
    <x v="4"/>
    <n v="17.04"/>
    <n v="4"/>
    <n v="3.4079999999999999"/>
    <n v="71.567999999999998"/>
    <d v="2019-03-08T00:00:00"/>
    <d v="1899-12-30T20:15:00"/>
    <x v="0"/>
    <n v="68.16"/>
    <n v="4.7619047620000003"/>
    <n v="3.4079999999999999"/>
    <n v="7"/>
    <x v="1"/>
    <n v="3"/>
    <s v="Standard"/>
    <s v="Standard Order"/>
    <m/>
    <s v=""/>
    <m/>
    <m/>
    <s v=""/>
  </r>
  <r>
    <x v="439"/>
    <x v="1"/>
    <x v="1"/>
    <s v="Normal"/>
    <s v="Female"/>
    <x v="1"/>
    <n v="40.86"/>
    <n v="8"/>
    <n v="16.344000000000001"/>
    <n v="343.22399999999999"/>
    <d v="2019-02-07T00:00:00"/>
    <d v="1899-12-30T14:38:00"/>
    <x v="2"/>
    <n v="326.88"/>
    <n v="4.7619047620000003"/>
    <n v="16.344000000000001"/>
    <n v="6.5"/>
    <x v="2"/>
    <n v="2"/>
    <s v="Standard"/>
    <s v="Standard Order"/>
    <m/>
    <s v=""/>
    <m/>
    <m/>
    <s v=""/>
  </r>
  <r>
    <x v="440"/>
    <x v="1"/>
    <x v="1"/>
    <s v="Member"/>
    <s v="Male"/>
    <x v="4"/>
    <n v="17.440000000000001"/>
    <n v="5"/>
    <n v="4.3600000000000003"/>
    <n v="91.56"/>
    <d v="2019-01-15T00:00:00"/>
    <d v="1899-12-30T19:25:00"/>
    <x v="1"/>
    <n v="87.2"/>
    <n v="4.7619047620000003"/>
    <n v="4.3600000000000003"/>
    <n v="8.1"/>
    <x v="0"/>
    <n v="1"/>
    <s v="Standard"/>
    <s v="Standard Order"/>
    <m/>
    <s v=""/>
    <m/>
    <m/>
    <s v=""/>
  </r>
  <r>
    <x v="441"/>
    <x v="2"/>
    <x v="2"/>
    <s v="Member"/>
    <s v="Female"/>
    <x v="3"/>
    <n v="88.43"/>
    <n v="8"/>
    <n v="35.372"/>
    <n v="742.81200000000001"/>
    <d v="2019-03-22T00:00:00"/>
    <d v="1899-12-30T19:35:00"/>
    <x v="2"/>
    <n v="707.44"/>
    <n v="4.7619047620000003"/>
    <n v="35.372"/>
    <n v="4.3"/>
    <x v="1"/>
    <n v="3"/>
    <s v="High Value"/>
    <s v="High Value Order"/>
    <m/>
    <s v=""/>
    <m/>
    <m/>
    <s v=""/>
  </r>
  <r>
    <x v="442"/>
    <x v="0"/>
    <x v="0"/>
    <s v="Member"/>
    <s v="Female"/>
    <x v="2"/>
    <n v="89.21"/>
    <n v="9"/>
    <n v="40.144500000000001"/>
    <n v="843.03449999999998"/>
    <d v="2019-01-15T00:00:00"/>
    <d v="1899-12-30T15:42:00"/>
    <x v="2"/>
    <n v="802.89"/>
    <n v="4.7619047620000003"/>
    <n v="40.144500000000001"/>
    <n v="6.5"/>
    <x v="0"/>
    <n v="1"/>
    <s v="High Value"/>
    <s v="High Value Order"/>
    <m/>
    <s v=""/>
    <m/>
    <m/>
    <s v=""/>
  </r>
  <r>
    <x v="443"/>
    <x v="1"/>
    <x v="1"/>
    <s v="Normal"/>
    <s v="Male"/>
    <x v="5"/>
    <n v="12.78"/>
    <n v="1"/>
    <n v="0.63900000000000001"/>
    <n v="13.419"/>
    <d v="2019-01-08T00:00:00"/>
    <d v="1899-12-30T14:11:00"/>
    <x v="0"/>
    <n v="12.78"/>
    <n v="4.7619047620000003"/>
    <n v="0.63900000000000001"/>
    <n v="9.5"/>
    <x v="0"/>
    <n v="1"/>
    <s v="Standard"/>
    <s v="Standard Order"/>
    <m/>
    <s v=""/>
    <m/>
    <m/>
    <s v=""/>
  </r>
  <r>
    <x v="444"/>
    <x v="0"/>
    <x v="0"/>
    <s v="Normal"/>
    <s v="Female"/>
    <x v="3"/>
    <n v="19.100000000000001"/>
    <n v="7"/>
    <n v="6.6849999999999996"/>
    <n v="140.38499999999999"/>
    <d v="2019-01-15T00:00:00"/>
    <d v="1899-12-30T10:43:00"/>
    <x v="1"/>
    <n v="133.69999999999999"/>
    <n v="4.7619047620000003"/>
    <n v="6.6849999999999996"/>
    <n v="9.6999999999999993"/>
    <x v="0"/>
    <n v="1"/>
    <s v="Standard"/>
    <s v="Standard Order"/>
    <m/>
    <s v=""/>
    <m/>
    <m/>
    <s v=""/>
  </r>
  <r>
    <x v="445"/>
    <x v="2"/>
    <x v="2"/>
    <s v="Member"/>
    <s v="Female"/>
    <x v="0"/>
    <n v="19.149999999999999"/>
    <n v="1"/>
    <n v="0.95750000000000002"/>
    <n v="20.107500000000002"/>
    <d v="2019-01-28T00:00:00"/>
    <d v="1899-12-30T17:58:00"/>
    <x v="2"/>
    <n v="19.149999999999999"/>
    <n v="4.7619047620000003"/>
    <n v="0.95750000000000002"/>
    <n v="9.5"/>
    <x v="0"/>
    <n v="1"/>
    <s v="Standard"/>
    <s v="Standard Order"/>
    <m/>
    <s v=""/>
    <m/>
    <m/>
    <s v=""/>
  </r>
  <r>
    <x v="446"/>
    <x v="1"/>
    <x v="1"/>
    <s v="Member"/>
    <s v="Male"/>
    <x v="4"/>
    <n v="27.66"/>
    <n v="10"/>
    <n v="13.83"/>
    <n v="290.43"/>
    <d v="2019-02-14T00:00:00"/>
    <d v="1899-12-30T11:26:00"/>
    <x v="2"/>
    <n v="276.60000000000002"/>
    <n v="4.7619047620000003"/>
    <n v="13.83"/>
    <n v="8.9"/>
    <x v="2"/>
    <n v="2"/>
    <s v="Standard"/>
    <s v="Standard Order"/>
    <m/>
    <s v=""/>
    <m/>
    <m/>
    <s v=""/>
  </r>
  <r>
    <x v="447"/>
    <x v="1"/>
    <x v="1"/>
    <s v="Normal"/>
    <s v="Male"/>
    <x v="5"/>
    <n v="45.74"/>
    <n v="3"/>
    <n v="6.8609999999999998"/>
    <n v="144.08099999999999"/>
    <d v="2019-03-10T00:00:00"/>
    <d v="1899-12-30T17:38:00"/>
    <x v="2"/>
    <n v="137.22"/>
    <n v="4.7619047620000003"/>
    <n v="6.8609999999999998"/>
    <n v="6.5"/>
    <x v="1"/>
    <n v="3"/>
    <s v="Standard"/>
    <s v="Standard Order"/>
    <m/>
    <s v=""/>
    <m/>
    <m/>
    <s v=""/>
  </r>
  <r>
    <x v="448"/>
    <x v="2"/>
    <x v="2"/>
    <s v="Member"/>
    <s v="Female"/>
    <x v="0"/>
    <n v="27.07"/>
    <n v="1"/>
    <n v="1.3534999999999999"/>
    <n v="28.423500000000001"/>
    <d v="2019-01-12T00:00:00"/>
    <d v="1899-12-30T20:07:00"/>
    <x v="2"/>
    <n v="27.07"/>
    <n v="4.7619047620000003"/>
    <n v="1.3534999999999999"/>
    <n v="5.3"/>
    <x v="0"/>
    <n v="1"/>
    <s v="Standard"/>
    <s v="Standard Order"/>
    <m/>
    <s v=""/>
    <m/>
    <m/>
    <s v=""/>
  </r>
  <r>
    <x v="449"/>
    <x v="2"/>
    <x v="2"/>
    <s v="Member"/>
    <s v="Female"/>
    <x v="3"/>
    <n v="39.119999999999997"/>
    <n v="1"/>
    <n v="1.956"/>
    <n v="41.076000000000001"/>
    <d v="2019-03-26T00:00:00"/>
    <d v="1899-12-30T11:02:00"/>
    <x v="2"/>
    <n v="39.119999999999997"/>
    <n v="4.7619047620000003"/>
    <n v="1.956"/>
    <n v="9.6"/>
    <x v="1"/>
    <n v="3"/>
    <s v="Standard"/>
    <s v="Standard Order"/>
    <m/>
    <s v=""/>
    <m/>
    <m/>
    <s v=""/>
  </r>
  <r>
    <x v="450"/>
    <x v="2"/>
    <x v="2"/>
    <s v="Normal"/>
    <s v="Female"/>
    <x v="1"/>
    <n v="74.709999999999994"/>
    <n v="6"/>
    <n v="22.413"/>
    <n v="470.673"/>
    <d v="2019-01-01T00:00:00"/>
    <d v="1899-12-30T19:07:00"/>
    <x v="1"/>
    <n v="448.26"/>
    <n v="4.7619047620000003"/>
    <n v="22.413"/>
    <n v="6.7"/>
    <x v="0"/>
    <n v="1"/>
    <s v="Standard"/>
    <s v="Standard Order"/>
    <m/>
    <s v=""/>
    <m/>
    <m/>
    <s v=""/>
  </r>
  <r>
    <x v="451"/>
    <x v="2"/>
    <x v="2"/>
    <s v="Normal"/>
    <s v="Male"/>
    <x v="1"/>
    <n v="22.01"/>
    <n v="6"/>
    <n v="6.6029999999999998"/>
    <n v="138.66300000000001"/>
    <d v="2019-01-02T00:00:00"/>
    <d v="1899-12-30T18:50:00"/>
    <x v="1"/>
    <n v="132.06"/>
    <n v="4.7619047620000003"/>
    <n v="6.6029999999999998"/>
    <n v="7.6"/>
    <x v="0"/>
    <n v="1"/>
    <s v="Standard"/>
    <s v="Standard Order"/>
    <m/>
    <s v=""/>
    <m/>
    <m/>
    <s v=""/>
  </r>
  <r>
    <x v="452"/>
    <x v="0"/>
    <x v="0"/>
    <s v="Normal"/>
    <s v="Female"/>
    <x v="4"/>
    <n v="63.61"/>
    <n v="5"/>
    <n v="15.9025"/>
    <n v="333.95249999999999"/>
    <d v="2019-03-16T00:00:00"/>
    <d v="1899-12-30T12:43:00"/>
    <x v="0"/>
    <n v="318.05"/>
    <n v="4.7619047620000003"/>
    <n v="15.9025"/>
    <n v="4.8"/>
    <x v="1"/>
    <n v="3"/>
    <s v="Standard"/>
    <s v="Standard Order"/>
    <m/>
    <s v=""/>
    <m/>
    <m/>
    <s v=""/>
  </r>
  <r>
    <x v="453"/>
    <x v="0"/>
    <x v="0"/>
    <s v="Normal"/>
    <s v="Male"/>
    <x v="0"/>
    <n v="25"/>
    <n v="1"/>
    <n v="1.25"/>
    <n v="26.25"/>
    <d v="2019-03-03T00:00:00"/>
    <d v="1899-12-30T15:09:00"/>
    <x v="0"/>
    <n v="25"/>
    <n v="4.7619047620000003"/>
    <n v="1.25"/>
    <n v="5.5"/>
    <x v="1"/>
    <n v="3"/>
    <s v="Standard"/>
    <s v="Standard Order"/>
    <m/>
    <s v=""/>
    <m/>
    <m/>
    <s v=""/>
  </r>
  <r>
    <x v="454"/>
    <x v="0"/>
    <x v="0"/>
    <s v="Member"/>
    <s v="Male"/>
    <x v="1"/>
    <n v="20.77"/>
    <n v="4"/>
    <n v="4.1539999999999999"/>
    <n v="87.233999999999995"/>
    <d v="2019-01-31T00:00:00"/>
    <d v="1899-12-30T13:47:00"/>
    <x v="1"/>
    <n v="83.08"/>
    <n v="4.7619047620000003"/>
    <n v="4.1539999999999999"/>
    <n v="4.7"/>
    <x v="0"/>
    <n v="1"/>
    <s v="Standard"/>
    <s v="Standard Order"/>
    <m/>
    <s v=""/>
    <m/>
    <m/>
    <s v=""/>
  </r>
  <r>
    <x v="455"/>
    <x v="2"/>
    <x v="2"/>
    <s v="Member"/>
    <s v="Female"/>
    <x v="5"/>
    <n v="29.56"/>
    <n v="5"/>
    <n v="7.39"/>
    <n v="155.19"/>
    <d v="2019-02-13T00:00:00"/>
    <d v="1899-12-30T16:59:00"/>
    <x v="1"/>
    <n v="147.80000000000001"/>
    <n v="4.7619047620000003"/>
    <n v="7.39"/>
    <n v="6.9"/>
    <x v="2"/>
    <n v="2"/>
    <s v="Standard"/>
    <s v="Standard Order"/>
    <m/>
    <s v=""/>
    <m/>
    <m/>
    <s v=""/>
  </r>
  <r>
    <x v="456"/>
    <x v="2"/>
    <x v="2"/>
    <s v="Member"/>
    <s v="Female"/>
    <x v="4"/>
    <n v="77.400000000000006"/>
    <n v="9"/>
    <n v="34.83"/>
    <n v="731.43"/>
    <d v="2019-02-15T00:00:00"/>
    <d v="1899-12-30T14:15:00"/>
    <x v="2"/>
    <n v="696.6"/>
    <n v="4.7619047620000003"/>
    <n v="34.83"/>
    <n v="4.5"/>
    <x v="2"/>
    <n v="2"/>
    <s v="High Value"/>
    <s v="High Value Order"/>
    <m/>
    <s v=""/>
    <m/>
    <m/>
    <s v=""/>
  </r>
  <r>
    <x v="457"/>
    <x v="2"/>
    <x v="2"/>
    <s v="Normal"/>
    <s v="Male"/>
    <x v="1"/>
    <n v="79.39"/>
    <n v="10"/>
    <n v="39.695"/>
    <n v="833.59500000000003"/>
    <d v="2019-02-07T00:00:00"/>
    <d v="1899-12-30T20:24:00"/>
    <x v="1"/>
    <n v="793.9"/>
    <n v="4.7619047620000003"/>
    <n v="39.695"/>
    <n v="6.2"/>
    <x v="2"/>
    <n v="2"/>
    <s v="High Value"/>
    <s v="High Value Order"/>
    <m/>
    <s v=""/>
    <m/>
    <m/>
    <s v=""/>
  </r>
  <r>
    <x v="458"/>
    <x v="1"/>
    <x v="1"/>
    <s v="Member"/>
    <s v="Female"/>
    <x v="1"/>
    <n v="46.57"/>
    <n v="10"/>
    <n v="23.285"/>
    <n v="488.98500000000001"/>
    <d v="2019-01-27T00:00:00"/>
    <d v="1899-12-30T13:58:00"/>
    <x v="1"/>
    <n v="465.7"/>
    <n v="4.7619047620000003"/>
    <n v="23.285"/>
    <n v="7.6"/>
    <x v="0"/>
    <n v="1"/>
    <s v="Standard"/>
    <s v="Standard Order"/>
    <m/>
    <s v=""/>
    <m/>
    <m/>
    <s v=""/>
  </r>
  <r>
    <x v="459"/>
    <x v="1"/>
    <x v="1"/>
    <s v="Normal"/>
    <s v="Male"/>
    <x v="4"/>
    <n v="35.89"/>
    <n v="1"/>
    <n v="1.7945"/>
    <n v="37.6845"/>
    <d v="2019-02-23T00:00:00"/>
    <d v="1899-12-30T16:52:00"/>
    <x v="2"/>
    <n v="35.89"/>
    <n v="4.7619047620000003"/>
    <n v="1.7945"/>
    <n v="7.9"/>
    <x v="2"/>
    <n v="2"/>
    <s v="Standard"/>
    <s v="Standard Order"/>
    <m/>
    <s v=""/>
    <m/>
    <m/>
    <s v=""/>
  </r>
  <r>
    <x v="460"/>
    <x v="1"/>
    <x v="1"/>
    <s v="Normal"/>
    <s v="Male"/>
    <x v="4"/>
    <n v="40.520000000000003"/>
    <n v="5"/>
    <n v="10.130000000000001"/>
    <n v="212.73"/>
    <d v="2019-02-03T00:00:00"/>
    <d v="1899-12-30T15:19:00"/>
    <x v="1"/>
    <n v="202.6"/>
    <n v="4.7619047620000003"/>
    <n v="10.130000000000001"/>
    <n v="4.5"/>
    <x v="2"/>
    <n v="2"/>
    <s v="Standard"/>
    <s v="Standard Order"/>
    <m/>
    <s v=""/>
    <m/>
    <m/>
    <s v=""/>
  </r>
  <r>
    <x v="461"/>
    <x v="2"/>
    <x v="2"/>
    <s v="Member"/>
    <s v="Female"/>
    <x v="4"/>
    <n v="73.05"/>
    <n v="10"/>
    <n v="36.524999999999999"/>
    <n v="767.02499999999998"/>
    <d v="2019-03-03T00:00:00"/>
    <d v="1899-12-30T12:25:00"/>
    <x v="2"/>
    <n v="730.5"/>
    <n v="4.7619047620000003"/>
    <n v="36.524999999999999"/>
    <n v="8.6999999999999993"/>
    <x v="1"/>
    <n v="3"/>
    <s v="High Value"/>
    <s v="High Value Order"/>
    <m/>
    <s v=""/>
    <m/>
    <m/>
    <s v=""/>
  </r>
  <r>
    <x v="462"/>
    <x v="1"/>
    <x v="1"/>
    <s v="Normal"/>
    <s v="Female"/>
    <x v="3"/>
    <n v="73.95"/>
    <n v="4"/>
    <n v="14.79"/>
    <n v="310.58999999999997"/>
    <d v="2019-02-03T00:00:00"/>
    <d v="1899-12-30T10:02:00"/>
    <x v="1"/>
    <n v="295.8"/>
    <n v="4.7619047620000003"/>
    <n v="14.79"/>
    <n v="6.1"/>
    <x v="2"/>
    <n v="2"/>
    <s v="Standard"/>
    <s v="Standard Order"/>
    <m/>
    <s v=""/>
    <m/>
    <m/>
    <s v=""/>
  </r>
  <r>
    <x v="463"/>
    <x v="1"/>
    <x v="1"/>
    <s v="Member"/>
    <s v="Female"/>
    <x v="4"/>
    <n v="22.62"/>
    <n v="1"/>
    <n v="1.131"/>
    <n v="23.751000000000001"/>
    <d v="2019-03-17T00:00:00"/>
    <d v="1899-12-30T18:58:00"/>
    <x v="1"/>
    <n v="22.62"/>
    <n v="4.7619047620000003"/>
    <n v="1.131"/>
    <n v="6.4"/>
    <x v="1"/>
    <n v="3"/>
    <s v="Standard"/>
    <s v="Standard Order"/>
    <m/>
    <s v=""/>
    <m/>
    <m/>
    <s v=""/>
  </r>
  <r>
    <x v="464"/>
    <x v="0"/>
    <x v="0"/>
    <s v="Member"/>
    <s v="Male"/>
    <x v="4"/>
    <n v="51.34"/>
    <n v="5"/>
    <n v="12.835000000000001"/>
    <n v="269.53500000000003"/>
    <d v="2019-03-28T00:00:00"/>
    <d v="1899-12-30T15:31:00"/>
    <x v="2"/>
    <n v="256.7"/>
    <n v="4.7619047620000003"/>
    <n v="12.835000000000001"/>
    <n v="9.1"/>
    <x v="1"/>
    <n v="3"/>
    <s v="Standard"/>
    <s v="Standard Order"/>
    <m/>
    <s v=""/>
    <m/>
    <m/>
    <s v=""/>
  </r>
  <r>
    <x v="465"/>
    <x v="1"/>
    <x v="1"/>
    <s v="Member"/>
    <s v="Female"/>
    <x v="3"/>
    <n v="54.55"/>
    <n v="10"/>
    <n v="27.274999999999999"/>
    <n v="572.77499999999998"/>
    <d v="2019-03-02T00:00:00"/>
    <d v="1899-12-30T11:22:00"/>
    <x v="2"/>
    <n v="545.5"/>
    <n v="4.7619047620000003"/>
    <n v="27.274999999999999"/>
    <n v="7.1"/>
    <x v="1"/>
    <n v="3"/>
    <s v="High Value"/>
    <s v="High Value Order"/>
    <m/>
    <s v=""/>
    <m/>
    <m/>
    <s v=""/>
  </r>
  <r>
    <x v="466"/>
    <x v="1"/>
    <x v="1"/>
    <s v="Member"/>
    <s v="Female"/>
    <x v="0"/>
    <n v="37.15"/>
    <n v="7"/>
    <n v="13.0025"/>
    <n v="273.05250000000001"/>
    <d v="2019-02-08T00:00:00"/>
    <d v="1899-12-30T13:12:00"/>
    <x v="2"/>
    <n v="260.05"/>
    <n v="4.7619047620000003"/>
    <n v="13.0025"/>
    <n v="7.7"/>
    <x v="2"/>
    <n v="2"/>
    <s v="Standard"/>
    <s v="Standard Order"/>
    <m/>
    <s v=""/>
    <m/>
    <m/>
    <s v=""/>
  </r>
  <r>
    <x v="467"/>
    <x v="2"/>
    <x v="2"/>
    <s v="Normal"/>
    <s v="Male"/>
    <x v="3"/>
    <n v="37.020000000000003"/>
    <n v="6"/>
    <n v="11.106"/>
    <n v="233.226"/>
    <d v="2019-03-22T00:00:00"/>
    <d v="1899-12-30T18:33:00"/>
    <x v="1"/>
    <n v="222.12"/>
    <n v="4.7619047620000003"/>
    <n v="11.106"/>
    <n v="4.5"/>
    <x v="1"/>
    <n v="3"/>
    <s v="Standard"/>
    <s v="Standard Order"/>
    <m/>
    <s v=""/>
    <m/>
    <m/>
    <s v=""/>
  </r>
  <r>
    <x v="468"/>
    <x v="1"/>
    <x v="1"/>
    <s v="Normal"/>
    <s v="Male"/>
    <x v="4"/>
    <n v="21.58"/>
    <n v="1"/>
    <n v="1.079"/>
    <n v="22.658999999999999"/>
    <d v="2019-02-09T00:00:00"/>
    <d v="1899-12-30T10:02:00"/>
    <x v="0"/>
    <n v="21.58"/>
    <n v="4.7619047620000003"/>
    <n v="1.079"/>
    <n v="7.2"/>
    <x v="2"/>
    <n v="2"/>
    <s v="Standard"/>
    <s v="Standard Order"/>
    <m/>
    <s v=""/>
    <m/>
    <m/>
    <s v=""/>
  </r>
  <r>
    <x v="469"/>
    <x v="1"/>
    <x v="1"/>
    <s v="Member"/>
    <s v="Female"/>
    <x v="1"/>
    <n v="98.84"/>
    <n v="1"/>
    <n v="4.9420000000000002"/>
    <n v="103.782"/>
    <d v="2019-02-15T00:00:00"/>
    <d v="1899-12-30T11:21:00"/>
    <x v="1"/>
    <n v="98.84"/>
    <n v="4.7619047620000003"/>
    <n v="4.9420000000000002"/>
    <n v="8.4"/>
    <x v="2"/>
    <n v="2"/>
    <s v="Standard"/>
    <s v="Standard Order"/>
    <m/>
    <s v=""/>
    <m/>
    <m/>
    <s v=""/>
  </r>
  <r>
    <x v="470"/>
    <x v="1"/>
    <x v="1"/>
    <s v="Member"/>
    <s v="Female"/>
    <x v="2"/>
    <n v="83.77"/>
    <n v="6"/>
    <n v="25.131"/>
    <n v="527.75099999999998"/>
    <d v="2019-01-23T00:00:00"/>
    <d v="1899-12-30T12:10:00"/>
    <x v="0"/>
    <n v="502.62"/>
    <n v="4.7619047620000003"/>
    <n v="25.131"/>
    <n v="5.4"/>
    <x v="0"/>
    <n v="1"/>
    <s v="High Value"/>
    <s v="High Value Order"/>
    <m/>
    <s v=""/>
    <m/>
    <m/>
    <s v=""/>
  </r>
  <r>
    <x v="471"/>
    <x v="0"/>
    <x v="0"/>
    <s v="Member"/>
    <s v="Female"/>
    <x v="3"/>
    <n v="40.049999999999997"/>
    <n v="4"/>
    <n v="8.01"/>
    <n v="168.21"/>
    <d v="2019-01-25T00:00:00"/>
    <d v="1899-12-30T11:40:00"/>
    <x v="1"/>
    <n v="160.19999999999999"/>
    <n v="4.7619047620000003"/>
    <n v="8.01"/>
    <n v="9.6999999999999993"/>
    <x v="0"/>
    <n v="1"/>
    <s v="Standard"/>
    <s v="Standard Order"/>
    <m/>
    <s v=""/>
    <m/>
    <m/>
    <s v=""/>
  </r>
  <r>
    <x v="472"/>
    <x v="0"/>
    <x v="0"/>
    <s v="Member"/>
    <s v="Male"/>
    <x v="5"/>
    <n v="43.13"/>
    <n v="10"/>
    <n v="21.565000000000001"/>
    <n v="452.86500000000001"/>
    <d v="2019-02-02T00:00:00"/>
    <d v="1899-12-30T18:31:00"/>
    <x v="2"/>
    <n v="431.3"/>
    <n v="4.7619047620000003"/>
    <n v="21.565000000000001"/>
    <n v="5.5"/>
    <x v="2"/>
    <n v="2"/>
    <s v="Standard"/>
    <s v="Standard Order"/>
    <m/>
    <s v=""/>
    <m/>
    <m/>
    <s v=""/>
  </r>
  <r>
    <x v="473"/>
    <x v="2"/>
    <x v="2"/>
    <s v="Member"/>
    <s v="Male"/>
    <x v="0"/>
    <n v="72.569999999999993"/>
    <n v="8"/>
    <n v="29.027999999999999"/>
    <n v="609.58799999999997"/>
    <d v="2019-03-30T00:00:00"/>
    <d v="1899-12-30T17:58:00"/>
    <x v="1"/>
    <n v="580.55999999999995"/>
    <n v="4.7619047620000003"/>
    <n v="29.027999999999999"/>
    <n v="4.5999999999999996"/>
    <x v="1"/>
    <n v="3"/>
    <s v="High Value"/>
    <s v="High Value Order"/>
    <m/>
    <s v=""/>
    <m/>
    <m/>
    <s v=""/>
  </r>
  <r>
    <x v="474"/>
    <x v="0"/>
    <x v="0"/>
    <s v="Member"/>
    <s v="Female"/>
    <x v="1"/>
    <n v="64.44"/>
    <n v="5"/>
    <n v="16.11"/>
    <n v="338.31"/>
    <d v="2019-03-30T00:00:00"/>
    <d v="1899-12-30T17:04:00"/>
    <x v="1"/>
    <n v="322.2"/>
    <n v="4.7619047620000003"/>
    <n v="16.11"/>
    <n v="6.6"/>
    <x v="1"/>
    <n v="3"/>
    <s v="Standard"/>
    <s v="Standard Order"/>
    <m/>
    <s v=""/>
    <m/>
    <m/>
    <s v=""/>
  </r>
  <r>
    <x v="475"/>
    <x v="0"/>
    <x v="0"/>
    <s v="Normal"/>
    <s v="Male"/>
    <x v="0"/>
    <n v="65.180000000000007"/>
    <n v="3"/>
    <n v="9.7769999999999992"/>
    <n v="205.31700000000001"/>
    <d v="2019-02-25T00:00:00"/>
    <d v="1899-12-30T20:35:00"/>
    <x v="2"/>
    <n v="195.54"/>
    <n v="4.7619047620000003"/>
    <n v="9.7769999999999992"/>
    <n v="6.3"/>
    <x v="2"/>
    <n v="2"/>
    <s v="Standard"/>
    <s v="Standard Order"/>
    <m/>
    <s v=""/>
    <m/>
    <m/>
    <s v=""/>
  </r>
  <r>
    <x v="476"/>
    <x v="0"/>
    <x v="0"/>
    <s v="Normal"/>
    <s v="Female"/>
    <x v="3"/>
    <n v="33.26"/>
    <n v="5"/>
    <n v="8.3149999999999995"/>
    <n v="174.61500000000001"/>
    <d v="2019-03-18T00:00:00"/>
    <d v="1899-12-30T16:10:00"/>
    <x v="2"/>
    <n v="166.3"/>
    <n v="4.7619047620000003"/>
    <n v="8.3149999999999995"/>
    <n v="4.2"/>
    <x v="1"/>
    <n v="3"/>
    <s v="Standard"/>
    <s v="Standard Order"/>
    <m/>
    <s v=""/>
    <m/>
    <m/>
    <s v=""/>
  </r>
  <r>
    <x v="477"/>
    <x v="1"/>
    <x v="1"/>
    <s v="Normal"/>
    <s v="Male"/>
    <x v="1"/>
    <n v="84.07"/>
    <n v="4"/>
    <n v="16.814"/>
    <n v="353.09399999999999"/>
    <d v="2019-03-07T00:00:00"/>
    <d v="1899-12-30T16:54:00"/>
    <x v="0"/>
    <n v="336.28"/>
    <n v="4.7619047620000003"/>
    <n v="16.814"/>
    <n v="4.4000000000000004"/>
    <x v="1"/>
    <n v="3"/>
    <s v="Standard"/>
    <s v="Standard Order"/>
    <m/>
    <s v=""/>
    <m/>
    <m/>
    <s v=""/>
  </r>
  <r>
    <x v="478"/>
    <x v="2"/>
    <x v="2"/>
    <s v="Normal"/>
    <s v="Male"/>
    <x v="3"/>
    <n v="34.369999999999997"/>
    <n v="10"/>
    <n v="17.184999999999999"/>
    <n v="360.88499999999999"/>
    <d v="2019-03-16T00:00:00"/>
    <d v="1899-12-30T10:11:00"/>
    <x v="0"/>
    <n v="343.7"/>
    <n v="4.7619047620000003"/>
    <n v="17.184999999999999"/>
    <n v="6.7"/>
    <x v="1"/>
    <n v="3"/>
    <s v="Standard"/>
    <s v="Standard Order"/>
    <m/>
    <s v=""/>
    <m/>
    <m/>
    <s v=""/>
  </r>
  <r>
    <x v="479"/>
    <x v="0"/>
    <x v="0"/>
    <s v="Normal"/>
    <s v="Male"/>
    <x v="1"/>
    <n v="38.6"/>
    <n v="1"/>
    <n v="1.93"/>
    <n v="40.53"/>
    <d v="2019-01-29T00:00:00"/>
    <d v="1899-12-30T11:26:00"/>
    <x v="0"/>
    <n v="38.6"/>
    <n v="4.7619047620000003"/>
    <n v="1.93"/>
    <n v="6.7"/>
    <x v="0"/>
    <n v="1"/>
    <s v="Standard"/>
    <s v="Standard Order"/>
    <m/>
    <s v=""/>
    <m/>
    <m/>
    <s v=""/>
  </r>
  <r>
    <x v="480"/>
    <x v="1"/>
    <x v="1"/>
    <s v="Normal"/>
    <s v="Male"/>
    <x v="4"/>
    <n v="65.97"/>
    <n v="8"/>
    <n v="26.388000000000002"/>
    <n v="554.14800000000002"/>
    <d v="2019-02-02T00:00:00"/>
    <d v="1899-12-30T20:29:00"/>
    <x v="1"/>
    <n v="527.76"/>
    <n v="4.7619047620000003"/>
    <n v="26.388000000000002"/>
    <n v="8.4"/>
    <x v="2"/>
    <n v="2"/>
    <s v="High Value"/>
    <s v="High Value Order"/>
    <m/>
    <s v=""/>
    <m/>
    <m/>
    <s v=""/>
  </r>
  <r>
    <x v="481"/>
    <x v="1"/>
    <x v="1"/>
    <s v="Normal"/>
    <s v="Female"/>
    <x v="1"/>
    <n v="32.799999999999997"/>
    <n v="10"/>
    <n v="16.399999999999999"/>
    <n v="344.4"/>
    <d v="2019-02-15T00:00:00"/>
    <d v="1899-12-30T12:12:00"/>
    <x v="1"/>
    <n v="328"/>
    <n v="4.7619047620000003"/>
    <n v="16.399999999999999"/>
    <n v="6.2"/>
    <x v="2"/>
    <n v="2"/>
    <s v="Standard"/>
    <s v="Standard Order"/>
    <m/>
    <s v=""/>
    <m/>
    <m/>
    <s v=""/>
  </r>
  <r>
    <x v="482"/>
    <x v="0"/>
    <x v="0"/>
    <s v="Normal"/>
    <s v="Male"/>
    <x v="3"/>
    <n v="37.14"/>
    <n v="5"/>
    <n v="9.2850000000000001"/>
    <n v="194.98500000000001"/>
    <d v="2019-01-08T00:00:00"/>
    <d v="1899-12-30T13:05:00"/>
    <x v="0"/>
    <n v="185.7"/>
    <n v="4.7619047620000003"/>
    <n v="9.2850000000000001"/>
    <n v="5"/>
    <x v="0"/>
    <n v="1"/>
    <s v="Standard"/>
    <s v="Standard Order"/>
    <m/>
    <s v=""/>
    <m/>
    <m/>
    <s v=""/>
  </r>
  <r>
    <x v="483"/>
    <x v="2"/>
    <x v="2"/>
    <s v="Member"/>
    <s v="Male"/>
    <x v="2"/>
    <n v="60.38"/>
    <n v="10"/>
    <n v="30.19"/>
    <n v="633.99"/>
    <d v="2019-02-12T00:00:00"/>
    <d v="1899-12-30T16:19:00"/>
    <x v="1"/>
    <n v="603.79999999999995"/>
    <n v="4.7619047620000003"/>
    <n v="30.19"/>
    <n v="6"/>
    <x v="2"/>
    <n v="2"/>
    <s v="High Value"/>
    <s v="High Value Order"/>
    <m/>
    <s v=""/>
    <m/>
    <m/>
    <s v=""/>
  </r>
  <r>
    <x v="484"/>
    <x v="1"/>
    <x v="1"/>
    <s v="Member"/>
    <s v="Female"/>
    <x v="3"/>
    <n v="36.979999999999997"/>
    <n v="10"/>
    <n v="18.489999999999998"/>
    <n v="388.29"/>
    <d v="2019-01-01T00:00:00"/>
    <d v="1899-12-30T19:48:00"/>
    <x v="2"/>
    <n v="369.8"/>
    <n v="4.7619047620000003"/>
    <n v="18.489999999999998"/>
    <n v="7"/>
    <x v="0"/>
    <n v="1"/>
    <s v="Standard"/>
    <s v="Standard Order"/>
    <m/>
    <s v=""/>
    <m/>
    <m/>
    <s v=""/>
  </r>
  <r>
    <x v="485"/>
    <x v="2"/>
    <x v="2"/>
    <s v="Member"/>
    <s v="Female"/>
    <x v="3"/>
    <n v="49.49"/>
    <n v="4"/>
    <n v="9.8979999999999997"/>
    <n v="207.858"/>
    <d v="2019-03-21T00:00:00"/>
    <d v="1899-12-30T15:25:00"/>
    <x v="0"/>
    <n v="197.96"/>
    <n v="4.7619047620000003"/>
    <n v="9.8979999999999997"/>
    <n v="6.6"/>
    <x v="1"/>
    <n v="3"/>
    <s v="Standard"/>
    <s v="Standard Order"/>
    <m/>
    <s v=""/>
    <m/>
    <m/>
    <s v=""/>
  </r>
  <r>
    <x v="486"/>
    <x v="2"/>
    <x v="2"/>
    <s v="Normal"/>
    <s v="Female"/>
    <x v="5"/>
    <n v="41.09"/>
    <n v="10"/>
    <n v="20.545000000000002"/>
    <n v="431.44499999999999"/>
    <d v="2019-02-28T00:00:00"/>
    <d v="1899-12-30T14:42:00"/>
    <x v="1"/>
    <n v="410.9"/>
    <n v="4.7619047620000003"/>
    <n v="20.545000000000002"/>
    <n v="7.3"/>
    <x v="2"/>
    <n v="2"/>
    <s v="Standard"/>
    <s v="Standard Order"/>
    <m/>
    <s v=""/>
    <m/>
    <m/>
    <s v=""/>
  </r>
  <r>
    <x v="487"/>
    <x v="0"/>
    <x v="0"/>
    <s v="Normal"/>
    <s v="Male"/>
    <x v="5"/>
    <n v="37.15"/>
    <n v="4"/>
    <n v="7.43"/>
    <n v="156.03"/>
    <d v="2019-03-23T00:00:00"/>
    <d v="1899-12-30T18:59:00"/>
    <x v="0"/>
    <n v="148.6"/>
    <n v="4.7619047620000003"/>
    <n v="7.43"/>
    <n v="8.3000000000000007"/>
    <x v="1"/>
    <n v="3"/>
    <s v="Standard"/>
    <s v="Standard Order"/>
    <m/>
    <s v=""/>
    <m/>
    <m/>
    <s v=""/>
  </r>
  <r>
    <x v="488"/>
    <x v="1"/>
    <x v="1"/>
    <s v="Normal"/>
    <s v="Male"/>
    <x v="2"/>
    <n v="22.96"/>
    <n v="1"/>
    <n v="1.1479999999999999"/>
    <n v="24.108000000000001"/>
    <d v="2019-01-30T00:00:00"/>
    <d v="1899-12-30T20:47:00"/>
    <x v="1"/>
    <n v="22.96"/>
    <n v="4.7619047620000003"/>
    <n v="1.1479999999999999"/>
    <n v="4.3"/>
    <x v="0"/>
    <n v="1"/>
    <s v="Standard"/>
    <s v="Standard Order"/>
    <m/>
    <s v=""/>
    <m/>
    <m/>
    <s v=""/>
  </r>
  <r>
    <x v="489"/>
    <x v="2"/>
    <x v="2"/>
    <s v="Member"/>
    <s v="Female"/>
    <x v="2"/>
    <n v="77.680000000000007"/>
    <n v="9"/>
    <n v="34.956000000000003"/>
    <n v="734.07600000000002"/>
    <d v="2019-02-04T00:00:00"/>
    <d v="1899-12-30T13:21:00"/>
    <x v="0"/>
    <n v="699.12"/>
    <n v="4.7619047620000003"/>
    <n v="34.956000000000003"/>
    <n v="9.8000000000000007"/>
    <x v="2"/>
    <n v="2"/>
    <s v="High Value"/>
    <s v="High Value Order"/>
    <m/>
    <s v=""/>
    <m/>
    <m/>
    <s v=""/>
  </r>
  <r>
    <x v="490"/>
    <x v="2"/>
    <x v="2"/>
    <s v="Normal"/>
    <s v="Female"/>
    <x v="5"/>
    <n v="34.700000000000003"/>
    <n v="2"/>
    <n v="3.47"/>
    <n v="72.87"/>
    <d v="2019-03-13T00:00:00"/>
    <d v="1899-12-30T19:48:00"/>
    <x v="0"/>
    <n v="69.400000000000006"/>
    <n v="4.7619047620000003"/>
    <n v="3.47"/>
    <n v="8.1999999999999993"/>
    <x v="1"/>
    <n v="3"/>
    <s v="Standard"/>
    <s v="Standard Order"/>
    <m/>
    <s v=""/>
    <m/>
    <m/>
    <s v=""/>
  </r>
  <r>
    <x v="491"/>
    <x v="0"/>
    <x v="0"/>
    <s v="Member"/>
    <s v="Female"/>
    <x v="5"/>
    <n v="19.66"/>
    <n v="10"/>
    <n v="9.83"/>
    <n v="206.43"/>
    <d v="2019-03-15T00:00:00"/>
    <d v="1899-12-30T18:20:00"/>
    <x v="2"/>
    <n v="196.6"/>
    <n v="4.7619047620000003"/>
    <n v="9.83"/>
    <n v="7.2"/>
    <x v="1"/>
    <n v="3"/>
    <s v="Standard"/>
    <s v="Standard Order"/>
    <m/>
    <s v=""/>
    <m/>
    <m/>
    <s v=""/>
  </r>
  <r>
    <x v="492"/>
    <x v="2"/>
    <x v="2"/>
    <s v="Member"/>
    <s v="Female"/>
    <x v="0"/>
    <n v="25.32"/>
    <n v="8"/>
    <n v="10.128"/>
    <n v="212.68799999999999"/>
    <d v="2019-03-05T00:00:00"/>
    <d v="1899-12-30T20:24:00"/>
    <x v="0"/>
    <n v="202.56"/>
    <n v="4.7619047620000003"/>
    <n v="10.128"/>
    <n v="8.6999999999999993"/>
    <x v="1"/>
    <n v="3"/>
    <s v="Standard"/>
    <s v="Standard Order"/>
    <m/>
    <s v=""/>
    <m/>
    <m/>
    <s v=""/>
  </r>
  <r>
    <x v="493"/>
    <x v="1"/>
    <x v="1"/>
    <s v="Member"/>
    <s v="Female"/>
    <x v="2"/>
    <n v="12.12"/>
    <n v="10"/>
    <n v="6.06"/>
    <n v="127.26"/>
    <d v="2019-03-05T00:00:00"/>
    <d v="1899-12-30T13:44:00"/>
    <x v="2"/>
    <n v="121.2"/>
    <n v="4.7619047620000003"/>
    <n v="6.06"/>
    <n v="8.4"/>
    <x v="1"/>
    <n v="3"/>
    <s v="Standard"/>
    <s v="Standard Order"/>
    <m/>
    <s v=""/>
    <m/>
    <m/>
    <s v=""/>
  </r>
  <r>
    <x v="494"/>
    <x v="2"/>
    <x v="2"/>
    <s v="Normal"/>
    <s v="Male"/>
    <x v="5"/>
    <n v="99.89"/>
    <n v="2"/>
    <n v="9.9890000000000008"/>
    <n v="209.76900000000001"/>
    <d v="2019-02-26T00:00:00"/>
    <d v="1899-12-30T11:48:00"/>
    <x v="0"/>
    <n v="199.78"/>
    <n v="4.7619047620000003"/>
    <n v="9.9890000000000008"/>
    <n v="7.1"/>
    <x v="2"/>
    <n v="2"/>
    <s v="Standard"/>
    <s v="Standard Order"/>
    <m/>
    <s v=""/>
    <m/>
    <m/>
    <s v=""/>
  </r>
  <r>
    <x v="495"/>
    <x v="2"/>
    <x v="2"/>
    <s v="Normal"/>
    <s v="Male"/>
    <x v="3"/>
    <n v="75.92"/>
    <n v="8"/>
    <n v="30.367999999999999"/>
    <n v="637.72799999999995"/>
    <d v="2019-03-20T00:00:00"/>
    <d v="1899-12-30T14:14:00"/>
    <x v="1"/>
    <n v="607.36"/>
    <n v="4.7619047620000003"/>
    <n v="30.367999999999999"/>
    <n v="5.5"/>
    <x v="1"/>
    <n v="3"/>
    <s v="High Value"/>
    <s v="High Value Order"/>
    <m/>
    <s v=""/>
    <m/>
    <m/>
    <s v=""/>
  </r>
  <r>
    <x v="496"/>
    <x v="1"/>
    <x v="1"/>
    <s v="Normal"/>
    <s v="Female"/>
    <x v="1"/>
    <n v="63.22"/>
    <n v="2"/>
    <n v="6.3220000000000001"/>
    <n v="132.762"/>
    <d v="2019-01-01T00:00:00"/>
    <d v="1899-12-30T15:51:00"/>
    <x v="1"/>
    <n v="126.44"/>
    <n v="4.7619047620000003"/>
    <n v="6.3220000000000001"/>
    <n v="8.5"/>
    <x v="0"/>
    <n v="1"/>
    <s v="Standard"/>
    <s v="Standard Order"/>
    <m/>
    <s v=""/>
    <m/>
    <m/>
    <s v=""/>
  </r>
  <r>
    <x v="497"/>
    <x v="1"/>
    <x v="1"/>
    <s v="Normal"/>
    <s v="Female"/>
    <x v="4"/>
    <n v="90.24"/>
    <n v="6"/>
    <n v="27.071999999999999"/>
    <n v="568.51199999999994"/>
    <d v="2019-01-27T00:00:00"/>
    <d v="1899-12-30T11:17:00"/>
    <x v="1"/>
    <n v="541.44000000000005"/>
    <n v="4.7619047620000003"/>
    <n v="27.071999999999999"/>
    <n v="6.2"/>
    <x v="0"/>
    <n v="1"/>
    <s v="High Value"/>
    <s v="High Value Order"/>
    <m/>
    <s v=""/>
    <m/>
    <m/>
    <s v=""/>
  </r>
  <r>
    <x v="498"/>
    <x v="2"/>
    <x v="2"/>
    <s v="Member"/>
    <s v="Female"/>
    <x v="3"/>
    <n v="98.13"/>
    <n v="1"/>
    <n v="4.9065000000000003"/>
    <n v="103.0365"/>
    <d v="2019-01-21T00:00:00"/>
    <d v="1899-12-30T17:36:00"/>
    <x v="1"/>
    <n v="98.13"/>
    <n v="4.7619047620000003"/>
    <n v="4.9065000000000003"/>
    <n v="8.9"/>
    <x v="0"/>
    <n v="1"/>
    <s v="Standard"/>
    <s v="Standard Order"/>
    <m/>
    <s v=""/>
    <m/>
    <m/>
    <s v=""/>
  </r>
  <r>
    <x v="499"/>
    <x v="0"/>
    <x v="0"/>
    <s v="Member"/>
    <s v="Female"/>
    <x v="3"/>
    <n v="51.52"/>
    <n v="8"/>
    <n v="20.608000000000001"/>
    <n v="432.76799999999997"/>
    <d v="2019-02-02T00:00:00"/>
    <d v="1899-12-30T15:47:00"/>
    <x v="1"/>
    <n v="412.16"/>
    <n v="4.7619047620000003"/>
    <n v="20.608000000000001"/>
    <n v="9.6"/>
    <x v="2"/>
    <n v="2"/>
    <s v="Standard"/>
    <s v="Standard Order"/>
    <m/>
    <s v=""/>
    <m/>
    <m/>
    <s v=""/>
  </r>
  <r>
    <x v="500"/>
    <x v="2"/>
    <x v="2"/>
    <s v="Member"/>
    <s v="Male"/>
    <x v="3"/>
    <n v="73.97"/>
    <n v="1"/>
    <n v="3.6985000000000001"/>
    <n v="77.668499999999995"/>
    <d v="2019-02-03T00:00:00"/>
    <d v="1899-12-30T15:53:00"/>
    <x v="2"/>
    <n v="73.97"/>
    <n v="4.7619047620000003"/>
    <n v="3.6985000000000001"/>
    <n v="5.4"/>
    <x v="2"/>
    <n v="2"/>
    <s v="Standard"/>
    <s v="Standard Order"/>
    <m/>
    <s v=""/>
    <m/>
    <m/>
    <s v=""/>
  </r>
  <r>
    <x v="501"/>
    <x v="1"/>
    <x v="1"/>
    <s v="Member"/>
    <s v="Female"/>
    <x v="5"/>
    <n v="31.9"/>
    <n v="1"/>
    <n v="1.595"/>
    <n v="33.494999999999997"/>
    <d v="2019-01-05T00:00:00"/>
    <d v="1899-12-30T12:40:00"/>
    <x v="0"/>
    <n v="31.9"/>
    <n v="4.7619047620000003"/>
    <n v="1.595"/>
    <n v="9.1"/>
    <x v="0"/>
    <n v="1"/>
    <s v="Standard"/>
    <s v="Standard Order"/>
    <m/>
    <s v=""/>
    <m/>
    <m/>
    <s v=""/>
  </r>
  <r>
    <x v="502"/>
    <x v="1"/>
    <x v="1"/>
    <s v="Normal"/>
    <s v="Male"/>
    <x v="2"/>
    <n v="69.400000000000006"/>
    <n v="2"/>
    <n v="6.94"/>
    <n v="145.74"/>
    <d v="2019-01-27T00:00:00"/>
    <d v="1899-12-30T19:48:00"/>
    <x v="0"/>
    <n v="138.80000000000001"/>
    <n v="4.7619047620000003"/>
    <n v="6.94"/>
    <n v="9"/>
    <x v="0"/>
    <n v="1"/>
    <s v="Standard"/>
    <s v="Standard Order"/>
    <m/>
    <s v=""/>
    <m/>
    <m/>
    <s v=""/>
  </r>
  <r>
    <x v="503"/>
    <x v="2"/>
    <x v="2"/>
    <s v="Normal"/>
    <s v="Female"/>
    <x v="3"/>
    <n v="93.31"/>
    <n v="2"/>
    <n v="9.3309999999999995"/>
    <n v="195.95099999999999"/>
    <d v="2019-03-25T00:00:00"/>
    <d v="1899-12-30T17:53:00"/>
    <x v="1"/>
    <n v="186.62"/>
    <n v="4.7619047620000003"/>
    <n v="9.3309999999999995"/>
    <n v="6.3"/>
    <x v="1"/>
    <n v="3"/>
    <s v="Standard"/>
    <s v="Standard Order"/>
    <m/>
    <s v=""/>
    <m/>
    <m/>
    <s v=""/>
  </r>
  <r>
    <x v="504"/>
    <x v="2"/>
    <x v="2"/>
    <s v="Normal"/>
    <s v="Male"/>
    <x v="3"/>
    <n v="88.45"/>
    <n v="1"/>
    <n v="4.4225000000000003"/>
    <n v="92.872500000000002"/>
    <d v="2019-02-25T00:00:00"/>
    <d v="1899-12-30T16:36:00"/>
    <x v="2"/>
    <n v="88.45"/>
    <n v="4.7619047620000003"/>
    <n v="4.4225000000000003"/>
    <n v="9.5"/>
    <x v="2"/>
    <n v="2"/>
    <s v="Standard"/>
    <s v="Standard Order"/>
    <m/>
    <s v=""/>
    <m/>
    <m/>
    <s v=""/>
  </r>
  <r>
    <x v="505"/>
    <x v="0"/>
    <x v="0"/>
    <s v="Member"/>
    <s v="Male"/>
    <x v="1"/>
    <n v="24.18"/>
    <n v="8"/>
    <n v="9.6720000000000006"/>
    <n v="203.11199999999999"/>
    <d v="2019-01-28T00:00:00"/>
    <d v="1899-12-30T20:54:00"/>
    <x v="0"/>
    <n v="193.44"/>
    <n v="4.7619047620000003"/>
    <n v="9.6720000000000006"/>
    <n v="9.8000000000000007"/>
    <x v="0"/>
    <n v="1"/>
    <s v="Standard"/>
    <s v="Standard Order"/>
    <m/>
    <s v=""/>
    <m/>
    <m/>
    <s v=""/>
  </r>
  <r>
    <x v="506"/>
    <x v="2"/>
    <x v="2"/>
    <s v="Member"/>
    <s v="Female"/>
    <x v="3"/>
    <n v="48.5"/>
    <n v="3"/>
    <n v="7.2750000000000004"/>
    <n v="152.77500000000001"/>
    <d v="2019-01-08T00:00:00"/>
    <d v="1899-12-30T12:50:00"/>
    <x v="1"/>
    <n v="145.5"/>
    <n v="4.7619047620000003"/>
    <n v="7.2750000000000004"/>
    <n v="6.7"/>
    <x v="0"/>
    <n v="1"/>
    <s v="Standard"/>
    <s v="Standard Order"/>
    <m/>
    <s v=""/>
    <m/>
    <m/>
    <s v=""/>
  </r>
  <r>
    <x v="507"/>
    <x v="2"/>
    <x v="2"/>
    <s v="Normal"/>
    <s v="Female"/>
    <x v="4"/>
    <n v="84.05"/>
    <n v="6"/>
    <n v="25.215"/>
    <n v="529.51499999999999"/>
    <d v="2019-01-29T00:00:00"/>
    <d v="1899-12-30T10:48:00"/>
    <x v="2"/>
    <n v="504.3"/>
    <n v="4.7619047620000003"/>
    <n v="25.215"/>
    <n v="7.7"/>
    <x v="0"/>
    <n v="1"/>
    <s v="High Value"/>
    <s v="High Value Order"/>
    <m/>
    <s v=""/>
    <m/>
    <m/>
    <s v=""/>
  </r>
  <r>
    <x v="508"/>
    <x v="2"/>
    <x v="2"/>
    <s v="Member"/>
    <s v="Male"/>
    <x v="0"/>
    <n v="61.29"/>
    <n v="5"/>
    <n v="15.3225"/>
    <n v="321.77249999999998"/>
    <d v="2019-03-29T00:00:00"/>
    <d v="1899-12-30T14:28:00"/>
    <x v="1"/>
    <n v="306.45"/>
    <n v="4.7619047620000003"/>
    <n v="15.3225"/>
    <n v="7"/>
    <x v="1"/>
    <n v="3"/>
    <s v="Standard"/>
    <s v="Standard Order"/>
    <m/>
    <s v=""/>
    <m/>
    <m/>
    <s v=""/>
  </r>
  <r>
    <x v="509"/>
    <x v="1"/>
    <x v="1"/>
    <s v="Member"/>
    <s v="Female"/>
    <x v="2"/>
    <n v="15.95"/>
    <n v="6"/>
    <n v="4.7850000000000001"/>
    <n v="100.485"/>
    <d v="2019-02-09T00:00:00"/>
    <d v="1899-12-30T17:15:00"/>
    <x v="2"/>
    <n v="95.7"/>
    <n v="4.7619047620000003"/>
    <n v="4.7850000000000001"/>
    <n v="5.0999999999999996"/>
    <x v="2"/>
    <n v="2"/>
    <s v="Standard"/>
    <s v="Standard Order"/>
    <m/>
    <s v=""/>
    <m/>
    <m/>
    <s v=""/>
  </r>
  <r>
    <x v="510"/>
    <x v="2"/>
    <x v="2"/>
    <s v="Member"/>
    <s v="Female"/>
    <x v="3"/>
    <n v="90.74"/>
    <n v="7"/>
    <n v="31.759"/>
    <n v="666.93899999999996"/>
    <d v="2019-01-16T00:00:00"/>
    <d v="1899-12-30T18:03:00"/>
    <x v="2"/>
    <n v="635.17999999999995"/>
    <n v="4.7619047620000003"/>
    <n v="31.759"/>
    <n v="6.2"/>
    <x v="0"/>
    <n v="1"/>
    <s v="High Value"/>
    <s v="High Value Order"/>
    <m/>
    <s v=""/>
    <m/>
    <m/>
    <s v=""/>
  </r>
  <r>
    <x v="511"/>
    <x v="0"/>
    <x v="0"/>
    <s v="Normal"/>
    <s v="Female"/>
    <x v="2"/>
    <n v="42.91"/>
    <n v="5"/>
    <n v="10.727499999999999"/>
    <n v="225.2775"/>
    <d v="2019-01-05T00:00:00"/>
    <d v="1899-12-30T17:29:00"/>
    <x v="0"/>
    <n v="214.55"/>
    <n v="4.7619047620000003"/>
    <n v="10.727499999999999"/>
    <n v="6.1"/>
    <x v="0"/>
    <n v="1"/>
    <s v="Standard"/>
    <s v="Standard Order"/>
    <m/>
    <s v=""/>
    <m/>
    <m/>
    <s v=""/>
  </r>
  <r>
    <x v="512"/>
    <x v="0"/>
    <x v="0"/>
    <s v="Normal"/>
    <s v="Female"/>
    <x v="5"/>
    <n v="54.28"/>
    <n v="7"/>
    <n v="18.998000000000001"/>
    <n v="398.95800000000003"/>
    <d v="2019-01-27T00:00:00"/>
    <d v="1899-12-30T18:05:00"/>
    <x v="0"/>
    <n v="379.96"/>
    <n v="4.7619047620000003"/>
    <n v="18.998000000000001"/>
    <n v="9.3000000000000007"/>
    <x v="0"/>
    <n v="1"/>
    <s v="Standard"/>
    <s v="Standard Order"/>
    <m/>
    <s v=""/>
    <m/>
    <m/>
    <s v=""/>
  </r>
  <r>
    <x v="513"/>
    <x v="0"/>
    <x v="0"/>
    <s v="Normal"/>
    <s v="Male"/>
    <x v="1"/>
    <n v="99.55"/>
    <n v="7"/>
    <n v="34.842500000000001"/>
    <n v="731.6925"/>
    <d v="2019-03-14T00:00:00"/>
    <d v="1899-12-30T12:07:00"/>
    <x v="1"/>
    <n v="696.85"/>
    <n v="4.7619047620000003"/>
    <n v="34.842500000000001"/>
    <n v="7.6"/>
    <x v="1"/>
    <n v="3"/>
    <s v="High Value"/>
    <s v="High Value Order"/>
    <m/>
    <s v=""/>
    <m/>
    <m/>
    <s v=""/>
  </r>
  <r>
    <x v="514"/>
    <x v="1"/>
    <x v="1"/>
    <s v="Member"/>
    <s v="Male"/>
    <x v="3"/>
    <n v="58.39"/>
    <n v="7"/>
    <n v="20.436499999999999"/>
    <n v="429.16649999999998"/>
    <d v="2019-02-23T00:00:00"/>
    <d v="1899-12-30T19:49:00"/>
    <x v="2"/>
    <n v="408.73"/>
    <n v="4.7619047620000003"/>
    <n v="20.436499999999999"/>
    <n v="8.1999999999999993"/>
    <x v="2"/>
    <n v="2"/>
    <s v="Standard"/>
    <s v="Standard Order"/>
    <m/>
    <s v=""/>
    <m/>
    <m/>
    <s v=""/>
  </r>
  <r>
    <x v="515"/>
    <x v="1"/>
    <x v="1"/>
    <s v="Member"/>
    <s v="Female"/>
    <x v="5"/>
    <n v="51.47"/>
    <n v="1"/>
    <n v="2.5735000000000001"/>
    <n v="54.043500000000002"/>
    <d v="2019-03-18T00:00:00"/>
    <d v="1899-12-30T15:52:00"/>
    <x v="0"/>
    <n v="51.47"/>
    <n v="4.7619047620000003"/>
    <n v="2.5735000000000001"/>
    <n v="8.5"/>
    <x v="1"/>
    <n v="3"/>
    <s v="Standard"/>
    <s v="Standard Order"/>
    <m/>
    <s v=""/>
    <m/>
    <m/>
    <s v=""/>
  </r>
  <r>
    <x v="516"/>
    <x v="2"/>
    <x v="2"/>
    <s v="Member"/>
    <s v="Male"/>
    <x v="0"/>
    <n v="54.86"/>
    <n v="5"/>
    <n v="13.715"/>
    <n v="288.01499999999999"/>
    <d v="2019-03-29T00:00:00"/>
    <d v="1899-12-30T16:48:00"/>
    <x v="0"/>
    <n v="274.3"/>
    <n v="4.7619047620000003"/>
    <n v="13.715"/>
    <n v="9.8000000000000007"/>
    <x v="1"/>
    <n v="3"/>
    <s v="Standard"/>
    <s v="Standard Order"/>
    <m/>
    <s v=""/>
    <m/>
    <m/>
    <s v=""/>
  </r>
  <r>
    <x v="517"/>
    <x v="1"/>
    <x v="1"/>
    <s v="Member"/>
    <s v="Male"/>
    <x v="2"/>
    <n v="39.39"/>
    <n v="5"/>
    <n v="9.8475000000000001"/>
    <n v="206.79750000000001"/>
    <d v="2019-01-22T00:00:00"/>
    <d v="1899-12-30T20:46:00"/>
    <x v="2"/>
    <n v="196.95"/>
    <n v="4.7619047620000003"/>
    <n v="9.8475000000000001"/>
    <n v="8.6999999999999993"/>
    <x v="0"/>
    <n v="1"/>
    <s v="Standard"/>
    <s v="Standard Order"/>
    <m/>
    <s v=""/>
    <m/>
    <m/>
    <s v=""/>
  </r>
  <r>
    <x v="518"/>
    <x v="0"/>
    <x v="0"/>
    <s v="Normal"/>
    <s v="Male"/>
    <x v="2"/>
    <n v="34.729999999999997"/>
    <n v="2"/>
    <n v="3.4729999999999999"/>
    <n v="72.933000000000007"/>
    <d v="2019-03-01T00:00:00"/>
    <d v="1899-12-30T18:14:00"/>
    <x v="0"/>
    <n v="69.459999999999994"/>
    <n v="4.7619047620000003"/>
    <n v="3.4729999999999999"/>
    <n v="9.6999999999999993"/>
    <x v="1"/>
    <n v="3"/>
    <s v="Standard"/>
    <s v="Standard Order"/>
    <m/>
    <s v=""/>
    <m/>
    <m/>
    <s v=""/>
  </r>
  <r>
    <x v="519"/>
    <x v="1"/>
    <x v="1"/>
    <s v="Member"/>
    <s v="Male"/>
    <x v="3"/>
    <n v="71.92"/>
    <n v="5"/>
    <n v="17.98"/>
    <n v="377.58"/>
    <d v="2019-01-17T00:00:00"/>
    <d v="1899-12-30T15:05:00"/>
    <x v="2"/>
    <n v="359.6"/>
    <n v="4.7619047620000003"/>
    <n v="17.98"/>
    <n v="4.3"/>
    <x v="0"/>
    <n v="1"/>
    <s v="Standard"/>
    <s v="Standard Order"/>
    <m/>
    <s v=""/>
    <m/>
    <m/>
    <s v=""/>
  </r>
  <r>
    <x v="520"/>
    <x v="2"/>
    <x v="2"/>
    <s v="Normal"/>
    <s v="Female"/>
    <x v="1"/>
    <n v="45.71"/>
    <n v="3"/>
    <n v="6.8564999999999996"/>
    <n v="143.98650000000001"/>
    <d v="2019-03-26T00:00:00"/>
    <d v="1899-12-30T10:34:00"/>
    <x v="2"/>
    <n v="137.13"/>
    <n v="4.7619047620000003"/>
    <n v="6.8564999999999996"/>
    <n v="7.7"/>
    <x v="1"/>
    <n v="3"/>
    <s v="Standard"/>
    <s v="Standard Order"/>
    <m/>
    <s v=""/>
    <m/>
    <m/>
    <s v=""/>
  </r>
  <r>
    <x v="521"/>
    <x v="1"/>
    <x v="1"/>
    <s v="Member"/>
    <s v="Female"/>
    <x v="2"/>
    <n v="83.17"/>
    <n v="6"/>
    <n v="24.951000000000001"/>
    <n v="523.971"/>
    <d v="2019-03-20T00:00:00"/>
    <d v="1899-12-30T11:23:00"/>
    <x v="1"/>
    <n v="499.02"/>
    <n v="4.7619047620000003"/>
    <n v="24.951000000000001"/>
    <n v="7.3"/>
    <x v="1"/>
    <n v="3"/>
    <s v="High Value"/>
    <s v="High Value Order"/>
    <m/>
    <s v=""/>
    <m/>
    <m/>
    <s v=""/>
  </r>
  <r>
    <x v="522"/>
    <x v="0"/>
    <x v="0"/>
    <s v="Member"/>
    <s v="Female"/>
    <x v="2"/>
    <n v="37.44"/>
    <n v="6"/>
    <n v="11.231999999999999"/>
    <n v="235.87200000000001"/>
    <d v="2019-02-06T00:00:00"/>
    <d v="1899-12-30T13:55:00"/>
    <x v="2"/>
    <n v="224.64"/>
    <n v="4.7619047620000003"/>
    <n v="11.231999999999999"/>
    <n v="5.9"/>
    <x v="2"/>
    <n v="2"/>
    <s v="Standard"/>
    <s v="Standard Order"/>
    <m/>
    <s v=""/>
    <m/>
    <m/>
    <s v=""/>
  </r>
  <r>
    <x v="523"/>
    <x v="1"/>
    <x v="1"/>
    <s v="Normal"/>
    <s v="Male"/>
    <x v="0"/>
    <n v="62.87"/>
    <n v="2"/>
    <n v="6.2869999999999999"/>
    <n v="132.02699999999999"/>
    <d v="2019-01-01T00:00:00"/>
    <d v="1899-12-30T11:43:00"/>
    <x v="1"/>
    <n v="125.74"/>
    <n v="4.7619047620000003"/>
    <n v="6.2869999999999999"/>
    <n v="5"/>
    <x v="0"/>
    <n v="1"/>
    <s v="Standard"/>
    <s v="Standard Order"/>
    <m/>
    <s v=""/>
    <m/>
    <m/>
    <s v=""/>
  </r>
  <r>
    <x v="524"/>
    <x v="0"/>
    <x v="0"/>
    <s v="Normal"/>
    <s v="Male"/>
    <x v="4"/>
    <n v="81.709999999999994"/>
    <n v="6"/>
    <n v="24.513000000000002"/>
    <n v="514.77300000000002"/>
    <d v="2019-01-27T00:00:00"/>
    <d v="1899-12-30T14:36:00"/>
    <x v="2"/>
    <n v="490.26"/>
    <n v="4.7619047620000003"/>
    <n v="24.513000000000002"/>
    <n v="8"/>
    <x v="0"/>
    <n v="1"/>
    <s v="High Value"/>
    <s v="High Value Order"/>
    <m/>
    <s v=""/>
    <m/>
    <m/>
    <s v=""/>
  </r>
  <r>
    <x v="525"/>
    <x v="0"/>
    <x v="0"/>
    <s v="Member"/>
    <s v="Female"/>
    <x v="3"/>
    <n v="91.41"/>
    <n v="5"/>
    <n v="22.852499999999999"/>
    <n v="479.90249999999997"/>
    <d v="2019-02-25T00:00:00"/>
    <d v="1899-12-30T16:03:00"/>
    <x v="0"/>
    <n v="457.05"/>
    <n v="4.7619047620000003"/>
    <n v="22.852499999999999"/>
    <n v="7.1"/>
    <x v="2"/>
    <n v="2"/>
    <s v="Standard"/>
    <s v="Standard Order"/>
    <m/>
    <s v=""/>
    <m/>
    <m/>
    <s v=""/>
  </r>
  <r>
    <x v="526"/>
    <x v="2"/>
    <x v="2"/>
    <s v="Normal"/>
    <s v="Male"/>
    <x v="5"/>
    <n v="39.21"/>
    <n v="4"/>
    <n v="7.8419999999999996"/>
    <n v="164.68199999999999"/>
    <d v="2019-01-16T00:00:00"/>
    <d v="1899-12-30T20:03:00"/>
    <x v="2"/>
    <n v="156.84"/>
    <n v="4.7619047620000003"/>
    <n v="7.8419999999999996"/>
    <n v="9"/>
    <x v="0"/>
    <n v="1"/>
    <s v="Standard"/>
    <s v="Standard Order"/>
    <m/>
    <s v=""/>
    <m/>
    <m/>
    <s v=""/>
  </r>
  <r>
    <x v="527"/>
    <x v="2"/>
    <x v="2"/>
    <s v="Member"/>
    <s v="Male"/>
    <x v="5"/>
    <n v="59.86"/>
    <n v="2"/>
    <n v="5.9859999999999998"/>
    <n v="125.706"/>
    <d v="2019-01-13T00:00:00"/>
    <d v="1899-12-30T14:55:00"/>
    <x v="0"/>
    <n v="119.72"/>
    <n v="4.7619047620000003"/>
    <n v="5.9859999999999998"/>
    <n v="6.7"/>
    <x v="0"/>
    <n v="1"/>
    <s v="Standard"/>
    <s v="Standard Order"/>
    <m/>
    <s v=""/>
    <m/>
    <m/>
    <s v=""/>
  </r>
  <r>
    <x v="528"/>
    <x v="2"/>
    <x v="2"/>
    <s v="Member"/>
    <s v="Female"/>
    <x v="4"/>
    <n v="54.36"/>
    <n v="10"/>
    <n v="27.18"/>
    <n v="570.78"/>
    <d v="2019-02-07T00:00:00"/>
    <d v="1899-12-30T11:28:00"/>
    <x v="2"/>
    <n v="543.6"/>
    <n v="4.7619047620000003"/>
    <n v="27.18"/>
    <n v="6.1"/>
    <x v="2"/>
    <n v="2"/>
    <s v="High Value"/>
    <s v="High Value Order"/>
    <m/>
    <s v=""/>
    <m/>
    <m/>
    <s v=""/>
  </r>
  <r>
    <x v="529"/>
    <x v="0"/>
    <x v="0"/>
    <s v="Normal"/>
    <s v="Male"/>
    <x v="3"/>
    <n v="98.09"/>
    <n v="9"/>
    <n v="44.140500000000003"/>
    <n v="926.95050000000003"/>
    <d v="2019-02-17T00:00:00"/>
    <d v="1899-12-30T19:41:00"/>
    <x v="1"/>
    <n v="882.81"/>
    <n v="4.7619047620000003"/>
    <n v="44.140500000000003"/>
    <n v="9.3000000000000007"/>
    <x v="2"/>
    <n v="2"/>
    <s v="High Value"/>
    <s v="High Value Order"/>
    <m/>
    <s v=""/>
    <m/>
    <m/>
    <s v=""/>
  </r>
  <r>
    <x v="530"/>
    <x v="0"/>
    <x v="0"/>
    <s v="Normal"/>
    <s v="Male"/>
    <x v="0"/>
    <n v="25.43"/>
    <n v="6"/>
    <n v="7.6289999999999996"/>
    <n v="160.209"/>
    <d v="2019-02-12T00:00:00"/>
    <d v="1899-12-30T19:01:00"/>
    <x v="0"/>
    <n v="152.58000000000001"/>
    <n v="4.7619047620000003"/>
    <n v="7.6289999999999996"/>
    <n v="7"/>
    <x v="2"/>
    <n v="2"/>
    <s v="Standard"/>
    <s v="Standard Order"/>
    <m/>
    <s v=""/>
    <m/>
    <m/>
    <s v=""/>
  </r>
  <r>
    <x v="531"/>
    <x v="0"/>
    <x v="0"/>
    <s v="Member"/>
    <s v="Male"/>
    <x v="5"/>
    <n v="86.68"/>
    <n v="8"/>
    <n v="34.671999999999997"/>
    <n v="728.11199999999997"/>
    <d v="2019-01-24T00:00:00"/>
    <d v="1899-12-30T18:04:00"/>
    <x v="2"/>
    <n v="693.44"/>
    <n v="4.7619047620000003"/>
    <n v="34.671999999999997"/>
    <n v="7.2"/>
    <x v="0"/>
    <n v="1"/>
    <s v="High Value"/>
    <s v="High Value Order"/>
    <m/>
    <s v=""/>
    <m/>
    <m/>
    <s v=""/>
  </r>
  <r>
    <x v="532"/>
    <x v="2"/>
    <x v="2"/>
    <s v="Normal"/>
    <s v="Male"/>
    <x v="1"/>
    <n v="22.95"/>
    <n v="10"/>
    <n v="11.475"/>
    <n v="240.97499999999999"/>
    <d v="2019-02-06T00:00:00"/>
    <d v="1899-12-30T19:20:00"/>
    <x v="0"/>
    <n v="229.5"/>
    <n v="4.7619047620000003"/>
    <n v="11.475"/>
    <n v="8.1999999999999993"/>
    <x v="2"/>
    <n v="2"/>
    <s v="Standard"/>
    <s v="Standard Order"/>
    <m/>
    <s v=""/>
    <m/>
    <m/>
    <s v=""/>
  </r>
  <r>
    <x v="533"/>
    <x v="1"/>
    <x v="1"/>
    <s v="Normal"/>
    <s v="Female"/>
    <x v="4"/>
    <n v="16.309999999999999"/>
    <n v="9"/>
    <n v="7.3395000000000001"/>
    <n v="154.12950000000001"/>
    <d v="2019-03-26T00:00:00"/>
    <d v="1899-12-30T10:31:00"/>
    <x v="0"/>
    <n v="146.79"/>
    <n v="4.7619047620000003"/>
    <n v="7.3395000000000001"/>
    <n v="8.4"/>
    <x v="1"/>
    <n v="3"/>
    <s v="Standard"/>
    <s v="Standard Order"/>
    <m/>
    <s v=""/>
    <m/>
    <m/>
    <s v=""/>
  </r>
  <r>
    <x v="534"/>
    <x v="0"/>
    <x v="0"/>
    <s v="Normal"/>
    <s v="Female"/>
    <x v="2"/>
    <n v="28.32"/>
    <n v="5"/>
    <n v="7.08"/>
    <n v="148.68"/>
    <d v="2019-03-11T00:00:00"/>
    <d v="1899-12-30T13:28:00"/>
    <x v="0"/>
    <n v="141.6"/>
    <n v="4.7619047620000003"/>
    <n v="7.08"/>
    <n v="6.2"/>
    <x v="1"/>
    <n v="3"/>
    <s v="Standard"/>
    <s v="Standard Order"/>
    <m/>
    <s v=""/>
    <m/>
    <m/>
    <s v=""/>
  </r>
  <r>
    <x v="535"/>
    <x v="1"/>
    <x v="1"/>
    <s v="Normal"/>
    <s v="Male"/>
    <x v="2"/>
    <n v="16.670000000000002"/>
    <n v="7"/>
    <n v="5.8345000000000002"/>
    <n v="122.5245"/>
    <d v="2019-02-07T00:00:00"/>
    <d v="1899-12-30T11:36:00"/>
    <x v="0"/>
    <n v="116.69"/>
    <n v="4.7619047620000003"/>
    <n v="5.8345000000000002"/>
    <n v="7.4"/>
    <x v="2"/>
    <n v="2"/>
    <s v="Standard"/>
    <s v="Standard Order"/>
    <m/>
    <s v=""/>
    <m/>
    <m/>
    <s v=""/>
  </r>
  <r>
    <x v="536"/>
    <x v="2"/>
    <x v="2"/>
    <s v="Member"/>
    <s v="Female"/>
    <x v="5"/>
    <n v="73.959999999999994"/>
    <n v="1"/>
    <n v="3.698"/>
    <n v="77.658000000000001"/>
    <d v="2019-01-05T00:00:00"/>
    <d v="1899-12-30T11:32:00"/>
    <x v="2"/>
    <n v="73.959999999999994"/>
    <n v="4.7619047620000003"/>
    <n v="3.698"/>
    <n v="5"/>
    <x v="0"/>
    <n v="1"/>
    <s v="Standard"/>
    <s v="Standard Order"/>
    <m/>
    <s v=""/>
    <m/>
    <m/>
    <s v=""/>
  </r>
  <r>
    <x v="537"/>
    <x v="0"/>
    <x v="0"/>
    <s v="Normal"/>
    <s v="Male"/>
    <x v="2"/>
    <n v="97.94"/>
    <n v="1"/>
    <n v="4.8970000000000002"/>
    <n v="102.837"/>
    <d v="2019-03-07T00:00:00"/>
    <d v="1899-12-30T11:44:00"/>
    <x v="0"/>
    <n v="97.94"/>
    <n v="4.7619047620000003"/>
    <n v="4.8970000000000002"/>
    <n v="6.9"/>
    <x v="1"/>
    <n v="3"/>
    <s v="Standard"/>
    <s v="Standard Order"/>
    <m/>
    <s v=""/>
    <m/>
    <m/>
    <s v=""/>
  </r>
  <r>
    <x v="538"/>
    <x v="0"/>
    <x v="0"/>
    <s v="Normal"/>
    <s v="Female"/>
    <x v="5"/>
    <n v="73.05"/>
    <n v="4"/>
    <n v="14.61"/>
    <n v="306.81"/>
    <d v="2019-02-25T00:00:00"/>
    <d v="1899-12-30T17:16:00"/>
    <x v="2"/>
    <n v="292.2"/>
    <n v="4.7619047620000003"/>
    <n v="14.61"/>
    <n v="4.9000000000000004"/>
    <x v="2"/>
    <n v="2"/>
    <s v="Standard"/>
    <s v="Standard Order"/>
    <m/>
    <s v=""/>
    <m/>
    <m/>
    <s v=""/>
  </r>
  <r>
    <x v="539"/>
    <x v="1"/>
    <x v="1"/>
    <s v="Member"/>
    <s v="Female"/>
    <x v="4"/>
    <n v="87.48"/>
    <n v="6"/>
    <n v="26.244"/>
    <n v="551.12400000000002"/>
    <d v="2019-02-01T00:00:00"/>
    <d v="1899-12-30T18:43:00"/>
    <x v="0"/>
    <n v="524.88"/>
    <n v="4.7619047620000003"/>
    <n v="26.244"/>
    <n v="5.0999999999999996"/>
    <x v="2"/>
    <n v="2"/>
    <s v="High Value"/>
    <s v="High Value Order"/>
    <m/>
    <s v=""/>
    <m/>
    <m/>
    <s v=""/>
  </r>
  <r>
    <x v="540"/>
    <x v="0"/>
    <x v="0"/>
    <s v="Normal"/>
    <s v="Male"/>
    <x v="2"/>
    <n v="30.68"/>
    <n v="3"/>
    <n v="4.6020000000000003"/>
    <n v="96.641999999999996"/>
    <d v="2019-01-22T00:00:00"/>
    <d v="1899-12-30T11:00:00"/>
    <x v="0"/>
    <n v="92.04"/>
    <n v="4.7619047620000003"/>
    <n v="4.6020000000000003"/>
    <n v="9.1"/>
    <x v="0"/>
    <n v="1"/>
    <s v="Standard"/>
    <s v="Standard Order"/>
    <m/>
    <s v=""/>
    <m/>
    <m/>
    <s v=""/>
  </r>
  <r>
    <x v="541"/>
    <x v="1"/>
    <x v="1"/>
    <s v="Member"/>
    <s v="Male"/>
    <x v="0"/>
    <n v="75.88"/>
    <n v="1"/>
    <n v="3.794"/>
    <n v="79.674000000000007"/>
    <d v="2019-01-03T00:00:00"/>
    <d v="1899-12-30T10:30:00"/>
    <x v="2"/>
    <n v="75.88"/>
    <n v="4.7619047620000003"/>
    <n v="3.794"/>
    <n v="7.1"/>
    <x v="0"/>
    <n v="1"/>
    <s v="Standard"/>
    <s v="Standard Order"/>
    <m/>
    <s v=""/>
    <m/>
    <m/>
    <s v=""/>
  </r>
  <r>
    <x v="542"/>
    <x v="2"/>
    <x v="2"/>
    <s v="Member"/>
    <s v="Female"/>
    <x v="3"/>
    <n v="20.18"/>
    <n v="4"/>
    <n v="4.0359999999999996"/>
    <n v="84.756"/>
    <d v="2019-02-13T00:00:00"/>
    <d v="1899-12-30T12:14:00"/>
    <x v="2"/>
    <n v="80.72"/>
    <n v="4.7619047620000003"/>
    <n v="4.0359999999999996"/>
    <n v="5"/>
    <x v="2"/>
    <n v="2"/>
    <s v="Standard"/>
    <s v="Standard Order"/>
    <m/>
    <s v=""/>
    <m/>
    <m/>
    <s v=""/>
  </r>
  <r>
    <x v="543"/>
    <x v="1"/>
    <x v="1"/>
    <s v="Member"/>
    <s v="Male"/>
    <x v="1"/>
    <n v="18.77"/>
    <n v="6"/>
    <n v="5.6310000000000002"/>
    <n v="118.251"/>
    <d v="2019-01-28T00:00:00"/>
    <d v="1899-12-30T16:43:00"/>
    <x v="2"/>
    <n v="112.62"/>
    <n v="4.7619047620000003"/>
    <n v="5.6310000000000002"/>
    <n v="5.5"/>
    <x v="0"/>
    <n v="1"/>
    <s v="Standard"/>
    <s v="Standard Order"/>
    <m/>
    <s v=""/>
    <m/>
    <m/>
    <s v=""/>
  </r>
  <r>
    <x v="544"/>
    <x v="2"/>
    <x v="2"/>
    <s v="Normal"/>
    <s v="Female"/>
    <x v="4"/>
    <n v="71.2"/>
    <n v="1"/>
    <n v="3.56"/>
    <n v="74.760000000000005"/>
    <d v="2019-01-05T00:00:00"/>
    <d v="1899-12-30T20:40:00"/>
    <x v="2"/>
    <n v="71.2"/>
    <n v="4.7619047620000003"/>
    <n v="3.56"/>
    <n v="9.1999999999999993"/>
    <x v="0"/>
    <n v="1"/>
    <s v="Standard"/>
    <s v="Standard Order"/>
    <m/>
    <s v=""/>
    <m/>
    <m/>
    <s v=""/>
  </r>
  <r>
    <x v="545"/>
    <x v="2"/>
    <x v="2"/>
    <s v="Member"/>
    <s v="Male"/>
    <x v="2"/>
    <n v="38.81"/>
    <n v="4"/>
    <n v="7.7619999999999996"/>
    <n v="163.00200000000001"/>
    <d v="2019-03-19T00:00:00"/>
    <d v="1899-12-30T13:40:00"/>
    <x v="0"/>
    <n v="155.24"/>
    <n v="4.7619047620000003"/>
    <n v="7.7619999999999996"/>
    <n v="4.9000000000000004"/>
    <x v="1"/>
    <n v="3"/>
    <s v="Standard"/>
    <s v="Standard Order"/>
    <m/>
    <s v=""/>
    <m/>
    <m/>
    <s v=""/>
  </r>
  <r>
    <x v="546"/>
    <x v="0"/>
    <x v="0"/>
    <s v="Normal"/>
    <s v="Female"/>
    <x v="5"/>
    <n v="29.42"/>
    <n v="10"/>
    <n v="14.71"/>
    <n v="308.91000000000003"/>
    <d v="2019-01-12T00:00:00"/>
    <d v="1899-12-30T16:23:00"/>
    <x v="0"/>
    <n v="294.2"/>
    <n v="4.7619047620000003"/>
    <n v="14.71"/>
    <n v="8.9"/>
    <x v="0"/>
    <n v="1"/>
    <s v="Standard"/>
    <s v="Standard Order"/>
    <m/>
    <s v=""/>
    <m/>
    <m/>
    <s v=""/>
  </r>
  <r>
    <x v="547"/>
    <x v="0"/>
    <x v="0"/>
    <s v="Normal"/>
    <s v="Male"/>
    <x v="3"/>
    <n v="60.95"/>
    <n v="9"/>
    <n v="27.427499999999998"/>
    <n v="575.97749999999996"/>
    <d v="2019-01-07T00:00:00"/>
    <d v="1899-12-30T12:08:00"/>
    <x v="2"/>
    <n v="548.54999999999995"/>
    <n v="4.7619047620000003"/>
    <n v="27.427499999999998"/>
    <n v="6"/>
    <x v="0"/>
    <n v="1"/>
    <s v="High Value"/>
    <s v="High Value Order"/>
    <m/>
    <s v=""/>
    <m/>
    <m/>
    <s v=""/>
  </r>
  <r>
    <x v="548"/>
    <x v="2"/>
    <x v="2"/>
    <s v="Normal"/>
    <s v="Female"/>
    <x v="3"/>
    <n v="51.54"/>
    <n v="5"/>
    <n v="12.885"/>
    <n v="270.58499999999998"/>
    <d v="2019-01-26T00:00:00"/>
    <d v="1899-12-30T17:45:00"/>
    <x v="1"/>
    <n v="257.7"/>
    <n v="4.7619047620000003"/>
    <n v="12.885"/>
    <n v="4.2"/>
    <x v="0"/>
    <n v="1"/>
    <s v="Standard"/>
    <s v="Standard Order"/>
    <m/>
    <s v=""/>
    <m/>
    <m/>
    <s v=""/>
  </r>
  <r>
    <x v="549"/>
    <x v="0"/>
    <x v="0"/>
    <s v="Normal"/>
    <s v="Female"/>
    <x v="1"/>
    <n v="66.06"/>
    <n v="6"/>
    <n v="19.818000000000001"/>
    <n v="416.178"/>
    <d v="2019-01-23T00:00:00"/>
    <d v="1899-12-30T10:28:00"/>
    <x v="1"/>
    <n v="396.36"/>
    <n v="4.7619047620000003"/>
    <n v="19.818000000000001"/>
    <n v="7.3"/>
    <x v="0"/>
    <n v="1"/>
    <s v="Standard"/>
    <s v="Standard Order"/>
    <m/>
    <s v=""/>
    <m/>
    <m/>
    <s v=""/>
  </r>
  <r>
    <x v="550"/>
    <x v="2"/>
    <x v="2"/>
    <s v="Normal"/>
    <s v="Male"/>
    <x v="5"/>
    <n v="57.27"/>
    <n v="3"/>
    <n v="8.5905000000000005"/>
    <n v="180.40049999999999"/>
    <d v="2019-02-09T00:00:00"/>
    <d v="1899-12-30T20:31:00"/>
    <x v="0"/>
    <n v="171.81"/>
    <n v="4.7619047620000003"/>
    <n v="8.5905000000000005"/>
    <n v="6.5"/>
    <x v="2"/>
    <n v="2"/>
    <s v="Standard"/>
    <s v="Standard Order"/>
    <m/>
    <s v=""/>
    <m/>
    <m/>
    <s v=""/>
  </r>
  <r>
    <x v="551"/>
    <x v="2"/>
    <x v="2"/>
    <s v="Normal"/>
    <s v="Female"/>
    <x v="5"/>
    <n v="54.31"/>
    <n v="9"/>
    <n v="24.439499999999999"/>
    <n v="513.22950000000003"/>
    <d v="2019-02-22T00:00:00"/>
    <d v="1899-12-30T10:49:00"/>
    <x v="1"/>
    <n v="488.79"/>
    <n v="4.7619047620000003"/>
    <n v="24.439499999999999"/>
    <n v="8.9"/>
    <x v="2"/>
    <n v="2"/>
    <s v="High Value"/>
    <s v="High Value Order"/>
    <m/>
    <s v=""/>
    <m/>
    <m/>
    <s v=""/>
  </r>
  <r>
    <x v="552"/>
    <x v="2"/>
    <x v="2"/>
    <s v="Normal"/>
    <s v="Female"/>
    <x v="0"/>
    <n v="58.24"/>
    <n v="9"/>
    <n v="26.207999999999998"/>
    <n v="550.36800000000005"/>
    <d v="2019-02-05T00:00:00"/>
    <d v="1899-12-30T12:34:00"/>
    <x v="1"/>
    <n v="524.16"/>
    <n v="4.7619047620000003"/>
    <n v="26.207999999999998"/>
    <n v="9.6999999999999993"/>
    <x v="2"/>
    <n v="2"/>
    <s v="High Value"/>
    <s v="High Value Order"/>
    <m/>
    <s v=""/>
    <m/>
    <m/>
    <s v=""/>
  </r>
  <r>
    <x v="553"/>
    <x v="1"/>
    <x v="1"/>
    <s v="Normal"/>
    <s v="Male"/>
    <x v="1"/>
    <n v="22.21"/>
    <n v="6"/>
    <n v="6.6630000000000003"/>
    <n v="139.923"/>
    <d v="2019-03-07T00:00:00"/>
    <d v="1899-12-30T10:23:00"/>
    <x v="2"/>
    <n v="133.26"/>
    <n v="4.7619047620000003"/>
    <n v="6.6630000000000003"/>
    <n v="8.6"/>
    <x v="1"/>
    <n v="3"/>
    <s v="Standard"/>
    <s v="Standard Order"/>
    <m/>
    <s v=""/>
    <m/>
    <m/>
    <s v=""/>
  </r>
  <r>
    <x v="554"/>
    <x v="0"/>
    <x v="0"/>
    <s v="Member"/>
    <s v="Male"/>
    <x v="1"/>
    <n v="19.32"/>
    <n v="7"/>
    <n v="6.7619999999999996"/>
    <n v="142.00200000000001"/>
    <d v="2019-03-25T00:00:00"/>
    <d v="1899-12-30T18:51:00"/>
    <x v="1"/>
    <n v="135.24"/>
    <n v="4.7619047620000003"/>
    <n v="6.7619999999999996"/>
    <n v="6.9"/>
    <x v="1"/>
    <n v="3"/>
    <s v="Standard"/>
    <s v="Standard Order"/>
    <m/>
    <s v=""/>
    <m/>
    <m/>
    <s v=""/>
  </r>
  <r>
    <x v="555"/>
    <x v="2"/>
    <x v="2"/>
    <s v="Normal"/>
    <s v="Male"/>
    <x v="2"/>
    <n v="37.479999999999997"/>
    <n v="3"/>
    <n v="5.6219999999999999"/>
    <n v="118.062"/>
    <d v="2019-01-20T00:00:00"/>
    <d v="1899-12-30T13:45:00"/>
    <x v="2"/>
    <n v="112.44"/>
    <n v="4.7619047620000003"/>
    <n v="5.6219999999999999"/>
    <n v="7.7"/>
    <x v="0"/>
    <n v="1"/>
    <s v="Standard"/>
    <s v="Standard Order"/>
    <m/>
    <s v=""/>
    <m/>
    <m/>
    <s v=""/>
  </r>
  <r>
    <x v="556"/>
    <x v="2"/>
    <x v="2"/>
    <s v="Member"/>
    <s v="Female"/>
    <x v="5"/>
    <n v="72.040000000000006"/>
    <n v="2"/>
    <n v="7.2039999999999997"/>
    <n v="151.28399999999999"/>
    <d v="2019-02-04T00:00:00"/>
    <d v="1899-12-30T19:38:00"/>
    <x v="1"/>
    <n v="144.08000000000001"/>
    <n v="4.7619047620000003"/>
    <n v="7.2039999999999997"/>
    <n v="9.5"/>
    <x v="2"/>
    <n v="2"/>
    <s v="Standard"/>
    <s v="Standard Order"/>
    <m/>
    <s v=""/>
    <m/>
    <m/>
    <s v=""/>
  </r>
  <r>
    <x v="557"/>
    <x v="1"/>
    <x v="1"/>
    <s v="Member"/>
    <s v="Female"/>
    <x v="4"/>
    <n v="98.52"/>
    <n v="10"/>
    <n v="49.26"/>
    <n v="1034.46"/>
    <d v="2019-01-30T00:00:00"/>
    <d v="1899-12-30T20:23:00"/>
    <x v="0"/>
    <n v="985.2"/>
    <n v="4.7619047620000003"/>
    <n v="49.26"/>
    <n v="4.5"/>
    <x v="0"/>
    <n v="1"/>
    <s v="High Value"/>
    <s v="High Value Order"/>
    <m/>
    <s v=""/>
    <m/>
    <m/>
    <s v=""/>
  </r>
  <r>
    <x v="558"/>
    <x v="0"/>
    <x v="0"/>
    <s v="Member"/>
    <s v="Male"/>
    <x v="4"/>
    <n v="41.66"/>
    <n v="6"/>
    <n v="12.497999999999999"/>
    <n v="262.45800000000003"/>
    <d v="2019-01-02T00:00:00"/>
    <d v="1899-12-30T15:24:00"/>
    <x v="0"/>
    <n v="249.96"/>
    <n v="4.7619047620000003"/>
    <n v="12.497999999999999"/>
    <n v="5.6"/>
    <x v="0"/>
    <n v="1"/>
    <s v="Standard"/>
    <s v="Standard Order"/>
    <m/>
    <s v=""/>
    <m/>
    <m/>
    <s v=""/>
  </r>
  <r>
    <x v="559"/>
    <x v="0"/>
    <x v="0"/>
    <s v="Member"/>
    <s v="Female"/>
    <x v="2"/>
    <n v="72.42"/>
    <n v="3"/>
    <n v="10.863"/>
    <n v="228.12299999999999"/>
    <d v="2019-03-29T00:00:00"/>
    <d v="1899-12-30T16:54:00"/>
    <x v="0"/>
    <n v="217.26"/>
    <n v="4.7619047620000003"/>
    <n v="10.863"/>
    <n v="8.1999999999999993"/>
    <x v="1"/>
    <n v="3"/>
    <s v="Standard"/>
    <s v="Standard Order"/>
    <m/>
    <s v=""/>
    <m/>
    <m/>
    <s v=""/>
  </r>
  <r>
    <x v="560"/>
    <x v="2"/>
    <x v="2"/>
    <s v="Normal"/>
    <s v="Male"/>
    <x v="1"/>
    <n v="21.58"/>
    <n v="9"/>
    <n v="9.7110000000000003"/>
    <n v="203.93100000000001"/>
    <d v="2019-03-14T00:00:00"/>
    <d v="1899-12-30T12:32:00"/>
    <x v="1"/>
    <n v="194.22"/>
    <n v="4.7619047620000003"/>
    <n v="9.7110000000000003"/>
    <n v="7.3"/>
    <x v="1"/>
    <n v="3"/>
    <s v="Standard"/>
    <s v="Standard Order"/>
    <m/>
    <s v=""/>
    <m/>
    <m/>
    <s v=""/>
  </r>
  <r>
    <x v="561"/>
    <x v="1"/>
    <x v="1"/>
    <s v="Normal"/>
    <s v="Male"/>
    <x v="4"/>
    <n v="89.2"/>
    <n v="10"/>
    <n v="44.6"/>
    <n v="936.6"/>
    <d v="2019-02-11T00:00:00"/>
    <d v="1899-12-30T15:42:00"/>
    <x v="2"/>
    <n v="892"/>
    <n v="4.7619047620000003"/>
    <n v="44.6"/>
    <n v="4.4000000000000004"/>
    <x v="2"/>
    <n v="2"/>
    <s v="High Value"/>
    <s v="High Value Order"/>
    <m/>
    <s v=""/>
    <m/>
    <m/>
    <s v=""/>
  </r>
  <r>
    <x v="562"/>
    <x v="2"/>
    <x v="2"/>
    <s v="Normal"/>
    <s v="Female"/>
    <x v="1"/>
    <n v="42.42"/>
    <n v="8"/>
    <n v="16.968"/>
    <n v="356.32799999999997"/>
    <d v="2019-01-30T00:00:00"/>
    <d v="1899-12-30T13:58:00"/>
    <x v="0"/>
    <n v="339.36"/>
    <n v="4.7619047620000003"/>
    <n v="16.968"/>
    <n v="5.7"/>
    <x v="0"/>
    <n v="1"/>
    <s v="Standard"/>
    <s v="Standard Order"/>
    <m/>
    <s v=""/>
    <m/>
    <m/>
    <s v=""/>
  </r>
  <r>
    <x v="563"/>
    <x v="0"/>
    <x v="0"/>
    <s v="Member"/>
    <s v="Male"/>
    <x v="1"/>
    <n v="74.510000000000005"/>
    <n v="6"/>
    <n v="22.353000000000002"/>
    <n v="469.41300000000001"/>
    <d v="2019-03-20T00:00:00"/>
    <d v="1899-12-30T15:08:00"/>
    <x v="0"/>
    <n v="447.06"/>
    <n v="4.7619047620000003"/>
    <n v="22.353000000000002"/>
    <n v="5"/>
    <x v="1"/>
    <n v="3"/>
    <s v="Standard"/>
    <s v="Standard Order"/>
    <m/>
    <s v=""/>
    <m/>
    <m/>
    <s v=""/>
  </r>
  <r>
    <x v="564"/>
    <x v="2"/>
    <x v="2"/>
    <s v="Normal"/>
    <s v="Male"/>
    <x v="5"/>
    <n v="99.25"/>
    <n v="2"/>
    <n v="9.9250000000000007"/>
    <n v="208.42500000000001"/>
    <d v="2019-03-20T00:00:00"/>
    <d v="1899-12-30T13:02:00"/>
    <x v="1"/>
    <n v="198.5"/>
    <n v="4.7619047620000003"/>
    <n v="9.9250000000000007"/>
    <n v="9"/>
    <x v="1"/>
    <n v="3"/>
    <s v="Standard"/>
    <s v="Standard Order"/>
    <m/>
    <s v=""/>
    <m/>
    <m/>
    <s v=""/>
  </r>
  <r>
    <x v="565"/>
    <x v="0"/>
    <x v="0"/>
    <s v="Normal"/>
    <s v="Female"/>
    <x v="4"/>
    <n v="81.209999999999994"/>
    <n v="10"/>
    <n v="40.604999999999997"/>
    <n v="852.70500000000004"/>
    <d v="2019-01-17T00:00:00"/>
    <d v="1899-12-30T13:01:00"/>
    <x v="2"/>
    <n v="812.1"/>
    <n v="4.7619047620000003"/>
    <n v="40.604999999999997"/>
    <n v="6.3"/>
    <x v="0"/>
    <n v="1"/>
    <s v="High Value"/>
    <s v="High Value Order"/>
    <m/>
    <s v=""/>
    <m/>
    <m/>
    <s v=""/>
  </r>
  <r>
    <x v="566"/>
    <x v="1"/>
    <x v="1"/>
    <s v="Normal"/>
    <s v="Female"/>
    <x v="3"/>
    <n v="49.33"/>
    <n v="10"/>
    <n v="24.664999999999999"/>
    <n v="517.96500000000003"/>
    <d v="2019-02-03T00:00:00"/>
    <d v="1899-12-30T16:40:00"/>
    <x v="2"/>
    <n v="493.3"/>
    <n v="4.7619047620000003"/>
    <n v="24.664999999999999"/>
    <n v="9.4"/>
    <x v="2"/>
    <n v="2"/>
    <s v="High Value"/>
    <s v="High Value Order"/>
    <m/>
    <s v=""/>
    <m/>
    <m/>
    <s v=""/>
  </r>
  <r>
    <x v="567"/>
    <x v="0"/>
    <x v="0"/>
    <s v="Normal"/>
    <s v="Female"/>
    <x v="5"/>
    <n v="65.739999999999995"/>
    <n v="9"/>
    <n v="29.582999999999998"/>
    <n v="621.24300000000005"/>
    <d v="2019-01-01T00:00:00"/>
    <d v="1899-12-30T13:55:00"/>
    <x v="1"/>
    <n v="591.66"/>
    <n v="4.7619047620000003"/>
    <n v="29.582999999999998"/>
    <n v="7.7"/>
    <x v="0"/>
    <n v="1"/>
    <s v="High Value"/>
    <s v="High Value Order"/>
    <m/>
    <s v=""/>
    <m/>
    <m/>
    <s v=""/>
  </r>
  <r>
    <x v="568"/>
    <x v="2"/>
    <x v="2"/>
    <s v="Normal"/>
    <s v="Female"/>
    <x v="5"/>
    <n v="79.86"/>
    <n v="7"/>
    <n v="27.951000000000001"/>
    <n v="586.971"/>
    <d v="2019-01-10T00:00:00"/>
    <d v="1899-12-30T10:33:00"/>
    <x v="2"/>
    <n v="559.02"/>
    <n v="4.7619047620000003"/>
    <n v="27.951000000000001"/>
    <n v="5.5"/>
    <x v="0"/>
    <n v="1"/>
    <s v="High Value"/>
    <s v="High Value Order"/>
    <m/>
    <s v=""/>
    <m/>
    <m/>
    <s v=""/>
  </r>
  <r>
    <x v="569"/>
    <x v="1"/>
    <x v="1"/>
    <s v="Normal"/>
    <s v="Female"/>
    <x v="3"/>
    <n v="73.98"/>
    <n v="7"/>
    <n v="25.893000000000001"/>
    <n v="543.75300000000004"/>
    <d v="2019-03-02T00:00:00"/>
    <d v="1899-12-30T16:42:00"/>
    <x v="0"/>
    <n v="517.86"/>
    <n v="4.7619047620000003"/>
    <n v="25.893000000000001"/>
    <n v="4.0999999999999996"/>
    <x v="1"/>
    <n v="3"/>
    <s v="High Value"/>
    <s v="High Value Order"/>
    <m/>
    <s v=""/>
    <m/>
    <m/>
    <s v=""/>
  </r>
  <r>
    <x v="570"/>
    <x v="2"/>
    <x v="2"/>
    <s v="Member"/>
    <s v="Female"/>
    <x v="2"/>
    <n v="82.04"/>
    <n v="5"/>
    <n v="20.51"/>
    <n v="430.71"/>
    <d v="2019-02-25T00:00:00"/>
    <d v="1899-12-30T17:16:00"/>
    <x v="2"/>
    <n v="410.2"/>
    <n v="4.7619047620000003"/>
    <n v="20.51"/>
    <n v="7.6"/>
    <x v="2"/>
    <n v="2"/>
    <s v="Standard"/>
    <s v="Standard Order"/>
    <m/>
    <s v=""/>
    <m/>
    <m/>
    <s v=""/>
  </r>
  <r>
    <x v="571"/>
    <x v="2"/>
    <x v="2"/>
    <s v="Member"/>
    <s v="Male"/>
    <x v="3"/>
    <n v="26.67"/>
    <n v="10"/>
    <n v="13.335000000000001"/>
    <n v="280.03500000000003"/>
    <d v="2019-01-29T00:00:00"/>
    <d v="1899-12-30T11:48:00"/>
    <x v="1"/>
    <n v="266.7"/>
    <n v="4.7619047620000003"/>
    <n v="13.335000000000001"/>
    <n v="8.6"/>
    <x v="0"/>
    <n v="1"/>
    <s v="Standard"/>
    <s v="Standard Order"/>
    <m/>
    <s v=""/>
    <m/>
    <m/>
    <s v=""/>
  </r>
  <r>
    <x v="572"/>
    <x v="0"/>
    <x v="0"/>
    <s v="Member"/>
    <s v="Male"/>
    <x v="4"/>
    <n v="10.130000000000001"/>
    <n v="7"/>
    <n v="3.5455000000000001"/>
    <n v="74.455500000000001"/>
    <d v="2019-03-10T00:00:00"/>
    <d v="1899-12-30T19:35:00"/>
    <x v="0"/>
    <n v="70.91"/>
    <n v="4.7619047620000003"/>
    <n v="3.5455000000000001"/>
    <n v="8.3000000000000007"/>
    <x v="1"/>
    <n v="3"/>
    <s v="Standard"/>
    <s v="Standard Order"/>
    <m/>
    <s v=""/>
    <m/>
    <m/>
    <s v=""/>
  </r>
  <r>
    <x v="573"/>
    <x v="2"/>
    <x v="2"/>
    <s v="Normal"/>
    <s v="Male"/>
    <x v="4"/>
    <n v="72.39"/>
    <n v="2"/>
    <n v="7.2389999999999999"/>
    <n v="152.01900000000001"/>
    <d v="2019-01-13T00:00:00"/>
    <d v="1899-12-30T19:55:00"/>
    <x v="2"/>
    <n v="144.78"/>
    <n v="4.7619047620000003"/>
    <n v="7.2389999999999999"/>
    <n v="8.1"/>
    <x v="0"/>
    <n v="1"/>
    <s v="Standard"/>
    <s v="Standard Order"/>
    <m/>
    <s v=""/>
    <m/>
    <m/>
    <s v=""/>
  </r>
  <r>
    <x v="574"/>
    <x v="0"/>
    <x v="0"/>
    <s v="Normal"/>
    <s v="Male"/>
    <x v="3"/>
    <n v="85.91"/>
    <n v="5"/>
    <n v="21.477499999999999"/>
    <n v="451.02749999999997"/>
    <d v="2019-03-22T00:00:00"/>
    <d v="1899-12-30T14:33:00"/>
    <x v="2"/>
    <n v="429.55"/>
    <n v="4.7619047620000003"/>
    <n v="21.477499999999999"/>
    <n v="8.6"/>
    <x v="1"/>
    <n v="3"/>
    <s v="Standard"/>
    <s v="Standard Order"/>
    <m/>
    <s v=""/>
    <m/>
    <m/>
    <s v=""/>
  </r>
  <r>
    <x v="575"/>
    <x v="2"/>
    <x v="2"/>
    <s v="Member"/>
    <s v="Male"/>
    <x v="5"/>
    <n v="81.31"/>
    <n v="7"/>
    <n v="28.458500000000001"/>
    <n v="597.62850000000003"/>
    <d v="2019-03-01T00:00:00"/>
    <d v="1899-12-30T19:49:00"/>
    <x v="0"/>
    <n v="569.16999999999996"/>
    <n v="4.7619047620000003"/>
    <n v="28.458500000000001"/>
    <n v="6.3"/>
    <x v="1"/>
    <n v="3"/>
    <s v="High Value"/>
    <s v="High Value Order"/>
    <m/>
    <s v=""/>
    <m/>
    <m/>
    <s v=""/>
  </r>
  <r>
    <x v="576"/>
    <x v="2"/>
    <x v="2"/>
    <s v="Normal"/>
    <s v="Male"/>
    <x v="4"/>
    <n v="60.3"/>
    <n v="4"/>
    <n v="12.06"/>
    <n v="253.26"/>
    <d v="2019-02-20T00:00:00"/>
    <d v="1899-12-30T18:43:00"/>
    <x v="1"/>
    <n v="241.2"/>
    <n v="4.7619047620000003"/>
    <n v="12.06"/>
    <n v="5.8"/>
    <x v="2"/>
    <n v="2"/>
    <s v="Standard"/>
    <s v="Standard Order"/>
    <m/>
    <s v=""/>
    <m/>
    <m/>
    <s v=""/>
  </r>
  <r>
    <x v="577"/>
    <x v="1"/>
    <x v="1"/>
    <s v="Normal"/>
    <s v="Male"/>
    <x v="4"/>
    <n v="31.77"/>
    <n v="4"/>
    <n v="6.3540000000000001"/>
    <n v="133.434"/>
    <d v="2019-01-14T00:00:00"/>
    <d v="1899-12-30T14:43:00"/>
    <x v="0"/>
    <n v="127.08"/>
    <n v="4.7619047620000003"/>
    <n v="6.3540000000000001"/>
    <n v="6.2"/>
    <x v="0"/>
    <n v="1"/>
    <s v="Standard"/>
    <s v="Standard Order"/>
    <m/>
    <s v=""/>
    <m/>
    <m/>
    <s v=""/>
  </r>
  <r>
    <x v="578"/>
    <x v="0"/>
    <x v="0"/>
    <s v="Normal"/>
    <s v="Female"/>
    <x v="0"/>
    <n v="64.27"/>
    <n v="4"/>
    <n v="12.853999999999999"/>
    <n v="269.93400000000003"/>
    <d v="2019-03-26T00:00:00"/>
    <d v="1899-12-30T13:54:00"/>
    <x v="1"/>
    <n v="257.08"/>
    <n v="4.7619047620000003"/>
    <n v="12.853999999999999"/>
    <n v="7.7"/>
    <x v="1"/>
    <n v="3"/>
    <s v="Standard"/>
    <s v="Standard Order"/>
    <m/>
    <s v=""/>
    <m/>
    <m/>
    <s v=""/>
  </r>
  <r>
    <x v="579"/>
    <x v="2"/>
    <x v="2"/>
    <s v="Normal"/>
    <s v="Male"/>
    <x v="0"/>
    <n v="69.510000000000005"/>
    <n v="2"/>
    <n v="6.9509999999999996"/>
    <n v="145.971"/>
    <d v="2019-03-01T00:00:00"/>
    <d v="1899-12-30T12:15:00"/>
    <x v="0"/>
    <n v="139.02000000000001"/>
    <n v="4.7619047620000003"/>
    <n v="6.9509999999999996"/>
    <n v="8.1"/>
    <x v="1"/>
    <n v="3"/>
    <s v="Standard"/>
    <s v="Standard Order"/>
    <m/>
    <s v=""/>
    <m/>
    <m/>
    <s v=""/>
  </r>
  <r>
    <x v="580"/>
    <x v="1"/>
    <x v="1"/>
    <s v="Normal"/>
    <s v="Male"/>
    <x v="4"/>
    <n v="27.22"/>
    <n v="3"/>
    <n v="4.0830000000000002"/>
    <n v="85.742999999999995"/>
    <d v="2019-01-07T00:00:00"/>
    <d v="1899-12-30T12:37:00"/>
    <x v="1"/>
    <n v="81.66"/>
    <n v="4.7619047620000003"/>
    <n v="4.0830000000000002"/>
    <n v="7.3"/>
    <x v="0"/>
    <n v="1"/>
    <s v="Standard"/>
    <s v="Standard Order"/>
    <m/>
    <s v=""/>
    <m/>
    <m/>
    <s v=""/>
  </r>
  <r>
    <x v="581"/>
    <x v="0"/>
    <x v="0"/>
    <s v="Member"/>
    <s v="Female"/>
    <x v="0"/>
    <n v="77.680000000000007"/>
    <n v="4"/>
    <n v="15.536"/>
    <n v="326.25599999999997"/>
    <d v="2019-02-01T00:00:00"/>
    <d v="1899-12-30T19:54:00"/>
    <x v="1"/>
    <n v="310.72000000000003"/>
    <n v="4.7619047620000003"/>
    <n v="15.536"/>
    <n v="8.4"/>
    <x v="2"/>
    <n v="2"/>
    <s v="Standard"/>
    <s v="Standard Order"/>
    <m/>
    <s v=""/>
    <m/>
    <m/>
    <s v=""/>
  </r>
  <r>
    <x v="582"/>
    <x v="1"/>
    <x v="1"/>
    <s v="Member"/>
    <s v="Female"/>
    <x v="5"/>
    <n v="92.98"/>
    <n v="2"/>
    <n v="9.298"/>
    <n v="195.25800000000001"/>
    <d v="2019-02-13T00:00:00"/>
    <d v="1899-12-30T15:06:00"/>
    <x v="2"/>
    <n v="185.96"/>
    <n v="4.7619047620000003"/>
    <n v="9.298"/>
    <n v="8"/>
    <x v="2"/>
    <n v="2"/>
    <s v="Standard"/>
    <s v="Standard Order"/>
    <m/>
    <s v=""/>
    <m/>
    <m/>
    <s v=""/>
  </r>
  <r>
    <x v="583"/>
    <x v="2"/>
    <x v="2"/>
    <s v="Member"/>
    <s v="Female"/>
    <x v="5"/>
    <n v="18.079999999999998"/>
    <n v="4"/>
    <n v="3.6160000000000001"/>
    <n v="75.936000000000007"/>
    <d v="2019-01-14T00:00:00"/>
    <d v="1899-12-30T18:03:00"/>
    <x v="2"/>
    <n v="72.319999999999993"/>
    <n v="4.7619047620000003"/>
    <n v="3.6160000000000001"/>
    <n v="9.5"/>
    <x v="0"/>
    <n v="1"/>
    <s v="Standard"/>
    <s v="Standard Order"/>
    <m/>
    <s v=""/>
    <m/>
    <m/>
    <s v=""/>
  </r>
  <r>
    <x v="584"/>
    <x v="2"/>
    <x v="2"/>
    <s v="Normal"/>
    <s v="Male"/>
    <x v="3"/>
    <n v="63.06"/>
    <n v="3"/>
    <n v="9.4589999999999996"/>
    <n v="198.63900000000001"/>
    <d v="2019-01-19T00:00:00"/>
    <d v="1899-12-30T15:58:00"/>
    <x v="0"/>
    <n v="189.18"/>
    <n v="4.7619047620000003"/>
    <n v="9.4589999999999996"/>
    <n v="7"/>
    <x v="0"/>
    <n v="1"/>
    <s v="Standard"/>
    <s v="Standard Order"/>
    <m/>
    <s v=""/>
    <m/>
    <m/>
    <s v=""/>
  </r>
  <r>
    <x v="585"/>
    <x v="0"/>
    <x v="0"/>
    <s v="Normal"/>
    <s v="Male"/>
    <x v="0"/>
    <n v="51.71"/>
    <n v="4"/>
    <n v="10.342000000000001"/>
    <n v="217.18199999999999"/>
    <d v="2019-03-09T00:00:00"/>
    <d v="1899-12-30T13:53:00"/>
    <x v="2"/>
    <n v="206.84"/>
    <n v="4.7619047620000003"/>
    <n v="10.342000000000001"/>
    <n v="9.8000000000000007"/>
    <x v="1"/>
    <n v="3"/>
    <s v="Standard"/>
    <s v="Standard Order"/>
    <m/>
    <s v=""/>
    <m/>
    <m/>
    <s v=""/>
  </r>
  <r>
    <x v="586"/>
    <x v="0"/>
    <x v="0"/>
    <s v="Normal"/>
    <s v="Female"/>
    <x v="4"/>
    <n v="52.34"/>
    <n v="3"/>
    <n v="7.851"/>
    <n v="164.87100000000001"/>
    <d v="2019-03-27T00:00:00"/>
    <d v="1899-12-30T14:03:00"/>
    <x v="1"/>
    <n v="157.02000000000001"/>
    <n v="4.7619047620000003"/>
    <n v="7.851"/>
    <n v="9.1999999999999993"/>
    <x v="1"/>
    <n v="3"/>
    <s v="Standard"/>
    <s v="Standard Order"/>
    <m/>
    <s v=""/>
    <m/>
    <m/>
    <s v=""/>
  </r>
  <r>
    <x v="587"/>
    <x v="0"/>
    <x v="0"/>
    <s v="Normal"/>
    <s v="Female"/>
    <x v="3"/>
    <n v="43.06"/>
    <n v="5"/>
    <n v="10.765000000000001"/>
    <n v="226.065"/>
    <d v="2019-02-04T00:00:00"/>
    <d v="1899-12-30T16:38:00"/>
    <x v="0"/>
    <n v="215.3"/>
    <n v="4.7619047620000003"/>
    <n v="10.765000000000001"/>
    <n v="7.7"/>
    <x v="2"/>
    <n v="2"/>
    <s v="Standard"/>
    <s v="Standard Order"/>
    <m/>
    <s v=""/>
    <m/>
    <m/>
    <s v=""/>
  </r>
  <r>
    <x v="588"/>
    <x v="1"/>
    <x v="1"/>
    <s v="Normal"/>
    <s v="Male"/>
    <x v="5"/>
    <n v="59.61"/>
    <n v="10"/>
    <n v="29.805"/>
    <n v="625.90499999999997"/>
    <d v="2019-03-14T00:00:00"/>
    <d v="1899-12-30T11:07:00"/>
    <x v="1"/>
    <n v="596.1"/>
    <n v="4.7619047620000003"/>
    <n v="29.805"/>
    <n v="5.3"/>
    <x v="1"/>
    <n v="3"/>
    <s v="High Value"/>
    <s v="High Value Order"/>
    <m/>
    <s v=""/>
    <m/>
    <m/>
    <s v=""/>
  </r>
  <r>
    <x v="589"/>
    <x v="0"/>
    <x v="0"/>
    <s v="Normal"/>
    <s v="Male"/>
    <x v="0"/>
    <n v="14.62"/>
    <n v="5"/>
    <n v="3.6549999999999998"/>
    <n v="76.754999999999995"/>
    <d v="2019-03-04T00:00:00"/>
    <d v="1899-12-30T12:23:00"/>
    <x v="1"/>
    <n v="73.099999999999994"/>
    <n v="4.7619047620000003"/>
    <n v="3.6549999999999998"/>
    <n v="4.4000000000000004"/>
    <x v="1"/>
    <n v="3"/>
    <s v="Standard"/>
    <s v="Standard Order"/>
    <m/>
    <s v=""/>
    <m/>
    <m/>
    <s v=""/>
  </r>
  <r>
    <x v="590"/>
    <x v="1"/>
    <x v="1"/>
    <s v="Member"/>
    <s v="Male"/>
    <x v="0"/>
    <n v="46.53"/>
    <n v="6"/>
    <n v="13.959"/>
    <n v="293.13900000000001"/>
    <d v="2019-03-03T00:00:00"/>
    <d v="1899-12-30T10:54:00"/>
    <x v="2"/>
    <n v="279.18"/>
    <n v="4.7619047620000003"/>
    <n v="13.959"/>
    <n v="4.3"/>
    <x v="1"/>
    <n v="3"/>
    <s v="Standard"/>
    <s v="Standard Order"/>
    <m/>
    <s v=""/>
    <m/>
    <m/>
    <s v=""/>
  </r>
  <r>
    <x v="591"/>
    <x v="1"/>
    <x v="1"/>
    <s v="Member"/>
    <s v="Female"/>
    <x v="2"/>
    <n v="24.24"/>
    <n v="7"/>
    <n v="8.484"/>
    <n v="178.16399999999999"/>
    <d v="2019-01-27T00:00:00"/>
    <d v="1899-12-30T17:38:00"/>
    <x v="0"/>
    <n v="169.68"/>
    <n v="4.7619047620000003"/>
    <n v="8.484"/>
    <n v="9.4"/>
    <x v="0"/>
    <n v="1"/>
    <s v="Standard"/>
    <s v="Standard Order"/>
    <m/>
    <s v=""/>
    <m/>
    <m/>
    <s v=""/>
  </r>
  <r>
    <x v="592"/>
    <x v="0"/>
    <x v="0"/>
    <s v="Member"/>
    <s v="Female"/>
    <x v="3"/>
    <n v="45.58"/>
    <n v="1"/>
    <n v="2.2789999999999999"/>
    <n v="47.859000000000002"/>
    <d v="2019-02-07T00:00:00"/>
    <d v="1899-12-30T14:13:00"/>
    <x v="1"/>
    <n v="45.58"/>
    <n v="4.7619047620000003"/>
    <n v="2.2789999999999999"/>
    <n v="9.8000000000000007"/>
    <x v="2"/>
    <n v="2"/>
    <s v="Standard"/>
    <s v="Standard Order"/>
    <m/>
    <s v=""/>
    <m/>
    <m/>
    <s v=""/>
  </r>
  <r>
    <x v="593"/>
    <x v="0"/>
    <x v="0"/>
    <s v="Member"/>
    <s v="Female"/>
    <x v="3"/>
    <n v="75.2"/>
    <n v="3"/>
    <n v="11.28"/>
    <n v="236.88"/>
    <d v="2019-02-05T00:00:00"/>
    <d v="1899-12-30T11:51:00"/>
    <x v="0"/>
    <n v="225.6"/>
    <n v="4.7619047620000003"/>
    <n v="11.28"/>
    <n v="4.8"/>
    <x v="2"/>
    <n v="2"/>
    <s v="Standard"/>
    <s v="Standard Order"/>
    <m/>
    <s v=""/>
    <m/>
    <m/>
    <s v=""/>
  </r>
  <r>
    <x v="594"/>
    <x v="2"/>
    <x v="2"/>
    <s v="Member"/>
    <s v="Male"/>
    <x v="3"/>
    <n v="96.8"/>
    <n v="3"/>
    <n v="14.52"/>
    <n v="304.92"/>
    <d v="2019-03-15T00:00:00"/>
    <d v="1899-12-30T13:05:00"/>
    <x v="1"/>
    <n v="290.39999999999998"/>
    <n v="4.7619047620000003"/>
    <n v="14.52"/>
    <n v="5.3"/>
    <x v="1"/>
    <n v="3"/>
    <s v="Standard"/>
    <s v="Standard Order"/>
    <m/>
    <s v=""/>
    <m/>
    <m/>
    <s v=""/>
  </r>
  <r>
    <x v="595"/>
    <x v="2"/>
    <x v="2"/>
    <s v="Normal"/>
    <s v="Male"/>
    <x v="0"/>
    <n v="14.82"/>
    <n v="3"/>
    <n v="2.2229999999999999"/>
    <n v="46.683"/>
    <d v="2019-03-01T00:00:00"/>
    <d v="1899-12-30T11:30:00"/>
    <x v="2"/>
    <n v="44.46"/>
    <n v="4.7619047620000003"/>
    <n v="2.2229999999999999"/>
    <n v="8.6999999999999993"/>
    <x v="1"/>
    <n v="3"/>
    <s v="Standard"/>
    <s v="Standard Order"/>
    <m/>
    <s v=""/>
    <m/>
    <m/>
    <s v=""/>
  </r>
  <r>
    <x v="596"/>
    <x v="0"/>
    <x v="0"/>
    <s v="Normal"/>
    <s v="Male"/>
    <x v="4"/>
    <n v="52.2"/>
    <n v="3"/>
    <n v="7.83"/>
    <n v="164.43"/>
    <d v="2019-02-15T00:00:00"/>
    <d v="1899-12-30T13:30:00"/>
    <x v="2"/>
    <n v="156.6"/>
    <n v="4.7619047620000003"/>
    <n v="7.83"/>
    <n v="9.5"/>
    <x v="2"/>
    <n v="2"/>
    <s v="Standard"/>
    <s v="Standard Order"/>
    <m/>
    <s v=""/>
    <m/>
    <m/>
    <s v=""/>
  </r>
  <r>
    <x v="597"/>
    <x v="1"/>
    <x v="1"/>
    <s v="Normal"/>
    <s v="Female"/>
    <x v="3"/>
    <n v="46.66"/>
    <n v="9"/>
    <n v="20.997"/>
    <n v="440.93700000000001"/>
    <d v="2019-02-17T00:00:00"/>
    <d v="1899-12-30T19:11:00"/>
    <x v="0"/>
    <n v="419.94"/>
    <n v="4.7619047620000003"/>
    <n v="20.997"/>
    <n v="5.3"/>
    <x v="2"/>
    <n v="2"/>
    <s v="Standard"/>
    <s v="Standard Order"/>
    <m/>
    <s v=""/>
    <m/>
    <m/>
    <s v=""/>
  </r>
  <r>
    <x v="598"/>
    <x v="1"/>
    <x v="1"/>
    <s v="Normal"/>
    <s v="Female"/>
    <x v="5"/>
    <n v="36.85"/>
    <n v="5"/>
    <n v="9.2125000000000004"/>
    <n v="193.46250000000001"/>
    <d v="2019-01-26T00:00:00"/>
    <d v="1899-12-30T18:53:00"/>
    <x v="1"/>
    <n v="184.25"/>
    <n v="4.7619047620000003"/>
    <n v="9.2125000000000004"/>
    <n v="9.1999999999999993"/>
    <x v="0"/>
    <n v="1"/>
    <s v="Standard"/>
    <s v="Standard Order"/>
    <m/>
    <s v=""/>
    <m/>
    <m/>
    <s v=""/>
  </r>
  <r>
    <x v="599"/>
    <x v="0"/>
    <x v="0"/>
    <s v="Member"/>
    <s v="Female"/>
    <x v="2"/>
    <n v="70.319999999999993"/>
    <n v="2"/>
    <n v="7.032"/>
    <n v="147.672"/>
    <d v="2019-03-24T00:00:00"/>
    <d v="1899-12-30T14:22:00"/>
    <x v="0"/>
    <n v="140.63999999999999"/>
    <n v="4.7619047620000003"/>
    <n v="7.032"/>
    <n v="9.6"/>
    <x v="1"/>
    <n v="3"/>
    <s v="Standard"/>
    <s v="Standard Order"/>
    <m/>
    <s v=""/>
    <m/>
    <m/>
    <s v=""/>
  </r>
  <r>
    <x v="600"/>
    <x v="1"/>
    <x v="1"/>
    <s v="Normal"/>
    <s v="Male"/>
    <x v="1"/>
    <n v="83.08"/>
    <n v="1"/>
    <n v="4.1539999999999999"/>
    <n v="87.233999999999995"/>
    <d v="2019-01-23T00:00:00"/>
    <d v="1899-12-30T17:16:00"/>
    <x v="0"/>
    <n v="83.08"/>
    <n v="4.7619047620000003"/>
    <n v="4.1539999999999999"/>
    <n v="6.4"/>
    <x v="0"/>
    <n v="1"/>
    <s v="Standard"/>
    <s v="Standard Order"/>
    <m/>
    <s v=""/>
    <m/>
    <m/>
    <s v=""/>
  </r>
  <r>
    <x v="601"/>
    <x v="1"/>
    <x v="1"/>
    <s v="Normal"/>
    <s v="Female"/>
    <x v="5"/>
    <n v="64.989999999999995"/>
    <n v="1"/>
    <n v="3.2494999999999998"/>
    <n v="68.239500000000007"/>
    <d v="2019-01-26T00:00:00"/>
    <d v="1899-12-30T10:06:00"/>
    <x v="2"/>
    <n v="64.989999999999995"/>
    <n v="4.7619047620000003"/>
    <n v="3.2494999999999998"/>
    <n v="4.5"/>
    <x v="0"/>
    <n v="1"/>
    <s v="Standard"/>
    <s v="Standard Order"/>
    <m/>
    <s v=""/>
    <m/>
    <m/>
    <s v=""/>
  </r>
  <r>
    <x v="602"/>
    <x v="1"/>
    <x v="1"/>
    <s v="Normal"/>
    <s v="Male"/>
    <x v="4"/>
    <n v="77.56"/>
    <n v="10"/>
    <n v="38.78"/>
    <n v="814.38"/>
    <d v="2019-03-14T00:00:00"/>
    <d v="1899-12-30T20:35:00"/>
    <x v="0"/>
    <n v="775.6"/>
    <n v="4.7619047620000003"/>
    <n v="38.78"/>
    <n v="6.9"/>
    <x v="1"/>
    <n v="3"/>
    <s v="High Value"/>
    <s v="High Value Order"/>
    <m/>
    <s v=""/>
    <m/>
    <m/>
    <s v=""/>
  </r>
  <r>
    <x v="603"/>
    <x v="2"/>
    <x v="2"/>
    <s v="Normal"/>
    <s v="Female"/>
    <x v="3"/>
    <n v="54.51"/>
    <n v="6"/>
    <n v="16.353000000000002"/>
    <n v="343.41300000000001"/>
    <d v="2019-03-17T00:00:00"/>
    <d v="1899-12-30T13:54:00"/>
    <x v="0"/>
    <n v="327.06"/>
    <n v="4.7619047620000003"/>
    <n v="16.353000000000002"/>
    <n v="7.8"/>
    <x v="1"/>
    <n v="3"/>
    <s v="Standard"/>
    <s v="Standard Order"/>
    <m/>
    <s v=""/>
    <m/>
    <m/>
    <s v=""/>
  </r>
  <r>
    <x v="604"/>
    <x v="1"/>
    <x v="1"/>
    <s v="Member"/>
    <s v="Female"/>
    <x v="5"/>
    <n v="51.89"/>
    <n v="7"/>
    <n v="18.1615"/>
    <n v="381.39150000000001"/>
    <d v="2019-01-08T00:00:00"/>
    <d v="1899-12-30T20:08:00"/>
    <x v="1"/>
    <n v="363.23"/>
    <n v="4.7619047620000003"/>
    <n v="18.1615"/>
    <n v="4.5"/>
    <x v="0"/>
    <n v="1"/>
    <s v="Standard"/>
    <s v="Standard Order"/>
    <m/>
    <s v=""/>
    <m/>
    <m/>
    <s v=""/>
  </r>
  <r>
    <x v="605"/>
    <x v="2"/>
    <x v="2"/>
    <s v="Normal"/>
    <s v="Male"/>
    <x v="2"/>
    <n v="31.75"/>
    <n v="4"/>
    <n v="6.35"/>
    <n v="133.35"/>
    <d v="2019-02-08T00:00:00"/>
    <d v="1899-12-30T15:26:00"/>
    <x v="1"/>
    <n v="127"/>
    <n v="4.7619047620000003"/>
    <n v="6.35"/>
    <n v="8.6"/>
    <x v="2"/>
    <n v="2"/>
    <s v="Standard"/>
    <s v="Standard Order"/>
    <m/>
    <s v=""/>
    <m/>
    <m/>
    <s v=""/>
  </r>
  <r>
    <x v="606"/>
    <x v="0"/>
    <x v="0"/>
    <s v="Member"/>
    <s v="Female"/>
    <x v="5"/>
    <n v="53.65"/>
    <n v="7"/>
    <n v="18.7775"/>
    <n v="394.32749999999999"/>
    <d v="2019-02-10T00:00:00"/>
    <d v="1899-12-30T12:56:00"/>
    <x v="0"/>
    <n v="375.55"/>
    <n v="4.7619047620000003"/>
    <n v="18.7775"/>
    <n v="5.2"/>
    <x v="2"/>
    <n v="2"/>
    <s v="Standard"/>
    <s v="Standard Order"/>
    <m/>
    <s v=""/>
    <m/>
    <m/>
    <s v=""/>
  </r>
  <r>
    <x v="607"/>
    <x v="1"/>
    <x v="1"/>
    <s v="Member"/>
    <s v="Female"/>
    <x v="4"/>
    <n v="49.79"/>
    <n v="4"/>
    <n v="9.9580000000000002"/>
    <n v="209.11799999999999"/>
    <d v="2019-03-28T00:00:00"/>
    <d v="1899-12-30T19:16:00"/>
    <x v="2"/>
    <n v="199.16"/>
    <n v="4.7619047620000003"/>
    <n v="9.9580000000000002"/>
    <n v="6.4"/>
    <x v="1"/>
    <n v="3"/>
    <s v="Standard"/>
    <s v="Standard Order"/>
    <m/>
    <s v=""/>
    <m/>
    <m/>
    <s v=""/>
  </r>
  <r>
    <x v="608"/>
    <x v="0"/>
    <x v="0"/>
    <s v="Normal"/>
    <s v="Male"/>
    <x v="5"/>
    <n v="30.61"/>
    <n v="1"/>
    <n v="1.5305"/>
    <n v="32.140500000000003"/>
    <d v="2019-01-23T00:00:00"/>
    <d v="1899-12-30T12:20:00"/>
    <x v="0"/>
    <n v="30.61"/>
    <n v="4.7619047620000003"/>
    <n v="1.5305"/>
    <n v="5.2"/>
    <x v="0"/>
    <n v="1"/>
    <s v="Standard"/>
    <s v="Standard Order"/>
    <m/>
    <s v=""/>
    <m/>
    <m/>
    <s v=""/>
  </r>
  <r>
    <x v="609"/>
    <x v="2"/>
    <x v="2"/>
    <s v="Member"/>
    <s v="Male"/>
    <x v="4"/>
    <n v="57.89"/>
    <n v="2"/>
    <n v="5.7889999999999997"/>
    <n v="121.569"/>
    <d v="2019-01-17T00:00:00"/>
    <d v="1899-12-30T10:37:00"/>
    <x v="0"/>
    <n v="115.78"/>
    <n v="4.7619047620000003"/>
    <n v="5.7889999999999997"/>
    <n v="8.9"/>
    <x v="0"/>
    <n v="1"/>
    <s v="Standard"/>
    <s v="Standard Order"/>
    <m/>
    <s v=""/>
    <m/>
    <m/>
    <s v=""/>
  </r>
  <r>
    <x v="610"/>
    <x v="0"/>
    <x v="0"/>
    <s v="Normal"/>
    <s v="Female"/>
    <x v="1"/>
    <n v="28.96"/>
    <n v="1"/>
    <n v="1.448"/>
    <n v="30.408000000000001"/>
    <d v="2019-02-07T00:00:00"/>
    <d v="1899-12-30T10:18:00"/>
    <x v="2"/>
    <n v="28.96"/>
    <n v="4.7619047620000003"/>
    <n v="1.448"/>
    <n v="6.2"/>
    <x v="2"/>
    <n v="2"/>
    <s v="Standard"/>
    <s v="Standard Order"/>
    <m/>
    <s v=""/>
    <m/>
    <m/>
    <s v=""/>
  </r>
  <r>
    <x v="611"/>
    <x v="1"/>
    <x v="1"/>
    <s v="Member"/>
    <s v="Female"/>
    <x v="4"/>
    <n v="98.97"/>
    <n v="9"/>
    <n v="44.536499999999997"/>
    <n v="935.26649999999995"/>
    <d v="2019-03-09T00:00:00"/>
    <d v="1899-12-30T11:23:00"/>
    <x v="1"/>
    <n v="890.73"/>
    <n v="4.7619047620000003"/>
    <n v="44.536499999999997"/>
    <n v="6.7"/>
    <x v="1"/>
    <n v="3"/>
    <s v="High Value"/>
    <s v="High Value Order"/>
    <m/>
    <s v=""/>
    <m/>
    <m/>
    <s v=""/>
  </r>
  <r>
    <x v="612"/>
    <x v="2"/>
    <x v="2"/>
    <s v="Member"/>
    <s v="Male"/>
    <x v="5"/>
    <n v="93.22"/>
    <n v="3"/>
    <n v="13.983000000000001"/>
    <n v="293.64299999999997"/>
    <d v="2019-01-24T00:00:00"/>
    <d v="1899-12-30T11:45:00"/>
    <x v="1"/>
    <n v="279.66000000000003"/>
    <n v="4.7619047620000003"/>
    <n v="13.983000000000001"/>
    <n v="7.2"/>
    <x v="0"/>
    <n v="1"/>
    <s v="Standard"/>
    <s v="Standard Order"/>
    <m/>
    <s v=""/>
    <m/>
    <m/>
    <s v=""/>
  </r>
  <r>
    <x v="613"/>
    <x v="1"/>
    <x v="1"/>
    <s v="Member"/>
    <s v="Male"/>
    <x v="3"/>
    <n v="80.930000000000007"/>
    <n v="1"/>
    <n v="4.0465"/>
    <n v="84.976500000000001"/>
    <d v="2019-01-19T00:00:00"/>
    <d v="1899-12-30T16:08:00"/>
    <x v="2"/>
    <n v="80.930000000000007"/>
    <n v="4.7619047620000003"/>
    <n v="4.0465"/>
    <n v="9"/>
    <x v="0"/>
    <n v="1"/>
    <s v="Standard"/>
    <s v="Standard Order"/>
    <m/>
    <s v=""/>
    <m/>
    <m/>
    <s v=""/>
  </r>
  <r>
    <x v="614"/>
    <x v="0"/>
    <x v="0"/>
    <s v="Member"/>
    <s v="Male"/>
    <x v="4"/>
    <n v="67.45"/>
    <n v="10"/>
    <n v="33.725000000000001"/>
    <n v="708.22500000000002"/>
    <d v="2019-02-03T00:00:00"/>
    <d v="1899-12-30T11:25:00"/>
    <x v="0"/>
    <n v="674.5"/>
    <n v="4.7619047620000003"/>
    <n v="33.725000000000001"/>
    <n v="4.2"/>
    <x v="2"/>
    <n v="2"/>
    <s v="High Value"/>
    <s v="High Value Order"/>
    <m/>
    <s v=""/>
    <m/>
    <m/>
    <s v=""/>
  </r>
  <r>
    <x v="615"/>
    <x v="0"/>
    <x v="0"/>
    <s v="Member"/>
    <s v="Female"/>
    <x v="3"/>
    <n v="38.72"/>
    <n v="9"/>
    <n v="17.423999999999999"/>
    <n v="365.904"/>
    <d v="2019-03-20T00:00:00"/>
    <d v="1899-12-30T12:24:00"/>
    <x v="0"/>
    <n v="348.48"/>
    <n v="4.7619047620000003"/>
    <n v="17.423999999999999"/>
    <n v="4.2"/>
    <x v="1"/>
    <n v="3"/>
    <s v="Standard"/>
    <s v="Standard Order"/>
    <m/>
    <s v=""/>
    <m/>
    <m/>
    <s v=""/>
  </r>
  <r>
    <x v="616"/>
    <x v="2"/>
    <x v="2"/>
    <s v="Member"/>
    <s v="Male"/>
    <x v="3"/>
    <n v="72.599999999999994"/>
    <n v="6"/>
    <n v="21.78"/>
    <n v="457.38"/>
    <d v="2019-01-13T00:00:00"/>
    <d v="1899-12-30T19:51:00"/>
    <x v="1"/>
    <n v="435.6"/>
    <n v="4.7619047620000003"/>
    <n v="21.78"/>
    <n v="6.9"/>
    <x v="0"/>
    <n v="1"/>
    <s v="Standard"/>
    <s v="Standard Order"/>
    <m/>
    <s v=""/>
    <m/>
    <m/>
    <s v=""/>
  </r>
  <r>
    <x v="617"/>
    <x v="1"/>
    <x v="1"/>
    <s v="Member"/>
    <s v="Male"/>
    <x v="1"/>
    <n v="87.91"/>
    <n v="5"/>
    <n v="21.977499999999999"/>
    <n v="461.52749999999997"/>
    <d v="2019-03-14T00:00:00"/>
    <d v="1899-12-30T18:10:00"/>
    <x v="0"/>
    <n v="439.55"/>
    <n v="4.7619047620000003"/>
    <n v="21.977499999999999"/>
    <n v="4.4000000000000004"/>
    <x v="1"/>
    <n v="3"/>
    <s v="Standard"/>
    <s v="Standard Order"/>
    <m/>
    <s v=""/>
    <m/>
    <m/>
    <s v=""/>
  </r>
  <r>
    <x v="618"/>
    <x v="0"/>
    <x v="0"/>
    <s v="Member"/>
    <s v="Male"/>
    <x v="4"/>
    <n v="98.53"/>
    <n v="6"/>
    <n v="29.559000000000001"/>
    <n v="620.73900000000003"/>
    <d v="2019-01-23T00:00:00"/>
    <d v="1899-12-30T11:22:00"/>
    <x v="2"/>
    <n v="591.17999999999995"/>
    <n v="4.7619047620000003"/>
    <n v="29.559000000000001"/>
    <n v="4"/>
    <x v="0"/>
    <n v="1"/>
    <s v="High Value"/>
    <s v="High Value Order"/>
    <m/>
    <s v=""/>
    <m/>
    <m/>
    <s v=""/>
  </r>
  <r>
    <x v="619"/>
    <x v="1"/>
    <x v="1"/>
    <s v="Member"/>
    <s v="Female"/>
    <x v="5"/>
    <n v="43.46"/>
    <n v="6"/>
    <n v="13.038"/>
    <n v="273.798"/>
    <d v="2019-02-07T00:00:00"/>
    <d v="1899-12-30T17:55:00"/>
    <x v="0"/>
    <n v="260.76"/>
    <n v="4.7619047620000003"/>
    <n v="13.038"/>
    <n v="8.5"/>
    <x v="2"/>
    <n v="2"/>
    <s v="Standard"/>
    <s v="Standard Order"/>
    <m/>
    <s v=""/>
    <m/>
    <m/>
    <s v=""/>
  </r>
  <r>
    <x v="620"/>
    <x v="0"/>
    <x v="0"/>
    <s v="Normal"/>
    <s v="Female"/>
    <x v="4"/>
    <n v="71.680000000000007"/>
    <n v="3"/>
    <n v="10.752000000000001"/>
    <n v="225.792"/>
    <d v="2019-03-28T00:00:00"/>
    <d v="1899-12-30T15:30:00"/>
    <x v="2"/>
    <n v="215.04"/>
    <n v="4.7619047620000003"/>
    <n v="10.752000000000001"/>
    <n v="9.1999999999999993"/>
    <x v="1"/>
    <n v="3"/>
    <s v="Standard"/>
    <s v="Standard Order"/>
    <m/>
    <s v=""/>
    <m/>
    <m/>
    <s v=""/>
  </r>
  <r>
    <x v="621"/>
    <x v="0"/>
    <x v="0"/>
    <s v="Member"/>
    <s v="Female"/>
    <x v="4"/>
    <n v="91.61"/>
    <n v="1"/>
    <n v="4.5804999999999998"/>
    <n v="96.1905"/>
    <d v="2019-03-20T00:00:00"/>
    <d v="1899-12-30T19:44:00"/>
    <x v="1"/>
    <n v="91.61"/>
    <n v="4.7619047620000003"/>
    <n v="4.5804999999999998"/>
    <n v="9.8000000000000007"/>
    <x v="1"/>
    <n v="3"/>
    <s v="Standard"/>
    <s v="Standard Order"/>
    <m/>
    <s v=""/>
    <m/>
    <m/>
    <s v=""/>
  </r>
  <r>
    <x v="622"/>
    <x v="2"/>
    <x v="2"/>
    <s v="Member"/>
    <s v="Female"/>
    <x v="2"/>
    <n v="94.59"/>
    <n v="7"/>
    <n v="33.106499999999997"/>
    <n v="695.23649999999998"/>
    <d v="2019-01-17T00:00:00"/>
    <d v="1899-12-30T15:27:00"/>
    <x v="2"/>
    <n v="662.13"/>
    <n v="4.7619047620000003"/>
    <n v="33.106499999999997"/>
    <n v="4.9000000000000004"/>
    <x v="0"/>
    <n v="1"/>
    <s v="High Value"/>
    <s v="High Value Order"/>
    <m/>
    <s v=""/>
    <m/>
    <m/>
    <s v=""/>
  </r>
  <r>
    <x v="623"/>
    <x v="2"/>
    <x v="2"/>
    <s v="Normal"/>
    <s v="Female"/>
    <x v="5"/>
    <n v="83.25"/>
    <n v="10"/>
    <n v="41.625"/>
    <n v="874.125"/>
    <d v="2019-01-12T00:00:00"/>
    <d v="1899-12-30T11:25:00"/>
    <x v="2"/>
    <n v="832.5"/>
    <n v="4.7619047620000003"/>
    <n v="41.625"/>
    <n v="4.4000000000000004"/>
    <x v="0"/>
    <n v="1"/>
    <s v="High Value"/>
    <s v="High Value Order"/>
    <m/>
    <s v=""/>
    <m/>
    <m/>
    <s v=""/>
  </r>
  <r>
    <x v="624"/>
    <x v="2"/>
    <x v="2"/>
    <s v="Member"/>
    <s v="Male"/>
    <x v="5"/>
    <n v="91.35"/>
    <n v="1"/>
    <n v="4.5674999999999999"/>
    <n v="95.917500000000004"/>
    <d v="2019-02-16T00:00:00"/>
    <d v="1899-12-30T15:42:00"/>
    <x v="1"/>
    <n v="91.35"/>
    <n v="4.7619047620000003"/>
    <n v="4.5674999999999999"/>
    <n v="6.8"/>
    <x v="2"/>
    <n v="2"/>
    <s v="Standard"/>
    <s v="Standard Order"/>
    <m/>
    <s v=""/>
    <m/>
    <m/>
    <m/>
  </r>
  <r>
    <x v="625"/>
    <x v="2"/>
    <x v="2"/>
    <s v="Member"/>
    <s v="Female"/>
    <x v="4"/>
    <n v="78.88"/>
    <n v="2"/>
    <n v="7.8879999999999999"/>
    <n v="165.648"/>
    <d v="2019-01-26T00:00:00"/>
    <d v="1899-12-30T16:04:00"/>
    <x v="1"/>
    <n v="157.76"/>
    <n v="4.7619047620000003"/>
    <n v="7.8879999999999999"/>
    <n v="9.1"/>
    <x v="0"/>
    <n v="1"/>
    <s v="Standard"/>
    <s v="Standard Order"/>
    <m/>
    <s v=""/>
    <m/>
    <m/>
    <m/>
  </r>
  <r>
    <x v="626"/>
    <x v="0"/>
    <x v="0"/>
    <s v="Normal"/>
    <s v="Male"/>
    <x v="3"/>
    <n v="60.87"/>
    <n v="2"/>
    <n v="6.0869999999999997"/>
    <n v="127.827"/>
    <d v="2019-03-09T00:00:00"/>
    <d v="1899-12-30T12:37:00"/>
    <x v="0"/>
    <n v="121.74"/>
    <n v="4.7619047620000003"/>
    <n v="6.0869999999999997"/>
    <n v="8.6999999999999993"/>
    <x v="1"/>
    <n v="3"/>
    <s v="Standard"/>
    <s v="Standard Order"/>
    <m/>
    <s v=""/>
    <m/>
    <m/>
    <m/>
  </r>
  <r>
    <x v="627"/>
    <x v="2"/>
    <x v="2"/>
    <s v="Member"/>
    <s v="Male"/>
    <x v="0"/>
    <n v="82.58"/>
    <n v="10"/>
    <n v="41.29"/>
    <n v="867.09"/>
    <d v="2019-03-14T00:00:00"/>
    <d v="1899-12-30T14:41:00"/>
    <x v="1"/>
    <n v="825.8"/>
    <n v="4.7619047620000003"/>
    <n v="41.29"/>
    <n v="5"/>
    <x v="1"/>
    <n v="3"/>
    <s v="High Value"/>
    <s v="High Value Order"/>
    <m/>
    <s v=""/>
    <m/>
    <m/>
    <m/>
  </r>
  <r>
    <x v="628"/>
    <x v="0"/>
    <x v="0"/>
    <s v="Member"/>
    <s v="Male"/>
    <x v="2"/>
    <n v="53.3"/>
    <n v="3"/>
    <n v="7.9950000000000001"/>
    <n v="167.89500000000001"/>
    <d v="2019-01-25T00:00:00"/>
    <d v="1899-12-30T14:19:00"/>
    <x v="0"/>
    <n v="159.9"/>
    <n v="4.7619047620000003"/>
    <n v="7.9950000000000001"/>
    <n v="7.5"/>
    <x v="0"/>
    <n v="1"/>
    <s v="Standard"/>
    <s v="Standard Order"/>
    <m/>
    <s v=""/>
    <m/>
    <m/>
    <m/>
  </r>
  <r>
    <x v="629"/>
    <x v="0"/>
    <x v="0"/>
    <s v="Normal"/>
    <s v="Female"/>
    <x v="5"/>
    <n v="12.09"/>
    <n v="1"/>
    <n v="0.60450000000000004"/>
    <n v="12.6945"/>
    <d v="2019-01-26T00:00:00"/>
    <d v="1899-12-30T18:19:00"/>
    <x v="2"/>
    <n v="12.09"/>
    <n v="4.7619047620000003"/>
    <n v="0.60450000000000004"/>
    <n v="8.1999999999999993"/>
    <x v="0"/>
    <n v="1"/>
    <s v="Standard"/>
    <s v="Standard Order"/>
    <m/>
    <s v=""/>
    <m/>
    <m/>
    <m/>
  </r>
  <r>
    <x v="630"/>
    <x v="0"/>
    <x v="0"/>
    <s v="Normal"/>
    <s v="Male"/>
    <x v="3"/>
    <n v="64.19"/>
    <n v="10"/>
    <n v="32.094999999999999"/>
    <n v="673.995"/>
    <d v="2019-01-19T00:00:00"/>
    <d v="1899-12-30T14:08:00"/>
    <x v="2"/>
    <n v="641.9"/>
    <n v="4.7619047620000003"/>
    <n v="32.094999999999999"/>
    <n v="6.7"/>
    <x v="0"/>
    <n v="1"/>
    <s v="High Value"/>
    <s v="High Value Order"/>
    <m/>
    <s v=""/>
    <m/>
    <m/>
    <m/>
  </r>
  <r>
    <x v="631"/>
    <x v="0"/>
    <x v="0"/>
    <s v="Normal"/>
    <s v="Male"/>
    <x v="1"/>
    <n v="78.31"/>
    <n v="3"/>
    <n v="11.746499999999999"/>
    <n v="246.6765"/>
    <d v="2019-03-05T00:00:00"/>
    <d v="1899-12-30T16:38:00"/>
    <x v="0"/>
    <n v="234.93"/>
    <n v="4.7619047620000003"/>
    <n v="11.746499999999999"/>
    <n v="5.4"/>
    <x v="1"/>
    <n v="3"/>
    <s v="Standard"/>
    <s v="Standard Order"/>
    <m/>
    <s v=""/>
    <m/>
    <m/>
    <m/>
  </r>
  <r>
    <x v="632"/>
    <x v="0"/>
    <x v="0"/>
    <s v="Member"/>
    <s v="Male"/>
    <x v="4"/>
    <n v="83.77"/>
    <n v="2"/>
    <n v="8.3770000000000007"/>
    <n v="175.917"/>
    <d v="2019-01-15T00:00:00"/>
    <d v="1899-12-30T10:54:00"/>
    <x v="2"/>
    <n v="167.54"/>
    <n v="4.7619047620000003"/>
    <n v="8.3770000000000007"/>
    <n v="7"/>
    <x v="0"/>
    <n v="1"/>
    <s v="Standard"/>
    <s v="Standard Order"/>
    <m/>
    <s v=""/>
    <m/>
    <m/>
    <m/>
  </r>
  <r>
    <x v="633"/>
    <x v="2"/>
    <x v="2"/>
    <s v="Normal"/>
    <s v="Male"/>
    <x v="2"/>
    <n v="99.7"/>
    <n v="3"/>
    <n v="14.955"/>
    <n v="314.05500000000001"/>
    <d v="2019-03-18T00:00:00"/>
    <d v="1899-12-30T11:29:00"/>
    <x v="0"/>
    <n v="299.10000000000002"/>
    <n v="4.7619047620000003"/>
    <n v="14.955"/>
    <n v="4.7"/>
    <x v="1"/>
    <n v="3"/>
    <s v="Standard"/>
    <s v="Standard Order"/>
    <m/>
    <s v=""/>
    <m/>
    <m/>
    <m/>
  </r>
  <r>
    <x v="634"/>
    <x v="2"/>
    <x v="2"/>
    <s v="Member"/>
    <s v="Male"/>
    <x v="4"/>
    <n v="79.91"/>
    <n v="3"/>
    <n v="11.986499999999999"/>
    <n v="251.7165"/>
    <d v="2019-03-20T00:00:00"/>
    <d v="1899-12-30T19:28:00"/>
    <x v="2"/>
    <n v="239.73"/>
    <n v="4.7619047620000003"/>
    <n v="11.986499999999999"/>
    <n v="5"/>
    <x v="1"/>
    <n v="3"/>
    <s v="Standard"/>
    <s v="Standard Order"/>
    <m/>
    <s v=""/>
    <m/>
    <m/>
    <m/>
  </r>
  <r>
    <x v="635"/>
    <x v="2"/>
    <x v="2"/>
    <s v="Member"/>
    <s v="Male"/>
    <x v="0"/>
    <n v="66.47"/>
    <n v="10"/>
    <n v="33.234999999999999"/>
    <n v="697.93499999999995"/>
    <d v="2019-01-15T00:00:00"/>
    <d v="1899-12-30T15:01:00"/>
    <x v="2"/>
    <n v="664.7"/>
    <n v="4.7619047620000003"/>
    <n v="33.234999999999999"/>
    <n v="5"/>
    <x v="0"/>
    <n v="1"/>
    <s v="High Value"/>
    <s v="High Value Order"/>
    <m/>
    <s v=""/>
    <m/>
    <m/>
    <m/>
  </r>
  <r>
    <x v="636"/>
    <x v="0"/>
    <x v="0"/>
    <s v="Normal"/>
    <s v="Male"/>
    <x v="0"/>
    <n v="28.95"/>
    <n v="7"/>
    <n v="10.1325"/>
    <n v="212.7825"/>
    <d v="2019-03-03T00:00:00"/>
    <d v="1899-12-30T20:31:00"/>
    <x v="2"/>
    <n v="202.65"/>
    <n v="4.7619047620000003"/>
    <n v="10.1325"/>
    <n v="6"/>
    <x v="1"/>
    <n v="3"/>
    <s v="Standard"/>
    <s v="Standard Order"/>
    <m/>
    <s v=""/>
    <m/>
    <m/>
    <m/>
  </r>
  <r>
    <x v="637"/>
    <x v="1"/>
    <x v="1"/>
    <s v="Normal"/>
    <s v="Female"/>
    <x v="1"/>
    <n v="46.2"/>
    <n v="1"/>
    <n v="2.31"/>
    <n v="48.51"/>
    <d v="2019-03-19T00:00:00"/>
    <d v="1899-12-30T12:16:00"/>
    <x v="1"/>
    <n v="46.2"/>
    <n v="4.7619047620000003"/>
    <n v="2.31"/>
    <n v="6.3"/>
    <x v="1"/>
    <n v="3"/>
    <s v="Standard"/>
    <s v="Standard Order"/>
    <m/>
    <s v=""/>
    <m/>
    <m/>
    <m/>
  </r>
  <r>
    <x v="638"/>
    <x v="2"/>
    <x v="2"/>
    <s v="Member"/>
    <s v="Female"/>
    <x v="4"/>
    <n v="17.63"/>
    <n v="5"/>
    <n v="4.4074999999999998"/>
    <n v="92.557500000000005"/>
    <d v="2019-03-08T00:00:00"/>
    <d v="1899-12-30T15:27:00"/>
    <x v="1"/>
    <n v="88.15"/>
    <n v="4.7619047620000003"/>
    <n v="4.4074999999999998"/>
    <n v="8.5"/>
    <x v="1"/>
    <n v="3"/>
    <s v="Standard"/>
    <s v="Standard Order"/>
    <m/>
    <s v=""/>
    <m/>
    <m/>
    <m/>
  </r>
  <r>
    <x v="639"/>
    <x v="2"/>
    <x v="2"/>
    <s v="Normal"/>
    <s v="Male"/>
    <x v="5"/>
    <n v="52.42"/>
    <n v="3"/>
    <n v="7.8630000000000004"/>
    <n v="165.12299999999999"/>
    <d v="2019-02-27T00:00:00"/>
    <d v="1899-12-30T17:36:00"/>
    <x v="0"/>
    <n v="157.26"/>
    <n v="4.7619047620000003"/>
    <n v="7.8630000000000004"/>
    <n v="7.5"/>
    <x v="2"/>
    <n v="2"/>
    <s v="Standard"/>
    <s v="Standard Order"/>
    <m/>
    <s v=""/>
    <m/>
    <m/>
    <m/>
  </r>
  <r>
    <x v="640"/>
    <x v="2"/>
    <x v="2"/>
    <s v="Member"/>
    <s v="Female"/>
    <x v="4"/>
    <n v="98.79"/>
    <n v="3"/>
    <n v="14.8185"/>
    <n v="311.18849999999998"/>
    <d v="2019-02-23T00:00:00"/>
    <d v="1899-12-30T20:00:00"/>
    <x v="0"/>
    <n v="296.37"/>
    <n v="4.7619047620000003"/>
    <n v="14.8185"/>
    <n v="6.4"/>
    <x v="2"/>
    <n v="2"/>
    <s v="Standard"/>
    <s v="Standard Order"/>
    <m/>
    <s v=""/>
    <m/>
    <m/>
    <m/>
  </r>
  <r>
    <x v="641"/>
    <x v="1"/>
    <x v="1"/>
    <s v="Member"/>
    <s v="Female"/>
    <x v="1"/>
    <n v="88.55"/>
    <n v="8"/>
    <n v="35.42"/>
    <n v="743.82"/>
    <d v="2019-03-19T00:00:00"/>
    <d v="1899-12-30T15:29:00"/>
    <x v="0"/>
    <n v="708.4"/>
    <n v="4.7619047620000003"/>
    <n v="35.42"/>
    <n v="4.7"/>
    <x v="1"/>
    <n v="3"/>
    <s v="High Value"/>
    <s v="High Value Order"/>
    <m/>
    <s v=""/>
    <m/>
    <m/>
    <m/>
  </r>
  <r>
    <x v="642"/>
    <x v="2"/>
    <x v="2"/>
    <s v="Member"/>
    <s v="Male"/>
    <x v="1"/>
    <n v="55.67"/>
    <n v="2"/>
    <n v="5.5670000000000002"/>
    <n v="116.907"/>
    <d v="2019-03-27T00:00:00"/>
    <d v="1899-12-30T15:08:00"/>
    <x v="0"/>
    <n v="111.34"/>
    <n v="4.7619047620000003"/>
    <n v="5.5670000000000002"/>
    <n v="6"/>
    <x v="1"/>
    <n v="3"/>
    <s v="Standard"/>
    <s v="Standard Order"/>
    <m/>
    <s v=""/>
    <m/>
    <m/>
    <m/>
  </r>
  <r>
    <x v="643"/>
    <x v="1"/>
    <x v="1"/>
    <s v="Member"/>
    <s v="Female"/>
    <x v="4"/>
    <n v="72.52"/>
    <n v="8"/>
    <n v="29.007999999999999"/>
    <n v="609.16800000000001"/>
    <d v="2019-03-30T00:00:00"/>
    <d v="1899-12-30T19:26:00"/>
    <x v="2"/>
    <n v="580.16"/>
    <n v="4.7619047620000003"/>
    <n v="29.007999999999999"/>
    <n v="4"/>
    <x v="1"/>
    <n v="3"/>
    <s v="High Value"/>
    <s v="High Value Order"/>
    <m/>
    <s v=""/>
    <m/>
    <m/>
    <m/>
  </r>
  <r>
    <x v="644"/>
    <x v="1"/>
    <x v="1"/>
    <s v="Member"/>
    <s v="Male"/>
    <x v="1"/>
    <n v="12.05"/>
    <n v="5"/>
    <n v="3.0125000000000002"/>
    <n v="63.262500000000003"/>
    <d v="2019-02-16T00:00:00"/>
    <d v="1899-12-30T15:53:00"/>
    <x v="0"/>
    <n v="60.25"/>
    <n v="4.7619047620000003"/>
    <n v="3.0125000000000002"/>
    <n v="5.5"/>
    <x v="2"/>
    <n v="2"/>
    <s v="Standard"/>
    <s v="Standard Order"/>
    <m/>
    <s v=""/>
    <m/>
    <m/>
    <m/>
  </r>
  <r>
    <x v="645"/>
    <x v="0"/>
    <x v="0"/>
    <s v="Member"/>
    <s v="Male"/>
    <x v="2"/>
    <n v="19.36"/>
    <n v="9"/>
    <n v="8.7119999999999997"/>
    <n v="182.952"/>
    <d v="2019-01-18T00:00:00"/>
    <d v="1899-12-30T18:43:00"/>
    <x v="0"/>
    <n v="174.24"/>
    <n v="4.7619047620000003"/>
    <n v="8.7119999999999997"/>
    <n v="8.6999999999999993"/>
    <x v="0"/>
    <n v="1"/>
    <s v="Standard"/>
    <s v="Standard Order"/>
    <m/>
    <s v=""/>
    <m/>
    <m/>
    <m/>
  </r>
  <r>
    <x v="646"/>
    <x v="1"/>
    <x v="1"/>
    <s v="Normal"/>
    <s v="Male"/>
    <x v="0"/>
    <n v="70.209999999999994"/>
    <n v="6"/>
    <n v="21.062999999999999"/>
    <n v="442.32299999999998"/>
    <d v="2019-03-30T00:00:00"/>
    <d v="1899-12-30T14:58:00"/>
    <x v="1"/>
    <n v="421.26"/>
    <n v="4.7619047620000003"/>
    <n v="21.062999999999999"/>
    <n v="7.4"/>
    <x v="1"/>
    <n v="3"/>
    <s v="Standard"/>
    <s v="Standard Order"/>
    <m/>
    <s v=""/>
    <m/>
    <m/>
    <m/>
  </r>
  <r>
    <x v="647"/>
    <x v="2"/>
    <x v="2"/>
    <s v="Member"/>
    <s v="Male"/>
    <x v="5"/>
    <n v="33.630000000000003"/>
    <n v="1"/>
    <n v="1.6815"/>
    <n v="35.311500000000002"/>
    <d v="2019-03-20T00:00:00"/>
    <d v="1899-12-30T19:55:00"/>
    <x v="1"/>
    <n v="33.630000000000003"/>
    <n v="4.7619047620000003"/>
    <n v="1.6815"/>
    <n v="5.6"/>
    <x v="1"/>
    <n v="3"/>
    <s v="Standard"/>
    <s v="Standard Order"/>
    <m/>
    <s v=""/>
    <m/>
    <m/>
    <m/>
  </r>
  <r>
    <x v="648"/>
    <x v="1"/>
    <x v="1"/>
    <s v="Member"/>
    <s v="Female"/>
    <x v="3"/>
    <n v="15.49"/>
    <n v="2"/>
    <n v="1.5489999999999999"/>
    <n v="32.529000000000003"/>
    <d v="2019-01-16T00:00:00"/>
    <d v="1899-12-30T15:10:00"/>
    <x v="1"/>
    <n v="30.98"/>
    <n v="4.7619047620000003"/>
    <n v="1.5489999999999999"/>
    <n v="6.3"/>
    <x v="0"/>
    <n v="1"/>
    <s v="Standard"/>
    <s v="Standard Order"/>
    <m/>
    <s v=""/>
    <m/>
    <m/>
    <m/>
  </r>
  <r>
    <x v="649"/>
    <x v="1"/>
    <x v="1"/>
    <s v="Normal"/>
    <s v="Male"/>
    <x v="1"/>
    <n v="24.74"/>
    <n v="10"/>
    <n v="12.37"/>
    <n v="259.77"/>
    <d v="2019-02-24T00:00:00"/>
    <d v="1899-12-30T16:44:00"/>
    <x v="1"/>
    <n v="247.4"/>
    <n v="4.7619047620000003"/>
    <n v="12.37"/>
    <n v="7.1"/>
    <x v="2"/>
    <n v="2"/>
    <s v="Standard"/>
    <s v="Standard Order"/>
    <m/>
    <s v=""/>
    <m/>
    <m/>
    <m/>
  </r>
  <r>
    <x v="650"/>
    <x v="2"/>
    <x v="2"/>
    <s v="Normal"/>
    <s v="Male"/>
    <x v="1"/>
    <n v="75.66"/>
    <n v="5"/>
    <n v="18.914999999999999"/>
    <n v="397.21499999999997"/>
    <d v="2019-01-15T00:00:00"/>
    <d v="1899-12-30T18:22:00"/>
    <x v="0"/>
    <n v="378.3"/>
    <n v="4.7619047620000003"/>
    <n v="18.914999999999999"/>
    <n v="7.8"/>
    <x v="0"/>
    <n v="1"/>
    <s v="Standard"/>
    <s v="Standard Order"/>
    <m/>
    <s v=""/>
    <m/>
    <m/>
    <m/>
  </r>
  <r>
    <x v="651"/>
    <x v="2"/>
    <x v="2"/>
    <s v="Normal"/>
    <s v="Female"/>
    <x v="0"/>
    <n v="55.81"/>
    <n v="6"/>
    <n v="16.742999999999999"/>
    <n v="351.60300000000001"/>
    <d v="2019-01-22T00:00:00"/>
    <d v="1899-12-30T11:52:00"/>
    <x v="1"/>
    <n v="334.86"/>
    <n v="4.7619047620000003"/>
    <n v="16.742999999999999"/>
    <n v="9.9"/>
    <x v="0"/>
    <n v="1"/>
    <s v="Standard"/>
    <s v="Standard Order"/>
    <m/>
    <s v=""/>
    <m/>
    <m/>
    <m/>
  </r>
  <r>
    <x v="652"/>
    <x v="0"/>
    <x v="0"/>
    <s v="Member"/>
    <s v="Male"/>
    <x v="2"/>
    <n v="72.78"/>
    <n v="10"/>
    <n v="36.39"/>
    <n v="764.19"/>
    <d v="2019-02-03T00:00:00"/>
    <d v="1899-12-30T17:24:00"/>
    <x v="1"/>
    <n v="727.8"/>
    <n v="4.7619047620000003"/>
    <n v="36.39"/>
    <n v="7.3"/>
    <x v="2"/>
    <n v="2"/>
    <s v="High Value"/>
    <s v="High Value Order"/>
    <m/>
    <s v=""/>
    <m/>
    <m/>
    <m/>
  </r>
  <r>
    <x v="653"/>
    <x v="2"/>
    <x v="2"/>
    <s v="Member"/>
    <s v="Male"/>
    <x v="3"/>
    <n v="37.32"/>
    <n v="9"/>
    <n v="16.794"/>
    <n v="352.67399999999998"/>
    <d v="2019-03-06T00:00:00"/>
    <d v="1899-12-30T15:31:00"/>
    <x v="0"/>
    <n v="335.88"/>
    <n v="4.7619047620000003"/>
    <n v="16.794"/>
    <n v="5.0999999999999996"/>
    <x v="1"/>
    <n v="3"/>
    <s v="Standard"/>
    <s v="Standard Order"/>
    <m/>
    <s v=""/>
    <m/>
    <m/>
    <m/>
  </r>
  <r>
    <x v="654"/>
    <x v="2"/>
    <x v="2"/>
    <s v="Member"/>
    <s v="Male"/>
    <x v="5"/>
    <n v="60.18"/>
    <n v="4"/>
    <n v="12.036"/>
    <n v="252.756"/>
    <d v="2019-02-16T00:00:00"/>
    <d v="1899-12-30T18:04:00"/>
    <x v="2"/>
    <n v="240.72"/>
    <n v="4.7619047620000003"/>
    <n v="12.036"/>
    <n v="9.4"/>
    <x v="2"/>
    <n v="2"/>
    <s v="Standard"/>
    <s v="Standard Order"/>
    <m/>
    <s v=""/>
    <m/>
    <m/>
    <m/>
  </r>
  <r>
    <x v="655"/>
    <x v="0"/>
    <x v="0"/>
    <s v="Normal"/>
    <s v="Female"/>
    <x v="1"/>
    <n v="15.69"/>
    <n v="3"/>
    <n v="2.3534999999999999"/>
    <n v="49.423499999999997"/>
    <d v="2019-03-14T00:00:00"/>
    <d v="1899-12-30T14:13:00"/>
    <x v="2"/>
    <n v="47.07"/>
    <n v="4.7619047620000003"/>
    <n v="2.3534999999999999"/>
    <n v="5.8"/>
    <x v="1"/>
    <n v="3"/>
    <s v="Standard"/>
    <s v="Standard Order"/>
    <m/>
    <s v=""/>
    <m/>
    <m/>
    <m/>
  </r>
  <r>
    <x v="656"/>
    <x v="1"/>
    <x v="1"/>
    <s v="Normal"/>
    <s v="Female"/>
    <x v="1"/>
    <n v="99.69"/>
    <n v="1"/>
    <n v="4.9844999999999997"/>
    <n v="104.67449999999999"/>
    <d v="2019-02-27T00:00:00"/>
    <d v="1899-12-30T10:23:00"/>
    <x v="2"/>
    <n v="99.69"/>
    <n v="4.7619047620000003"/>
    <n v="4.9844999999999997"/>
    <n v="8"/>
    <x v="2"/>
    <n v="2"/>
    <s v="Standard"/>
    <s v="Standard Order"/>
    <m/>
    <s v=""/>
    <m/>
    <m/>
    <m/>
  </r>
  <r>
    <x v="657"/>
    <x v="0"/>
    <x v="0"/>
    <s v="Member"/>
    <s v="Female"/>
    <x v="5"/>
    <n v="88.15"/>
    <n v="3"/>
    <n v="13.2225"/>
    <n v="277.67250000000001"/>
    <d v="2019-01-18T00:00:00"/>
    <d v="1899-12-30T10:11:00"/>
    <x v="0"/>
    <n v="264.45"/>
    <n v="4.7619047620000003"/>
    <n v="13.2225"/>
    <n v="7.9"/>
    <x v="0"/>
    <n v="1"/>
    <s v="Standard"/>
    <s v="Standard Order"/>
    <m/>
    <s v=""/>
    <m/>
    <m/>
    <m/>
  </r>
  <r>
    <x v="658"/>
    <x v="0"/>
    <x v="0"/>
    <s v="Member"/>
    <s v="Female"/>
    <x v="3"/>
    <n v="27.93"/>
    <n v="5"/>
    <n v="6.9824999999999999"/>
    <n v="146.63249999999999"/>
    <d v="2019-01-29T00:00:00"/>
    <d v="1899-12-30T15:48:00"/>
    <x v="1"/>
    <n v="139.65"/>
    <n v="4.7619047620000003"/>
    <n v="6.9824999999999999"/>
    <n v="5.9"/>
    <x v="0"/>
    <n v="1"/>
    <s v="Standard"/>
    <s v="Standard Order"/>
    <m/>
    <s v=""/>
    <m/>
    <m/>
    <m/>
  </r>
  <r>
    <x v="659"/>
    <x v="0"/>
    <x v="0"/>
    <s v="Member"/>
    <s v="Male"/>
    <x v="5"/>
    <n v="55.45"/>
    <n v="1"/>
    <n v="2.7725"/>
    <n v="58.222499999999997"/>
    <d v="2019-02-26T00:00:00"/>
    <d v="1899-12-30T17:46:00"/>
    <x v="2"/>
    <n v="55.45"/>
    <n v="4.7619047620000003"/>
    <n v="2.7725"/>
    <n v="4.9000000000000004"/>
    <x v="2"/>
    <n v="2"/>
    <s v="Standard"/>
    <s v="Standard Order"/>
    <m/>
    <s v=""/>
    <m/>
    <m/>
    <m/>
  </r>
  <r>
    <x v="660"/>
    <x v="2"/>
    <x v="2"/>
    <s v="Normal"/>
    <s v="Female"/>
    <x v="3"/>
    <n v="42.97"/>
    <n v="3"/>
    <n v="6.4455"/>
    <n v="135.35550000000001"/>
    <d v="2019-02-03T00:00:00"/>
    <d v="1899-12-30T11:46:00"/>
    <x v="1"/>
    <n v="128.91"/>
    <n v="4.7619047620000003"/>
    <n v="6.4455"/>
    <n v="9.3000000000000007"/>
    <x v="2"/>
    <n v="2"/>
    <s v="Standard"/>
    <s v="Standard Order"/>
    <m/>
    <s v=""/>
    <m/>
    <m/>
    <m/>
  </r>
  <r>
    <x v="661"/>
    <x v="1"/>
    <x v="1"/>
    <s v="Member"/>
    <s v="Male"/>
    <x v="3"/>
    <n v="17.14"/>
    <n v="7"/>
    <n v="5.9989999999999997"/>
    <n v="125.979"/>
    <d v="2019-01-16T00:00:00"/>
    <d v="1899-12-30T12:07:00"/>
    <x v="2"/>
    <n v="119.98"/>
    <n v="4.7619047620000003"/>
    <n v="5.9989999999999997"/>
    <n v="7.9"/>
    <x v="0"/>
    <n v="1"/>
    <s v="Standard"/>
    <s v="Standard Order"/>
    <m/>
    <s v=""/>
    <m/>
    <m/>
    <m/>
  </r>
  <r>
    <x v="662"/>
    <x v="2"/>
    <x v="2"/>
    <s v="Member"/>
    <s v="Female"/>
    <x v="5"/>
    <n v="58.75"/>
    <n v="6"/>
    <n v="17.625"/>
    <n v="370.125"/>
    <d v="2019-03-24T00:00:00"/>
    <d v="1899-12-30T18:14:00"/>
    <x v="2"/>
    <n v="352.5"/>
    <n v="4.7619047620000003"/>
    <n v="17.625"/>
    <n v="5.9"/>
    <x v="1"/>
    <n v="3"/>
    <s v="Standard"/>
    <s v="Standard Order"/>
    <m/>
    <s v=""/>
    <m/>
    <m/>
    <m/>
  </r>
  <r>
    <x v="663"/>
    <x v="1"/>
    <x v="1"/>
    <s v="Member"/>
    <s v="Female"/>
    <x v="4"/>
    <n v="87.1"/>
    <n v="10"/>
    <n v="43.55"/>
    <n v="914.55"/>
    <d v="2019-02-12T00:00:00"/>
    <d v="1899-12-30T14:45:00"/>
    <x v="2"/>
    <n v="871"/>
    <n v="4.7619047620000003"/>
    <n v="43.55"/>
    <n v="9.9"/>
    <x v="2"/>
    <n v="2"/>
    <s v="High Value"/>
    <s v="High Value Order"/>
    <m/>
    <s v=""/>
    <m/>
    <m/>
    <m/>
  </r>
  <r>
    <x v="664"/>
    <x v="1"/>
    <x v="1"/>
    <s v="Normal"/>
    <s v="Female"/>
    <x v="3"/>
    <n v="98.8"/>
    <n v="2"/>
    <n v="9.8800000000000008"/>
    <n v="207.48"/>
    <d v="2019-02-21T00:00:00"/>
    <d v="1899-12-30T11:39:00"/>
    <x v="1"/>
    <n v="197.6"/>
    <n v="4.7619047620000003"/>
    <n v="9.8800000000000008"/>
    <n v="7.7"/>
    <x v="2"/>
    <n v="2"/>
    <s v="Standard"/>
    <s v="Standard Order"/>
    <m/>
    <s v=""/>
    <m/>
    <m/>
    <m/>
  </r>
  <r>
    <x v="665"/>
    <x v="0"/>
    <x v="0"/>
    <s v="Normal"/>
    <s v="Female"/>
    <x v="5"/>
    <n v="48.63"/>
    <n v="4"/>
    <n v="9.7260000000000009"/>
    <n v="204.24600000000001"/>
    <d v="2019-02-04T00:00:00"/>
    <d v="1899-12-30T15:44:00"/>
    <x v="0"/>
    <n v="194.52"/>
    <n v="4.7619047620000003"/>
    <n v="9.7260000000000009"/>
    <n v="7.6"/>
    <x v="2"/>
    <n v="2"/>
    <s v="Standard"/>
    <s v="Standard Order"/>
    <m/>
    <s v=""/>
    <m/>
    <m/>
    <m/>
  </r>
  <r>
    <x v="666"/>
    <x v="2"/>
    <x v="2"/>
    <s v="Member"/>
    <s v="Male"/>
    <x v="4"/>
    <n v="57.74"/>
    <n v="3"/>
    <n v="8.6609999999999996"/>
    <n v="181.881"/>
    <d v="2019-02-20T00:00:00"/>
    <d v="1899-12-30T13:06:00"/>
    <x v="0"/>
    <n v="173.22"/>
    <n v="4.7619047620000003"/>
    <n v="8.6609999999999996"/>
    <n v="7.7"/>
    <x v="2"/>
    <n v="2"/>
    <s v="Standard"/>
    <s v="Standard Order"/>
    <m/>
    <s v=""/>
    <m/>
    <m/>
    <m/>
  </r>
  <r>
    <x v="667"/>
    <x v="2"/>
    <x v="2"/>
    <s v="Normal"/>
    <s v="Female"/>
    <x v="0"/>
    <n v="17.97"/>
    <n v="4"/>
    <n v="3.5939999999999999"/>
    <n v="75.474000000000004"/>
    <d v="2019-02-23T00:00:00"/>
    <d v="1899-12-30T20:43:00"/>
    <x v="0"/>
    <n v="71.88"/>
    <n v="4.7619047620000003"/>
    <n v="3.5939999999999999"/>
    <n v="6.4"/>
    <x v="2"/>
    <n v="2"/>
    <s v="Standard"/>
    <s v="Standard Order"/>
    <m/>
    <s v=""/>
    <m/>
    <m/>
    <m/>
  </r>
  <r>
    <x v="668"/>
    <x v="1"/>
    <x v="1"/>
    <s v="Member"/>
    <s v="Female"/>
    <x v="0"/>
    <n v="47.71"/>
    <n v="6"/>
    <n v="14.313000000000001"/>
    <n v="300.57299999999998"/>
    <d v="2019-02-16T00:00:00"/>
    <d v="1899-12-30T14:19:00"/>
    <x v="0"/>
    <n v="286.26"/>
    <n v="4.7619047620000003"/>
    <n v="14.313000000000001"/>
    <n v="4.4000000000000004"/>
    <x v="2"/>
    <n v="2"/>
    <s v="Standard"/>
    <s v="Standard Order"/>
    <m/>
    <s v=""/>
    <m/>
    <m/>
    <m/>
  </r>
  <r>
    <x v="669"/>
    <x v="2"/>
    <x v="2"/>
    <s v="Normal"/>
    <s v="Female"/>
    <x v="3"/>
    <n v="40.619999999999997"/>
    <n v="2"/>
    <n v="4.0620000000000003"/>
    <n v="85.302000000000007"/>
    <d v="2019-01-17T00:00:00"/>
    <d v="1899-12-30T10:01:00"/>
    <x v="2"/>
    <n v="81.239999999999995"/>
    <n v="4.7619047620000003"/>
    <n v="4.0620000000000003"/>
    <n v="4.0999999999999996"/>
    <x v="0"/>
    <n v="1"/>
    <s v="Standard"/>
    <s v="Standard Order"/>
    <m/>
    <s v=""/>
    <m/>
    <m/>
    <m/>
  </r>
  <r>
    <x v="670"/>
    <x v="0"/>
    <x v="0"/>
    <s v="Member"/>
    <s v="Male"/>
    <x v="5"/>
    <n v="56.04"/>
    <n v="10"/>
    <n v="28.02"/>
    <n v="588.41999999999996"/>
    <d v="2019-01-14T00:00:00"/>
    <d v="1899-12-30T19:30:00"/>
    <x v="0"/>
    <n v="560.4"/>
    <n v="4.7619047620000003"/>
    <n v="28.02"/>
    <n v="4.4000000000000004"/>
    <x v="0"/>
    <n v="1"/>
    <s v="High Value"/>
    <s v="High Value Order"/>
    <m/>
    <s v=""/>
    <m/>
    <m/>
    <m/>
  </r>
  <r>
    <x v="671"/>
    <x v="2"/>
    <x v="2"/>
    <s v="Member"/>
    <s v="Male"/>
    <x v="4"/>
    <n v="93.4"/>
    <n v="2"/>
    <n v="9.34"/>
    <n v="196.14"/>
    <d v="2019-03-30T00:00:00"/>
    <d v="1899-12-30T16:34:00"/>
    <x v="1"/>
    <n v="186.8"/>
    <n v="4.7619047620000003"/>
    <n v="9.34"/>
    <n v="5.5"/>
    <x v="1"/>
    <n v="3"/>
    <s v="Standard"/>
    <s v="Standard Order"/>
    <m/>
    <s v=""/>
    <m/>
    <m/>
    <m/>
  </r>
  <r>
    <x v="672"/>
    <x v="2"/>
    <x v="2"/>
    <s v="Normal"/>
    <s v="Female"/>
    <x v="0"/>
    <n v="73.41"/>
    <n v="3"/>
    <n v="11.0115"/>
    <n v="231.2415"/>
    <d v="2019-03-02T00:00:00"/>
    <d v="1899-12-30T13:10:00"/>
    <x v="0"/>
    <n v="220.23"/>
    <n v="4.7619047620000003"/>
    <n v="11.0115"/>
    <n v="4"/>
    <x v="1"/>
    <n v="3"/>
    <s v="Standard"/>
    <s v="Standard Order"/>
    <m/>
    <s v=""/>
    <m/>
    <m/>
    <m/>
  </r>
  <r>
    <x v="673"/>
    <x v="1"/>
    <x v="1"/>
    <s v="Normal"/>
    <s v="Male"/>
    <x v="0"/>
    <n v="33.64"/>
    <n v="8"/>
    <n v="13.456"/>
    <n v="282.57600000000002"/>
    <d v="2019-02-15T00:00:00"/>
    <d v="1899-12-30T17:10:00"/>
    <x v="2"/>
    <n v="269.12"/>
    <n v="4.7619047620000003"/>
    <n v="13.456"/>
    <n v="9.3000000000000007"/>
    <x v="2"/>
    <n v="2"/>
    <s v="Standard"/>
    <s v="Standard Order"/>
    <m/>
    <s v=""/>
    <m/>
    <m/>
    <m/>
  </r>
  <r>
    <x v="674"/>
    <x v="0"/>
    <x v="0"/>
    <s v="Normal"/>
    <s v="Female"/>
    <x v="1"/>
    <n v="45.48"/>
    <n v="10"/>
    <n v="22.74"/>
    <n v="477.54"/>
    <d v="2019-03-01T00:00:00"/>
    <d v="1899-12-30T10:22:00"/>
    <x v="2"/>
    <n v="454.8"/>
    <n v="4.7619047620000003"/>
    <n v="22.74"/>
    <n v="4.8"/>
    <x v="1"/>
    <n v="3"/>
    <s v="Standard"/>
    <s v="Standard Order"/>
    <m/>
    <s v=""/>
    <m/>
    <m/>
    <m/>
  </r>
  <r>
    <x v="675"/>
    <x v="2"/>
    <x v="2"/>
    <s v="Member"/>
    <s v="Male"/>
    <x v="5"/>
    <n v="83.77"/>
    <n v="2"/>
    <n v="8.3770000000000007"/>
    <n v="175.917"/>
    <d v="2019-02-24T00:00:00"/>
    <d v="1899-12-30T19:57:00"/>
    <x v="1"/>
    <n v="167.54"/>
    <n v="4.7619047620000003"/>
    <n v="8.3770000000000007"/>
    <n v="4.5999999999999996"/>
    <x v="2"/>
    <n v="2"/>
    <s v="Standard"/>
    <s v="Standard Order"/>
    <m/>
    <s v=""/>
    <m/>
    <m/>
    <m/>
  </r>
  <r>
    <x v="676"/>
    <x v="2"/>
    <x v="2"/>
    <s v="Member"/>
    <s v="Female"/>
    <x v="3"/>
    <n v="64.08"/>
    <n v="7"/>
    <n v="22.428000000000001"/>
    <n v="470.988"/>
    <d v="2019-02-19T00:00:00"/>
    <d v="1899-12-30T19:29:00"/>
    <x v="2"/>
    <n v="448.56"/>
    <n v="4.7619047620000003"/>
    <n v="22.428000000000001"/>
    <n v="7.3"/>
    <x v="2"/>
    <n v="2"/>
    <s v="Standard"/>
    <s v="Standard Order"/>
    <m/>
    <s v=""/>
    <m/>
    <m/>
    <m/>
  </r>
  <r>
    <x v="677"/>
    <x v="0"/>
    <x v="0"/>
    <s v="Member"/>
    <s v="Female"/>
    <x v="4"/>
    <n v="73.47"/>
    <n v="4"/>
    <n v="14.694000000000001"/>
    <n v="308.57400000000001"/>
    <d v="2019-02-23T00:00:00"/>
    <d v="1899-12-30T18:30:00"/>
    <x v="1"/>
    <n v="293.88"/>
    <n v="4.7619047620000003"/>
    <n v="14.694000000000001"/>
    <n v="6"/>
    <x v="2"/>
    <n v="2"/>
    <s v="Standard"/>
    <s v="Standard Order"/>
    <m/>
    <s v=""/>
    <m/>
    <m/>
    <m/>
  </r>
  <r>
    <x v="678"/>
    <x v="1"/>
    <x v="1"/>
    <s v="Normal"/>
    <s v="Male"/>
    <x v="0"/>
    <n v="58.95"/>
    <n v="10"/>
    <n v="29.475000000000001"/>
    <n v="618.97500000000002"/>
    <d v="2019-02-07T00:00:00"/>
    <d v="1899-12-30T14:27:00"/>
    <x v="0"/>
    <n v="589.5"/>
    <n v="4.7619047620000003"/>
    <n v="29.475000000000001"/>
    <n v="8.1"/>
    <x v="2"/>
    <n v="2"/>
    <s v="High Value"/>
    <s v="High Value Order"/>
    <m/>
    <s v=""/>
    <m/>
    <m/>
    <m/>
  </r>
  <r>
    <x v="679"/>
    <x v="0"/>
    <x v="0"/>
    <s v="Member"/>
    <s v="Male"/>
    <x v="4"/>
    <n v="48.5"/>
    <n v="6"/>
    <n v="14.55"/>
    <n v="305.55"/>
    <d v="2019-01-11T00:00:00"/>
    <d v="1899-12-30T13:57:00"/>
    <x v="0"/>
    <n v="291"/>
    <n v="4.7619047620000003"/>
    <n v="14.55"/>
    <n v="9.4"/>
    <x v="0"/>
    <n v="1"/>
    <s v="Standard"/>
    <s v="Standard Order"/>
    <m/>
    <s v=""/>
    <m/>
    <m/>
    <m/>
  </r>
  <r>
    <x v="680"/>
    <x v="2"/>
    <x v="2"/>
    <s v="Member"/>
    <s v="Female"/>
    <x v="1"/>
    <n v="39.479999999999997"/>
    <n v="1"/>
    <n v="1.974"/>
    <n v="41.454000000000001"/>
    <d v="2019-02-12T00:00:00"/>
    <d v="1899-12-30T19:43:00"/>
    <x v="1"/>
    <n v="39.479999999999997"/>
    <n v="4.7619047620000003"/>
    <n v="1.974"/>
    <n v="6.5"/>
    <x v="2"/>
    <n v="2"/>
    <s v="Standard"/>
    <s v="Standard Order"/>
    <m/>
    <s v=""/>
    <m/>
    <m/>
    <m/>
  </r>
  <r>
    <x v="681"/>
    <x v="2"/>
    <x v="2"/>
    <s v="Normal"/>
    <s v="Female"/>
    <x v="3"/>
    <n v="34.81"/>
    <n v="1"/>
    <n v="1.7404999999999999"/>
    <n v="36.5505"/>
    <d v="2019-01-14T00:00:00"/>
    <d v="1899-12-30T10:11:00"/>
    <x v="2"/>
    <n v="34.81"/>
    <n v="4.7619047620000003"/>
    <n v="1.7404999999999999"/>
    <n v="7"/>
    <x v="0"/>
    <n v="1"/>
    <s v="Standard"/>
    <s v="Standard Order"/>
    <m/>
    <s v=""/>
    <m/>
    <m/>
    <m/>
  </r>
  <r>
    <x v="682"/>
    <x v="1"/>
    <x v="1"/>
    <s v="Normal"/>
    <s v="Female"/>
    <x v="5"/>
    <n v="49.32"/>
    <n v="6"/>
    <n v="14.795999999999999"/>
    <n v="310.71600000000001"/>
    <d v="2019-01-09T00:00:00"/>
    <d v="1899-12-30T13:46:00"/>
    <x v="0"/>
    <n v="295.92"/>
    <n v="4.7619047620000003"/>
    <n v="14.795999999999999"/>
    <n v="7.1"/>
    <x v="0"/>
    <n v="1"/>
    <s v="Standard"/>
    <s v="Standard Order"/>
    <m/>
    <s v=""/>
    <m/>
    <m/>
    <m/>
  </r>
  <r>
    <x v="683"/>
    <x v="0"/>
    <x v="0"/>
    <s v="Member"/>
    <s v="Male"/>
    <x v="5"/>
    <n v="21.48"/>
    <n v="2"/>
    <n v="2.1480000000000001"/>
    <n v="45.107999999999997"/>
    <d v="2019-02-27T00:00:00"/>
    <d v="1899-12-30T12:22:00"/>
    <x v="0"/>
    <n v="42.96"/>
    <n v="4.7619047620000003"/>
    <n v="2.1480000000000001"/>
    <n v="6.6"/>
    <x v="2"/>
    <n v="2"/>
    <s v="Standard"/>
    <s v="Standard Order"/>
    <m/>
    <s v=""/>
    <m/>
    <m/>
    <m/>
  </r>
  <r>
    <x v="684"/>
    <x v="2"/>
    <x v="2"/>
    <s v="Member"/>
    <s v="Female"/>
    <x v="3"/>
    <n v="23.08"/>
    <n v="6"/>
    <n v="6.9240000000000004"/>
    <n v="145.404"/>
    <d v="2019-01-24T00:00:00"/>
    <d v="1899-12-30T19:20:00"/>
    <x v="0"/>
    <n v="138.47999999999999"/>
    <n v="4.7619047620000003"/>
    <n v="6.9240000000000004"/>
    <n v="4.9000000000000004"/>
    <x v="0"/>
    <n v="1"/>
    <s v="Standard"/>
    <s v="Standard Order"/>
    <m/>
    <s v=""/>
    <m/>
    <m/>
    <m/>
  </r>
  <r>
    <x v="685"/>
    <x v="2"/>
    <x v="2"/>
    <s v="Member"/>
    <s v="Female"/>
    <x v="2"/>
    <n v="49.1"/>
    <n v="2"/>
    <n v="4.91"/>
    <n v="103.11"/>
    <d v="2019-01-08T00:00:00"/>
    <d v="1899-12-30T12:58:00"/>
    <x v="2"/>
    <n v="98.2"/>
    <n v="4.7619047620000003"/>
    <n v="4.91"/>
    <n v="6.4"/>
    <x v="0"/>
    <n v="1"/>
    <s v="Standard"/>
    <s v="Standard Order"/>
    <m/>
    <s v=""/>
    <m/>
    <m/>
    <m/>
  </r>
  <r>
    <x v="686"/>
    <x v="2"/>
    <x v="2"/>
    <s v="Member"/>
    <s v="Female"/>
    <x v="3"/>
    <n v="64.83"/>
    <n v="2"/>
    <n v="6.4829999999999997"/>
    <n v="136.143"/>
    <d v="2019-01-08T00:00:00"/>
    <d v="1899-12-30T11:59:00"/>
    <x v="2"/>
    <n v="129.66"/>
    <n v="4.7619047620000003"/>
    <n v="6.4829999999999997"/>
    <n v="8"/>
    <x v="0"/>
    <n v="1"/>
    <s v="Standard"/>
    <s v="Standard Order"/>
    <m/>
    <s v=""/>
    <m/>
    <m/>
    <m/>
  </r>
  <r>
    <x v="687"/>
    <x v="0"/>
    <x v="0"/>
    <s v="Member"/>
    <s v="Male"/>
    <x v="2"/>
    <n v="63.56"/>
    <n v="10"/>
    <n v="31.78"/>
    <n v="667.38"/>
    <d v="2019-01-16T00:00:00"/>
    <d v="1899-12-30T17:59:00"/>
    <x v="1"/>
    <n v="635.6"/>
    <n v="4.7619047620000003"/>
    <n v="31.78"/>
    <n v="4.3"/>
    <x v="0"/>
    <n v="1"/>
    <s v="High Value"/>
    <s v="High Value Order"/>
    <m/>
    <s v=""/>
    <m/>
    <m/>
    <m/>
  </r>
  <r>
    <x v="688"/>
    <x v="1"/>
    <x v="1"/>
    <s v="Member"/>
    <s v="Male"/>
    <x v="3"/>
    <n v="72.88"/>
    <n v="2"/>
    <n v="7.2880000000000003"/>
    <n v="153.048"/>
    <d v="2019-03-13T00:00:00"/>
    <d v="1899-12-30T12:51:00"/>
    <x v="1"/>
    <n v="145.76"/>
    <n v="4.7619047620000003"/>
    <n v="7.2880000000000003"/>
    <n v="6.1"/>
    <x v="1"/>
    <n v="3"/>
    <s v="Standard"/>
    <s v="Standard Order"/>
    <m/>
    <s v=""/>
    <m/>
    <m/>
    <m/>
  </r>
  <r>
    <x v="689"/>
    <x v="0"/>
    <x v="0"/>
    <s v="Normal"/>
    <s v="Female"/>
    <x v="4"/>
    <n v="67.099999999999994"/>
    <n v="3"/>
    <n v="10.065"/>
    <n v="211.36500000000001"/>
    <d v="2019-02-15T00:00:00"/>
    <d v="1899-12-30T10:36:00"/>
    <x v="1"/>
    <n v="201.3"/>
    <n v="4.7619047620000003"/>
    <n v="10.065"/>
    <n v="7.5"/>
    <x v="2"/>
    <n v="2"/>
    <s v="Standard"/>
    <s v="Standard Order"/>
    <m/>
    <s v=""/>
    <m/>
    <m/>
    <m/>
  </r>
  <r>
    <x v="690"/>
    <x v="1"/>
    <x v="1"/>
    <s v="Member"/>
    <s v="Female"/>
    <x v="3"/>
    <n v="70.19"/>
    <n v="9"/>
    <n v="31.5855"/>
    <n v="663.29549999999995"/>
    <d v="2019-01-25T00:00:00"/>
    <d v="1899-12-30T13:38:00"/>
    <x v="1"/>
    <n v="631.71"/>
    <n v="4.7619047620000003"/>
    <n v="31.5855"/>
    <n v="6.7"/>
    <x v="0"/>
    <n v="1"/>
    <s v="High Value"/>
    <s v="High Value Order"/>
    <m/>
    <s v=""/>
    <m/>
    <m/>
    <m/>
  </r>
  <r>
    <x v="691"/>
    <x v="1"/>
    <x v="1"/>
    <s v="Member"/>
    <s v="Male"/>
    <x v="4"/>
    <n v="55.04"/>
    <n v="7"/>
    <n v="19.263999999999999"/>
    <n v="404.54399999999998"/>
    <d v="2019-03-12T00:00:00"/>
    <d v="1899-12-30T19:39:00"/>
    <x v="0"/>
    <n v="385.28"/>
    <n v="4.7619047620000003"/>
    <n v="19.263999999999999"/>
    <n v="5.2"/>
    <x v="1"/>
    <n v="3"/>
    <s v="Standard"/>
    <s v="Standard Order"/>
    <m/>
    <s v=""/>
    <m/>
    <m/>
    <m/>
  </r>
  <r>
    <x v="692"/>
    <x v="0"/>
    <x v="0"/>
    <s v="Member"/>
    <s v="Male"/>
    <x v="0"/>
    <n v="48.63"/>
    <n v="10"/>
    <n v="24.315000000000001"/>
    <n v="510.61500000000001"/>
    <d v="2019-03-04T00:00:00"/>
    <d v="1899-12-30T12:44:00"/>
    <x v="1"/>
    <n v="486.3"/>
    <n v="4.7619047620000003"/>
    <n v="24.315000000000001"/>
    <n v="8.8000000000000007"/>
    <x v="1"/>
    <n v="3"/>
    <s v="High Value"/>
    <s v="High Value Order"/>
    <m/>
    <s v=""/>
    <m/>
    <m/>
    <m/>
  </r>
  <r>
    <x v="693"/>
    <x v="1"/>
    <x v="1"/>
    <s v="Member"/>
    <s v="Female"/>
    <x v="5"/>
    <n v="73.38"/>
    <n v="7"/>
    <n v="25.683"/>
    <n v="539.34299999999996"/>
    <d v="2019-02-10T00:00:00"/>
    <d v="1899-12-30T13:56:00"/>
    <x v="1"/>
    <n v="513.66"/>
    <n v="4.7619047620000003"/>
    <n v="25.683"/>
    <n v="9.5"/>
    <x v="2"/>
    <n v="2"/>
    <s v="High Value"/>
    <s v="High Value Order"/>
    <m/>
    <s v=""/>
    <m/>
    <m/>
    <m/>
  </r>
  <r>
    <x v="694"/>
    <x v="1"/>
    <x v="1"/>
    <s v="Normal"/>
    <s v="Female"/>
    <x v="4"/>
    <n v="52.6"/>
    <n v="9"/>
    <n v="23.67"/>
    <n v="497.07"/>
    <d v="2019-01-16T00:00:00"/>
    <d v="1899-12-30T14:42:00"/>
    <x v="1"/>
    <n v="473.4"/>
    <n v="4.7619047620000003"/>
    <n v="23.67"/>
    <n v="7.6"/>
    <x v="0"/>
    <n v="1"/>
    <s v="Standard"/>
    <s v="Standard Order"/>
    <m/>
    <s v=""/>
    <m/>
    <m/>
    <m/>
  </r>
  <r>
    <x v="695"/>
    <x v="0"/>
    <x v="0"/>
    <s v="Member"/>
    <s v="Female"/>
    <x v="2"/>
    <n v="87.37"/>
    <n v="5"/>
    <n v="21.842500000000001"/>
    <n v="458.6925"/>
    <d v="2019-01-29T00:00:00"/>
    <d v="1899-12-30T19:45:00"/>
    <x v="1"/>
    <n v="436.85"/>
    <n v="4.7619047620000003"/>
    <n v="21.842500000000001"/>
    <n v="6.6"/>
    <x v="0"/>
    <n v="1"/>
    <s v="Standard"/>
    <s v="Standard Order"/>
    <m/>
    <s v=""/>
    <m/>
    <m/>
    <m/>
  </r>
  <r>
    <x v="696"/>
    <x v="0"/>
    <x v="0"/>
    <s v="Member"/>
    <s v="Female"/>
    <x v="3"/>
    <n v="27.04"/>
    <n v="4"/>
    <n v="5.4080000000000004"/>
    <n v="113.568"/>
    <d v="2019-01-01T00:00:00"/>
    <d v="1899-12-30T20:26:00"/>
    <x v="0"/>
    <n v="108.16"/>
    <n v="4.7619047620000003"/>
    <n v="5.4080000000000004"/>
    <n v="6.9"/>
    <x v="0"/>
    <n v="1"/>
    <s v="Standard"/>
    <s v="Standard Order"/>
    <m/>
    <s v=""/>
    <m/>
    <m/>
    <m/>
  </r>
  <r>
    <x v="697"/>
    <x v="2"/>
    <x v="2"/>
    <s v="Normal"/>
    <s v="Male"/>
    <x v="2"/>
    <n v="62.19"/>
    <n v="4"/>
    <n v="12.438000000000001"/>
    <n v="261.19799999999998"/>
    <d v="2019-01-06T00:00:00"/>
    <d v="1899-12-30T19:46:00"/>
    <x v="0"/>
    <n v="248.76"/>
    <n v="4.7619047620000003"/>
    <n v="12.438000000000001"/>
    <n v="4.3"/>
    <x v="0"/>
    <n v="1"/>
    <s v="Standard"/>
    <s v="Standard Order"/>
    <m/>
    <s v=""/>
    <m/>
    <m/>
    <m/>
  </r>
  <r>
    <x v="698"/>
    <x v="0"/>
    <x v="0"/>
    <s v="Member"/>
    <s v="Male"/>
    <x v="1"/>
    <n v="69.58"/>
    <n v="9"/>
    <n v="31.311"/>
    <n v="657.53099999999995"/>
    <d v="2019-02-19T00:00:00"/>
    <d v="1899-12-30T19:38:00"/>
    <x v="2"/>
    <n v="626.22"/>
    <n v="4.7619047620000003"/>
    <n v="31.311"/>
    <n v="7.8"/>
    <x v="2"/>
    <n v="2"/>
    <s v="High Value"/>
    <s v="High Value Order"/>
    <m/>
    <s v=""/>
    <m/>
    <m/>
    <m/>
  </r>
  <r>
    <x v="699"/>
    <x v="1"/>
    <x v="1"/>
    <s v="Normal"/>
    <s v="Male"/>
    <x v="2"/>
    <n v="97.5"/>
    <n v="10"/>
    <n v="48.75"/>
    <n v="1023.75"/>
    <d v="2019-01-12T00:00:00"/>
    <d v="1899-12-30T16:18:00"/>
    <x v="0"/>
    <n v="975"/>
    <n v="4.7619047620000003"/>
    <n v="48.75"/>
    <n v="8"/>
    <x v="0"/>
    <n v="1"/>
    <s v="High Value"/>
    <s v="High Value Order"/>
    <m/>
    <s v=""/>
    <m/>
    <m/>
    <m/>
  </r>
  <r>
    <x v="700"/>
    <x v="1"/>
    <x v="1"/>
    <s v="Normal"/>
    <s v="Female"/>
    <x v="5"/>
    <n v="60.41"/>
    <n v="8"/>
    <n v="24.164000000000001"/>
    <n v="507.44400000000002"/>
    <d v="2019-02-07T00:00:00"/>
    <d v="1899-12-30T12:23:00"/>
    <x v="0"/>
    <n v="483.28"/>
    <n v="4.7619047620000003"/>
    <n v="24.164000000000001"/>
    <n v="9.6"/>
    <x v="2"/>
    <n v="2"/>
    <s v="High Value"/>
    <s v="High Value Order"/>
    <m/>
    <s v=""/>
    <m/>
    <m/>
    <m/>
  </r>
  <r>
    <x v="701"/>
    <x v="2"/>
    <x v="2"/>
    <s v="Normal"/>
    <s v="Male"/>
    <x v="4"/>
    <n v="32.32"/>
    <n v="3"/>
    <n v="4.8479999999999999"/>
    <n v="101.80800000000001"/>
    <d v="2019-03-27T00:00:00"/>
    <d v="1899-12-30T19:11:00"/>
    <x v="2"/>
    <n v="96.96"/>
    <n v="4.7619047620000003"/>
    <n v="4.8479999999999999"/>
    <n v="4.3"/>
    <x v="1"/>
    <n v="3"/>
    <s v="Standard"/>
    <s v="Standard Order"/>
    <m/>
    <s v=""/>
    <m/>
    <m/>
    <m/>
  </r>
  <r>
    <x v="702"/>
    <x v="2"/>
    <x v="2"/>
    <s v="Member"/>
    <s v="Female"/>
    <x v="5"/>
    <n v="19.77"/>
    <n v="10"/>
    <n v="9.8849999999999998"/>
    <n v="207.58500000000001"/>
    <d v="2019-02-27T00:00:00"/>
    <d v="1899-12-30T18:57:00"/>
    <x v="2"/>
    <n v="197.7"/>
    <n v="4.7619047620000003"/>
    <n v="9.8849999999999998"/>
    <n v="5"/>
    <x v="2"/>
    <n v="2"/>
    <s v="Standard"/>
    <s v="Standard Order"/>
    <m/>
    <s v=""/>
    <m/>
    <m/>
    <m/>
  </r>
  <r>
    <x v="703"/>
    <x v="2"/>
    <x v="2"/>
    <s v="Member"/>
    <s v="Male"/>
    <x v="0"/>
    <n v="80.47"/>
    <n v="9"/>
    <n v="36.211500000000001"/>
    <n v="760.44150000000002"/>
    <d v="2019-01-06T00:00:00"/>
    <d v="1899-12-30T11:18:00"/>
    <x v="1"/>
    <n v="724.23"/>
    <n v="4.7619047620000003"/>
    <n v="36.211500000000001"/>
    <n v="9.1999999999999993"/>
    <x v="0"/>
    <n v="1"/>
    <s v="High Value"/>
    <s v="High Value Order"/>
    <m/>
    <s v=""/>
    <m/>
    <m/>
    <m/>
  </r>
  <r>
    <x v="704"/>
    <x v="2"/>
    <x v="2"/>
    <s v="Member"/>
    <s v="Female"/>
    <x v="2"/>
    <n v="88.39"/>
    <n v="9"/>
    <n v="39.775500000000001"/>
    <n v="835.28549999999996"/>
    <d v="2019-03-02T00:00:00"/>
    <d v="1899-12-30T12:40:00"/>
    <x v="1"/>
    <n v="795.51"/>
    <n v="4.7619047620000003"/>
    <n v="39.775500000000001"/>
    <n v="6.3"/>
    <x v="1"/>
    <n v="3"/>
    <s v="High Value"/>
    <s v="High Value Order"/>
    <m/>
    <s v=""/>
    <m/>
    <m/>
    <m/>
  </r>
  <r>
    <x v="705"/>
    <x v="2"/>
    <x v="2"/>
    <s v="Normal"/>
    <s v="Male"/>
    <x v="0"/>
    <n v="71.77"/>
    <n v="7"/>
    <n v="25.119499999999999"/>
    <n v="527.5095"/>
    <d v="2019-03-29T00:00:00"/>
    <d v="1899-12-30T14:06:00"/>
    <x v="1"/>
    <n v="502.39"/>
    <n v="4.7619047620000003"/>
    <n v="25.119499999999999"/>
    <n v="8.9"/>
    <x v="1"/>
    <n v="3"/>
    <s v="High Value"/>
    <s v="High Value Order"/>
    <m/>
    <s v=""/>
    <m/>
    <m/>
    <m/>
  </r>
  <r>
    <x v="706"/>
    <x v="2"/>
    <x v="2"/>
    <s v="Normal"/>
    <s v="Female"/>
    <x v="1"/>
    <n v="43"/>
    <n v="4"/>
    <n v="8.6"/>
    <n v="180.6"/>
    <d v="2019-01-31T00:00:00"/>
    <d v="1899-12-30T20:48:00"/>
    <x v="0"/>
    <n v="172"/>
    <n v="4.7619047620000003"/>
    <n v="8.6"/>
    <n v="7.6"/>
    <x v="0"/>
    <n v="1"/>
    <s v="Standard"/>
    <s v="Standard Order"/>
    <m/>
    <s v=""/>
    <m/>
    <m/>
    <m/>
  </r>
  <r>
    <x v="707"/>
    <x v="1"/>
    <x v="1"/>
    <s v="Member"/>
    <s v="Male"/>
    <x v="4"/>
    <n v="68.98"/>
    <n v="1"/>
    <n v="3.4489999999999998"/>
    <n v="72.429000000000002"/>
    <d v="2019-01-21T00:00:00"/>
    <d v="1899-12-30T20:13:00"/>
    <x v="1"/>
    <n v="68.98"/>
    <n v="4.7619047620000003"/>
    <n v="3.4489999999999998"/>
    <n v="4.8"/>
    <x v="0"/>
    <n v="1"/>
    <s v="Standard"/>
    <s v="Standard Order"/>
    <m/>
    <s v=""/>
    <m/>
    <m/>
    <m/>
  </r>
  <r>
    <x v="708"/>
    <x v="1"/>
    <x v="1"/>
    <s v="Normal"/>
    <s v="Male"/>
    <x v="5"/>
    <n v="15.62"/>
    <n v="8"/>
    <n v="6.2480000000000002"/>
    <n v="131.208"/>
    <d v="2019-01-20T00:00:00"/>
    <d v="1899-12-30T20:37:00"/>
    <x v="0"/>
    <n v="124.96"/>
    <n v="4.7619047620000003"/>
    <n v="6.2480000000000002"/>
    <n v="9.1"/>
    <x v="0"/>
    <n v="1"/>
    <s v="Standard"/>
    <s v="Standard Order"/>
    <m/>
    <s v=""/>
    <m/>
    <m/>
    <m/>
  </r>
  <r>
    <x v="709"/>
    <x v="0"/>
    <x v="0"/>
    <s v="Normal"/>
    <s v="Male"/>
    <x v="3"/>
    <n v="25.7"/>
    <n v="3"/>
    <n v="3.855"/>
    <n v="80.954999999999998"/>
    <d v="2019-01-17T00:00:00"/>
    <d v="1899-12-30T17:59:00"/>
    <x v="0"/>
    <n v="77.099999999999994"/>
    <n v="4.7619047620000003"/>
    <n v="3.855"/>
    <n v="6.1"/>
    <x v="0"/>
    <n v="1"/>
    <s v="Standard"/>
    <s v="Standard Order"/>
    <m/>
    <s v=""/>
    <m/>
    <m/>
    <m/>
  </r>
  <r>
    <x v="710"/>
    <x v="0"/>
    <x v="0"/>
    <s v="Member"/>
    <s v="Male"/>
    <x v="4"/>
    <n v="80.62"/>
    <n v="6"/>
    <n v="24.186"/>
    <n v="507.90600000000001"/>
    <d v="2019-02-28T00:00:00"/>
    <d v="1899-12-30T20:18:00"/>
    <x v="1"/>
    <n v="483.72"/>
    <n v="4.7619047620000003"/>
    <n v="24.186"/>
    <n v="9.1"/>
    <x v="2"/>
    <n v="2"/>
    <s v="High Value"/>
    <s v="High Value Order"/>
    <m/>
    <s v=""/>
    <m/>
    <m/>
    <m/>
  </r>
  <r>
    <x v="711"/>
    <x v="1"/>
    <x v="1"/>
    <s v="Member"/>
    <s v="Female"/>
    <x v="2"/>
    <n v="75.53"/>
    <n v="4"/>
    <n v="15.106"/>
    <n v="317.226"/>
    <d v="2019-03-19T00:00:00"/>
    <d v="1899-12-30T15:52:00"/>
    <x v="0"/>
    <n v="302.12"/>
    <n v="4.7619047620000003"/>
    <n v="15.106"/>
    <n v="8.3000000000000007"/>
    <x v="1"/>
    <n v="3"/>
    <s v="Standard"/>
    <s v="Standard Order"/>
    <m/>
    <s v=""/>
    <m/>
    <m/>
    <m/>
  </r>
  <r>
    <x v="712"/>
    <x v="1"/>
    <x v="1"/>
    <s v="Normal"/>
    <s v="Female"/>
    <x v="1"/>
    <n v="77.63"/>
    <n v="9"/>
    <n v="34.933500000000002"/>
    <n v="733.60350000000005"/>
    <d v="2019-02-19T00:00:00"/>
    <d v="1899-12-30T15:14:00"/>
    <x v="0"/>
    <n v="698.67"/>
    <n v="4.7619047620000003"/>
    <n v="34.933500000000002"/>
    <n v="7.2"/>
    <x v="2"/>
    <n v="2"/>
    <s v="High Value"/>
    <s v="High Value Order"/>
    <m/>
    <s v=""/>
    <m/>
    <m/>
    <m/>
  </r>
  <r>
    <x v="713"/>
    <x v="1"/>
    <x v="1"/>
    <s v="Normal"/>
    <s v="Female"/>
    <x v="0"/>
    <n v="13.85"/>
    <n v="9"/>
    <n v="6.2324999999999999"/>
    <n v="130.88249999999999"/>
    <d v="2019-02-04T00:00:00"/>
    <d v="1899-12-30T12:50:00"/>
    <x v="0"/>
    <n v="124.65"/>
    <n v="4.7619047620000003"/>
    <n v="6.2324999999999999"/>
    <n v="6"/>
    <x v="2"/>
    <n v="2"/>
    <s v="Standard"/>
    <s v="Standard Order"/>
    <m/>
    <s v=""/>
    <m/>
    <m/>
    <m/>
  </r>
  <r>
    <x v="714"/>
    <x v="1"/>
    <x v="1"/>
    <s v="Member"/>
    <s v="Male"/>
    <x v="5"/>
    <n v="98.7"/>
    <n v="8"/>
    <n v="39.479999999999997"/>
    <n v="829.08"/>
    <d v="2019-01-31T00:00:00"/>
    <d v="1899-12-30T10:36:00"/>
    <x v="0"/>
    <n v="789.6"/>
    <n v="4.7619047620000003"/>
    <n v="39.479999999999997"/>
    <n v="8.5"/>
    <x v="0"/>
    <n v="1"/>
    <s v="High Value"/>
    <s v="High Value Order"/>
    <m/>
    <s v=""/>
    <m/>
    <m/>
    <m/>
  </r>
  <r>
    <x v="715"/>
    <x v="0"/>
    <x v="0"/>
    <s v="Normal"/>
    <s v="Female"/>
    <x v="0"/>
    <n v="35.68"/>
    <n v="5"/>
    <n v="8.92"/>
    <n v="187.32"/>
    <d v="2019-02-06T00:00:00"/>
    <d v="1899-12-30T18:33:00"/>
    <x v="2"/>
    <n v="178.4"/>
    <n v="4.7619047620000003"/>
    <n v="8.92"/>
    <n v="6.6"/>
    <x v="2"/>
    <n v="2"/>
    <s v="Standard"/>
    <s v="Standard Order"/>
    <m/>
    <s v=""/>
    <m/>
    <m/>
    <m/>
  </r>
  <r>
    <x v="716"/>
    <x v="0"/>
    <x v="0"/>
    <s v="Member"/>
    <s v="Female"/>
    <x v="5"/>
    <n v="71.459999999999994"/>
    <n v="7"/>
    <n v="25.010999999999999"/>
    <n v="525.23099999999999"/>
    <d v="2019-03-28T00:00:00"/>
    <d v="1899-12-30T16:06:00"/>
    <x v="0"/>
    <n v="500.22"/>
    <n v="4.7619047620000003"/>
    <n v="25.010999999999999"/>
    <n v="4.5"/>
    <x v="1"/>
    <n v="3"/>
    <s v="High Value"/>
    <s v="High Value Order"/>
    <m/>
    <s v=""/>
    <m/>
    <m/>
    <m/>
  </r>
  <r>
    <x v="717"/>
    <x v="0"/>
    <x v="0"/>
    <s v="Member"/>
    <s v="Male"/>
    <x v="1"/>
    <n v="11.94"/>
    <n v="3"/>
    <n v="1.7909999999999999"/>
    <n v="37.610999999999997"/>
    <d v="2019-01-19T00:00:00"/>
    <d v="1899-12-30T12:47:00"/>
    <x v="2"/>
    <n v="35.82"/>
    <n v="4.7619047620000003"/>
    <n v="1.7909999999999999"/>
    <n v="8.1"/>
    <x v="0"/>
    <n v="1"/>
    <s v="Standard"/>
    <s v="Standard Order"/>
    <m/>
    <s v=""/>
    <m/>
    <m/>
    <m/>
  </r>
  <r>
    <x v="718"/>
    <x v="0"/>
    <x v="0"/>
    <s v="Normal"/>
    <s v="Male"/>
    <x v="5"/>
    <n v="45.38"/>
    <n v="3"/>
    <n v="6.8070000000000004"/>
    <n v="142.947"/>
    <d v="2019-02-17T00:00:00"/>
    <d v="1899-12-30T13:34:00"/>
    <x v="2"/>
    <n v="136.13999999999999"/>
    <n v="4.7619047620000003"/>
    <n v="6.8070000000000004"/>
    <n v="7.2"/>
    <x v="2"/>
    <n v="2"/>
    <s v="Standard"/>
    <s v="Standard Order"/>
    <m/>
    <s v=""/>
    <m/>
    <m/>
    <m/>
  </r>
  <r>
    <x v="719"/>
    <x v="2"/>
    <x v="2"/>
    <s v="Member"/>
    <s v="Female"/>
    <x v="5"/>
    <n v="17.48"/>
    <n v="6"/>
    <n v="5.2439999999999998"/>
    <n v="110.124"/>
    <d v="2019-01-18T00:00:00"/>
    <d v="1899-12-30T15:04:00"/>
    <x v="2"/>
    <n v="104.88"/>
    <n v="4.7619047620000003"/>
    <n v="5.2439999999999998"/>
    <n v="6.1"/>
    <x v="0"/>
    <n v="1"/>
    <s v="Standard"/>
    <s v="Standard Order"/>
    <m/>
    <s v=""/>
    <m/>
    <m/>
    <m/>
  </r>
  <r>
    <x v="720"/>
    <x v="2"/>
    <x v="2"/>
    <s v="Normal"/>
    <s v="Female"/>
    <x v="5"/>
    <n v="25.56"/>
    <n v="7"/>
    <n v="8.9459999999999997"/>
    <n v="187.86600000000001"/>
    <d v="2019-02-02T00:00:00"/>
    <d v="1899-12-30T20:42:00"/>
    <x v="1"/>
    <n v="178.92"/>
    <n v="4.7619047620000003"/>
    <n v="8.9459999999999997"/>
    <n v="7.1"/>
    <x v="2"/>
    <n v="2"/>
    <s v="Standard"/>
    <s v="Standard Order"/>
    <m/>
    <s v=""/>
    <m/>
    <m/>
    <m/>
  </r>
  <r>
    <x v="721"/>
    <x v="1"/>
    <x v="1"/>
    <s v="Member"/>
    <s v="Female"/>
    <x v="3"/>
    <n v="90.63"/>
    <n v="9"/>
    <n v="40.783499999999997"/>
    <n v="856.45349999999996"/>
    <d v="2019-01-18T00:00:00"/>
    <d v="1899-12-30T15:28:00"/>
    <x v="1"/>
    <n v="815.67"/>
    <n v="4.7619047620000003"/>
    <n v="40.783499999999997"/>
    <n v="5.0999999999999996"/>
    <x v="0"/>
    <n v="1"/>
    <s v="High Value"/>
    <s v="High Value Order"/>
    <m/>
    <s v=""/>
    <m/>
    <m/>
    <m/>
  </r>
  <r>
    <x v="722"/>
    <x v="2"/>
    <x v="2"/>
    <s v="Normal"/>
    <s v="Male"/>
    <x v="2"/>
    <n v="44.12"/>
    <n v="3"/>
    <n v="6.6180000000000003"/>
    <n v="138.97800000000001"/>
    <d v="2019-03-18T00:00:00"/>
    <d v="1899-12-30T13:45:00"/>
    <x v="2"/>
    <n v="132.36000000000001"/>
    <n v="4.7619047620000003"/>
    <n v="6.6180000000000003"/>
    <n v="7.9"/>
    <x v="1"/>
    <n v="3"/>
    <s v="Standard"/>
    <s v="Standard Order"/>
    <m/>
    <s v=""/>
    <m/>
    <m/>
    <m/>
  </r>
  <r>
    <x v="723"/>
    <x v="1"/>
    <x v="1"/>
    <s v="Member"/>
    <s v="Female"/>
    <x v="4"/>
    <n v="36.770000000000003"/>
    <n v="7"/>
    <n v="12.8695"/>
    <n v="270.2595"/>
    <d v="2019-01-11T00:00:00"/>
    <d v="1899-12-30T20:10:00"/>
    <x v="1"/>
    <n v="257.39"/>
    <n v="4.7619047620000003"/>
    <n v="12.8695"/>
    <n v="7.4"/>
    <x v="0"/>
    <n v="1"/>
    <s v="Standard"/>
    <s v="Standard Order"/>
    <m/>
    <s v=""/>
    <m/>
    <m/>
    <m/>
  </r>
  <r>
    <x v="724"/>
    <x v="2"/>
    <x v="2"/>
    <s v="Member"/>
    <s v="Male"/>
    <x v="4"/>
    <n v="23.34"/>
    <n v="4"/>
    <n v="4.6680000000000001"/>
    <n v="98.028000000000006"/>
    <d v="2019-02-04T00:00:00"/>
    <d v="1899-12-30T18:53:00"/>
    <x v="0"/>
    <n v="93.36"/>
    <n v="4.7619047620000003"/>
    <n v="4.6680000000000001"/>
    <n v="7.4"/>
    <x v="2"/>
    <n v="2"/>
    <s v="Standard"/>
    <s v="Standard Order"/>
    <m/>
    <s v=""/>
    <m/>
    <m/>
    <m/>
  </r>
  <r>
    <x v="725"/>
    <x v="1"/>
    <x v="1"/>
    <s v="Member"/>
    <s v="Female"/>
    <x v="0"/>
    <n v="28.5"/>
    <n v="8"/>
    <n v="11.4"/>
    <n v="239.4"/>
    <d v="2019-02-06T00:00:00"/>
    <d v="1899-12-30T14:24:00"/>
    <x v="1"/>
    <n v="228"/>
    <n v="4.7619047620000003"/>
    <n v="11.4"/>
    <n v="6.6"/>
    <x v="2"/>
    <n v="2"/>
    <s v="Standard"/>
    <s v="Standard Order"/>
    <m/>
    <s v=""/>
    <m/>
    <m/>
    <m/>
  </r>
  <r>
    <x v="726"/>
    <x v="1"/>
    <x v="1"/>
    <s v="Member"/>
    <s v="Male"/>
    <x v="2"/>
    <n v="55.57"/>
    <n v="3"/>
    <n v="8.3354999999999997"/>
    <n v="175.0455"/>
    <d v="2019-01-08T00:00:00"/>
    <d v="1899-12-30T11:42:00"/>
    <x v="2"/>
    <n v="166.71"/>
    <n v="4.7619047620000003"/>
    <n v="8.3354999999999997"/>
    <n v="5.9"/>
    <x v="0"/>
    <n v="1"/>
    <s v="Standard"/>
    <s v="Standard Order"/>
    <m/>
    <s v=""/>
    <m/>
    <m/>
    <m/>
  </r>
  <r>
    <x v="727"/>
    <x v="2"/>
    <x v="2"/>
    <s v="Normal"/>
    <s v="Male"/>
    <x v="3"/>
    <n v="69.739999999999995"/>
    <n v="10"/>
    <n v="34.869999999999997"/>
    <n v="732.27"/>
    <d v="2019-03-05T00:00:00"/>
    <d v="1899-12-30T17:49:00"/>
    <x v="2"/>
    <n v="697.4"/>
    <n v="4.7619047620000003"/>
    <n v="34.869999999999997"/>
    <n v="8.9"/>
    <x v="1"/>
    <n v="3"/>
    <s v="High Value"/>
    <s v="High Value Order"/>
    <m/>
    <s v=""/>
    <m/>
    <m/>
    <m/>
  </r>
  <r>
    <x v="728"/>
    <x v="1"/>
    <x v="1"/>
    <s v="Normal"/>
    <s v="Male"/>
    <x v="5"/>
    <n v="97.26"/>
    <n v="4"/>
    <n v="19.452000000000002"/>
    <n v="408.49200000000002"/>
    <d v="2019-03-16T00:00:00"/>
    <d v="1899-12-30T15:33:00"/>
    <x v="0"/>
    <n v="389.04"/>
    <n v="4.7619047620000003"/>
    <n v="19.452000000000002"/>
    <n v="6.8"/>
    <x v="1"/>
    <n v="3"/>
    <s v="Standard"/>
    <s v="Standard Order"/>
    <m/>
    <s v=""/>
    <m/>
    <m/>
    <m/>
  </r>
  <r>
    <x v="729"/>
    <x v="2"/>
    <x v="2"/>
    <s v="Member"/>
    <s v="Female"/>
    <x v="2"/>
    <n v="52.18"/>
    <n v="7"/>
    <n v="18.263000000000002"/>
    <n v="383.52300000000002"/>
    <d v="2019-03-09T00:00:00"/>
    <d v="1899-12-30T10:54:00"/>
    <x v="1"/>
    <n v="365.26"/>
    <n v="4.7619047620000003"/>
    <n v="18.263000000000002"/>
    <n v="9.3000000000000007"/>
    <x v="1"/>
    <n v="3"/>
    <s v="Standard"/>
    <s v="Standard Order"/>
    <m/>
    <s v=""/>
    <m/>
    <m/>
    <m/>
  </r>
  <r>
    <x v="730"/>
    <x v="0"/>
    <x v="0"/>
    <s v="Member"/>
    <s v="Female"/>
    <x v="5"/>
    <n v="22.32"/>
    <n v="4"/>
    <n v="4.4640000000000004"/>
    <n v="93.744"/>
    <d v="2019-03-01T00:00:00"/>
    <d v="1899-12-30T16:23:00"/>
    <x v="2"/>
    <n v="89.28"/>
    <n v="4.7619047620000003"/>
    <n v="4.4640000000000004"/>
    <n v="4.4000000000000004"/>
    <x v="1"/>
    <n v="3"/>
    <s v="Standard"/>
    <s v="Standard Order"/>
    <m/>
    <s v=""/>
    <m/>
    <m/>
    <m/>
  </r>
  <r>
    <x v="731"/>
    <x v="0"/>
    <x v="0"/>
    <s v="Normal"/>
    <s v="Male"/>
    <x v="0"/>
    <n v="56"/>
    <n v="3"/>
    <n v="8.4"/>
    <n v="176.4"/>
    <d v="2019-02-28T00:00:00"/>
    <d v="1899-12-30T19:33:00"/>
    <x v="0"/>
    <n v="168"/>
    <n v="4.7619047620000003"/>
    <n v="8.4"/>
    <n v="4.8"/>
    <x v="2"/>
    <n v="2"/>
    <s v="Standard"/>
    <s v="Standard Order"/>
    <m/>
    <s v=""/>
    <m/>
    <m/>
    <m/>
  </r>
  <r>
    <x v="732"/>
    <x v="0"/>
    <x v="0"/>
    <s v="Member"/>
    <s v="Male"/>
    <x v="5"/>
    <n v="19.7"/>
    <n v="1"/>
    <n v="0.98499999999999999"/>
    <n v="20.684999999999999"/>
    <d v="2019-02-08T00:00:00"/>
    <d v="1899-12-30T11:39:00"/>
    <x v="0"/>
    <n v="19.7"/>
    <n v="4.7619047620000003"/>
    <n v="0.98499999999999999"/>
    <n v="9.5"/>
    <x v="2"/>
    <n v="2"/>
    <s v="Standard"/>
    <s v="Standard Order"/>
    <m/>
    <s v=""/>
    <m/>
    <m/>
    <m/>
  </r>
  <r>
    <x v="733"/>
    <x v="2"/>
    <x v="2"/>
    <s v="Normal"/>
    <s v="Male"/>
    <x v="1"/>
    <n v="75.88"/>
    <n v="7"/>
    <n v="26.558"/>
    <n v="557.71799999999996"/>
    <d v="2019-01-24T00:00:00"/>
    <d v="1899-12-30T10:38:00"/>
    <x v="0"/>
    <n v="531.16"/>
    <n v="4.7619047620000003"/>
    <n v="26.558"/>
    <n v="8.9"/>
    <x v="0"/>
    <n v="1"/>
    <s v="High Value"/>
    <s v="High Value Order"/>
    <m/>
    <s v=""/>
    <m/>
    <m/>
    <m/>
  </r>
  <r>
    <x v="734"/>
    <x v="2"/>
    <x v="2"/>
    <s v="Member"/>
    <s v="Male"/>
    <x v="4"/>
    <n v="53.72"/>
    <n v="1"/>
    <n v="2.6859999999999999"/>
    <n v="56.405999999999999"/>
    <d v="2019-03-01T00:00:00"/>
    <d v="1899-12-30T20:03:00"/>
    <x v="0"/>
    <n v="53.72"/>
    <n v="4.7619047620000003"/>
    <n v="2.6859999999999999"/>
    <n v="6.4"/>
    <x v="1"/>
    <n v="3"/>
    <s v="Standard"/>
    <s v="Standard Order"/>
    <m/>
    <s v=""/>
    <m/>
    <m/>
    <m/>
  </r>
  <r>
    <x v="735"/>
    <x v="1"/>
    <x v="1"/>
    <s v="Member"/>
    <s v="Male"/>
    <x v="0"/>
    <n v="81.95"/>
    <n v="10"/>
    <n v="40.975000000000001"/>
    <n v="860.47500000000002"/>
    <d v="2019-03-10T00:00:00"/>
    <d v="1899-12-30T12:39:00"/>
    <x v="2"/>
    <n v="819.5"/>
    <n v="4.7619047620000003"/>
    <n v="40.975000000000001"/>
    <n v="6"/>
    <x v="1"/>
    <n v="3"/>
    <s v="High Value"/>
    <s v="High Value Order"/>
    <m/>
    <s v=""/>
    <m/>
    <m/>
    <m/>
  </r>
  <r>
    <x v="736"/>
    <x v="1"/>
    <x v="1"/>
    <s v="Member"/>
    <s v="Female"/>
    <x v="2"/>
    <n v="81.2"/>
    <n v="7"/>
    <n v="28.42"/>
    <n v="596.82000000000005"/>
    <d v="2019-03-23T00:00:00"/>
    <d v="1899-12-30T15:59:00"/>
    <x v="2"/>
    <n v="568.4"/>
    <n v="4.7619047620000003"/>
    <n v="28.42"/>
    <n v="8.1"/>
    <x v="1"/>
    <n v="3"/>
    <s v="High Value"/>
    <s v="High Value Order"/>
    <m/>
    <s v=""/>
    <m/>
    <m/>
    <m/>
  </r>
  <r>
    <x v="737"/>
    <x v="1"/>
    <x v="1"/>
    <s v="Normal"/>
    <s v="Male"/>
    <x v="1"/>
    <n v="58.76"/>
    <n v="10"/>
    <n v="29.38"/>
    <n v="616.98"/>
    <d v="2019-01-29T00:00:00"/>
    <d v="1899-12-30T14:26:00"/>
    <x v="0"/>
    <n v="587.6"/>
    <n v="4.7619047620000003"/>
    <n v="29.38"/>
    <n v="9"/>
    <x v="0"/>
    <n v="1"/>
    <s v="High Value"/>
    <s v="High Value Order"/>
    <m/>
    <s v=""/>
    <m/>
    <m/>
    <m/>
  </r>
  <r>
    <x v="738"/>
    <x v="2"/>
    <x v="2"/>
    <s v="Member"/>
    <s v="Male"/>
    <x v="1"/>
    <n v="91.56"/>
    <n v="8"/>
    <n v="36.624000000000002"/>
    <n v="769.10400000000004"/>
    <d v="2019-01-12T00:00:00"/>
    <d v="1899-12-30T18:22:00"/>
    <x v="0"/>
    <n v="732.48"/>
    <n v="4.7619047620000003"/>
    <n v="36.624000000000002"/>
    <n v="6"/>
    <x v="0"/>
    <n v="1"/>
    <s v="High Value"/>
    <s v="High Value Order"/>
    <m/>
    <s v=""/>
    <m/>
    <m/>
    <m/>
  </r>
  <r>
    <x v="739"/>
    <x v="0"/>
    <x v="0"/>
    <s v="Normal"/>
    <s v="Male"/>
    <x v="2"/>
    <n v="93.96"/>
    <n v="9"/>
    <n v="42.281999999999996"/>
    <n v="887.92200000000003"/>
    <d v="2019-03-20T00:00:00"/>
    <d v="1899-12-30T11:32:00"/>
    <x v="1"/>
    <n v="845.64"/>
    <n v="4.7619047620000003"/>
    <n v="42.281999999999996"/>
    <n v="9.8000000000000007"/>
    <x v="1"/>
    <n v="3"/>
    <s v="High Value"/>
    <s v="High Value Order"/>
    <m/>
    <s v=""/>
    <m/>
    <m/>
    <m/>
  </r>
  <r>
    <x v="740"/>
    <x v="1"/>
    <x v="1"/>
    <s v="Normal"/>
    <s v="Male"/>
    <x v="2"/>
    <n v="55.61"/>
    <n v="7"/>
    <n v="19.4635"/>
    <n v="408.73349999999999"/>
    <d v="2019-03-23T00:00:00"/>
    <d v="1899-12-30T12:41:00"/>
    <x v="1"/>
    <n v="389.27"/>
    <n v="4.7619047620000003"/>
    <n v="19.4635"/>
    <n v="8.5"/>
    <x v="1"/>
    <n v="3"/>
    <s v="Standard"/>
    <s v="Standard Order"/>
    <m/>
    <s v=""/>
    <m/>
    <m/>
    <m/>
  </r>
  <r>
    <x v="741"/>
    <x v="1"/>
    <x v="1"/>
    <s v="Normal"/>
    <s v="Male"/>
    <x v="4"/>
    <n v="84.83"/>
    <n v="1"/>
    <n v="4.2415000000000003"/>
    <n v="89.0715"/>
    <d v="2019-01-14T00:00:00"/>
    <d v="1899-12-30T15:20:00"/>
    <x v="0"/>
    <n v="84.83"/>
    <n v="4.7619047620000003"/>
    <n v="4.2415000000000003"/>
    <n v="8.8000000000000007"/>
    <x v="0"/>
    <n v="1"/>
    <s v="Standard"/>
    <s v="Standard Order"/>
    <m/>
    <s v=""/>
    <m/>
    <m/>
    <m/>
  </r>
  <r>
    <x v="742"/>
    <x v="0"/>
    <x v="0"/>
    <s v="Member"/>
    <s v="Female"/>
    <x v="3"/>
    <n v="71.63"/>
    <n v="2"/>
    <n v="7.1630000000000003"/>
    <n v="150.423"/>
    <d v="2019-02-12T00:00:00"/>
    <d v="1899-12-30T14:33:00"/>
    <x v="0"/>
    <n v="143.26"/>
    <n v="4.7619047620000003"/>
    <n v="7.1630000000000003"/>
    <n v="8.8000000000000007"/>
    <x v="2"/>
    <n v="2"/>
    <s v="Standard"/>
    <s v="Standard Order"/>
    <m/>
    <s v=""/>
    <m/>
    <m/>
    <m/>
  </r>
  <r>
    <x v="743"/>
    <x v="0"/>
    <x v="0"/>
    <s v="Member"/>
    <s v="Male"/>
    <x v="2"/>
    <n v="37.69"/>
    <n v="2"/>
    <n v="3.7690000000000001"/>
    <n v="79.149000000000001"/>
    <d v="2019-02-20T00:00:00"/>
    <d v="1899-12-30T15:29:00"/>
    <x v="0"/>
    <n v="75.38"/>
    <n v="4.7619047620000003"/>
    <n v="3.7690000000000001"/>
    <n v="9.5"/>
    <x v="2"/>
    <n v="2"/>
    <s v="Standard"/>
    <s v="Standard Order"/>
    <m/>
    <s v=""/>
    <m/>
    <m/>
    <m/>
  </r>
  <r>
    <x v="744"/>
    <x v="1"/>
    <x v="1"/>
    <s v="Member"/>
    <s v="Female"/>
    <x v="3"/>
    <n v="31.67"/>
    <n v="8"/>
    <n v="12.667999999999999"/>
    <n v="266.02800000000002"/>
    <d v="2019-01-02T00:00:00"/>
    <d v="1899-12-30T16:19:00"/>
    <x v="2"/>
    <n v="253.36"/>
    <n v="4.7619047620000003"/>
    <n v="12.667999999999999"/>
    <n v="5.6"/>
    <x v="0"/>
    <n v="1"/>
    <s v="Standard"/>
    <s v="Standard Order"/>
    <m/>
    <s v=""/>
    <m/>
    <m/>
    <m/>
  </r>
  <r>
    <x v="745"/>
    <x v="1"/>
    <x v="1"/>
    <s v="Member"/>
    <s v="Female"/>
    <x v="4"/>
    <n v="38.42"/>
    <n v="1"/>
    <n v="1.921"/>
    <n v="40.341000000000001"/>
    <d v="2019-02-02T00:00:00"/>
    <d v="1899-12-30T16:33:00"/>
    <x v="1"/>
    <n v="38.42"/>
    <n v="4.7619047620000003"/>
    <n v="1.921"/>
    <n v="8.6"/>
    <x v="2"/>
    <n v="2"/>
    <s v="Standard"/>
    <s v="Standard Order"/>
    <m/>
    <s v=""/>
    <m/>
    <m/>
    <m/>
  </r>
  <r>
    <x v="746"/>
    <x v="2"/>
    <x v="2"/>
    <s v="Member"/>
    <s v="Male"/>
    <x v="5"/>
    <n v="65.23"/>
    <n v="10"/>
    <n v="32.615000000000002"/>
    <n v="684.91499999999996"/>
    <d v="2019-01-08T00:00:00"/>
    <d v="1899-12-30T19:07:00"/>
    <x v="2"/>
    <n v="652.29999999999995"/>
    <n v="4.7619047620000003"/>
    <n v="32.615000000000002"/>
    <n v="5.2"/>
    <x v="0"/>
    <n v="1"/>
    <s v="High Value"/>
    <s v="High Value Order"/>
    <m/>
    <s v=""/>
    <m/>
    <m/>
    <m/>
  </r>
  <r>
    <x v="747"/>
    <x v="1"/>
    <x v="1"/>
    <s v="Member"/>
    <s v="Female"/>
    <x v="2"/>
    <n v="10.53"/>
    <n v="5"/>
    <n v="2.6324999999999998"/>
    <n v="55.282499999999999"/>
    <d v="2019-01-30T00:00:00"/>
    <d v="1899-12-30T14:43:00"/>
    <x v="2"/>
    <n v="52.65"/>
    <n v="4.7619047620000003"/>
    <n v="2.6324999999999998"/>
    <n v="5.8"/>
    <x v="0"/>
    <n v="1"/>
    <s v="Standard"/>
    <s v="Standard Order"/>
    <m/>
    <s v=""/>
    <m/>
    <m/>
    <m/>
  </r>
  <r>
    <x v="748"/>
    <x v="2"/>
    <x v="2"/>
    <s v="Member"/>
    <s v="Female"/>
    <x v="2"/>
    <n v="12.29"/>
    <n v="9"/>
    <n v="5.5305"/>
    <n v="116.1405"/>
    <d v="2019-03-26T00:00:00"/>
    <d v="1899-12-30T19:28:00"/>
    <x v="2"/>
    <n v="110.61"/>
    <n v="4.7619047620000003"/>
    <n v="5.5305"/>
    <n v="8"/>
    <x v="1"/>
    <n v="3"/>
    <s v="Standard"/>
    <s v="Standard Order"/>
    <m/>
    <s v=""/>
    <m/>
    <m/>
    <m/>
  </r>
  <r>
    <x v="749"/>
    <x v="1"/>
    <x v="1"/>
    <s v="Member"/>
    <s v="Male"/>
    <x v="0"/>
    <n v="81.23"/>
    <n v="7"/>
    <n v="28.430499999999999"/>
    <n v="597.04049999999995"/>
    <d v="2019-01-15T00:00:00"/>
    <d v="1899-12-30T20:44:00"/>
    <x v="1"/>
    <n v="568.61"/>
    <n v="4.7619047620000003"/>
    <n v="28.430499999999999"/>
    <n v="9"/>
    <x v="0"/>
    <n v="1"/>
    <s v="High Value"/>
    <s v="High Value Order"/>
    <m/>
    <s v=""/>
    <m/>
    <m/>
    <m/>
  </r>
  <r>
    <x v="750"/>
    <x v="2"/>
    <x v="2"/>
    <s v="Member"/>
    <s v="Female"/>
    <x v="5"/>
    <n v="22.32"/>
    <n v="4"/>
    <n v="4.4640000000000004"/>
    <n v="93.744"/>
    <d v="2019-03-14T00:00:00"/>
    <d v="1899-12-30T11:16:00"/>
    <x v="0"/>
    <n v="89.28"/>
    <n v="4.7619047620000003"/>
    <n v="4.4640000000000004"/>
    <n v="4.0999999999999996"/>
    <x v="1"/>
    <n v="3"/>
    <s v="Standard"/>
    <s v="Standard Order"/>
    <m/>
    <s v=""/>
    <m/>
    <m/>
    <m/>
  </r>
  <r>
    <x v="751"/>
    <x v="0"/>
    <x v="0"/>
    <s v="Normal"/>
    <s v="Female"/>
    <x v="4"/>
    <n v="27.28"/>
    <n v="5"/>
    <n v="6.82"/>
    <n v="143.22"/>
    <d v="2019-02-03T00:00:00"/>
    <d v="1899-12-30T10:31:00"/>
    <x v="2"/>
    <n v="136.4"/>
    <n v="4.7619047620000003"/>
    <n v="6.82"/>
    <n v="8.6"/>
    <x v="2"/>
    <n v="2"/>
    <s v="Standard"/>
    <s v="Standard Order"/>
    <m/>
    <s v=""/>
    <m/>
    <m/>
    <m/>
  </r>
  <r>
    <x v="752"/>
    <x v="0"/>
    <x v="0"/>
    <s v="Member"/>
    <s v="Female"/>
    <x v="1"/>
    <n v="17.420000000000002"/>
    <n v="10"/>
    <n v="8.7100000000000009"/>
    <n v="182.91"/>
    <d v="2019-02-22T00:00:00"/>
    <d v="1899-12-30T12:30:00"/>
    <x v="0"/>
    <n v="174.2"/>
    <n v="4.7619047620000003"/>
    <n v="8.7100000000000009"/>
    <n v="7"/>
    <x v="2"/>
    <n v="2"/>
    <s v="Standard"/>
    <s v="Standard Order"/>
    <m/>
    <s v=""/>
    <m/>
    <m/>
    <m/>
  </r>
  <r>
    <x v="753"/>
    <x v="2"/>
    <x v="2"/>
    <s v="Normal"/>
    <s v="Male"/>
    <x v="2"/>
    <n v="73.28"/>
    <n v="5"/>
    <n v="18.32"/>
    <n v="384.72"/>
    <d v="2019-01-24T00:00:00"/>
    <d v="1899-12-30T15:05:00"/>
    <x v="0"/>
    <n v="366.4"/>
    <n v="4.7619047620000003"/>
    <n v="18.32"/>
    <n v="8.4"/>
    <x v="0"/>
    <n v="1"/>
    <s v="Standard"/>
    <s v="Standard Order"/>
    <m/>
    <s v=""/>
    <m/>
    <m/>
    <m/>
  </r>
  <r>
    <x v="754"/>
    <x v="1"/>
    <x v="1"/>
    <s v="Member"/>
    <s v="Female"/>
    <x v="5"/>
    <n v="84.87"/>
    <n v="3"/>
    <n v="12.730499999999999"/>
    <n v="267.34050000000002"/>
    <d v="2019-01-25T00:00:00"/>
    <d v="1899-12-30T18:30:00"/>
    <x v="0"/>
    <n v="254.61"/>
    <n v="4.7619047620000003"/>
    <n v="12.730499999999999"/>
    <n v="7.4"/>
    <x v="0"/>
    <n v="1"/>
    <s v="Standard"/>
    <s v="Standard Order"/>
    <m/>
    <s v=""/>
    <m/>
    <m/>
    <m/>
  </r>
  <r>
    <x v="755"/>
    <x v="0"/>
    <x v="0"/>
    <s v="Normal"/>
    <s v="Female"/>
    <x v="5"/>
    <n v="97.29"/>
    <n v="8"/>
    <n v="38.915999999999997"/>
    <n v="817.23599999999999"/>
    <d v="2019-03-09T00:00:00"/>
    <d v="1899-12-30T13:18:00"/>
    <x v="2"/>
    <n v="778.32"/>
    <n v="4.7619047620000003"/>
    <n v="38.915999999999997"/>
    <n v="6.2"/>
    <x v="1"/>
    <n v="3"/>
    <s v="High Value"/>
    <s v="High Value Order"/>
    <m/>
    <s v=""/>
    <m/>
    <m/>
    <m/>
  </r>
  <r>
    <x v="756"/>
    <x v="2"/>
    <x v="2"/>
    <s v="Member"/>
    <s v="Female"/>
    <x v="1"/>
    <n v="35.74"/>
    <n v="8"/>
    <n v="14.295999999999999"/>
    <n v="300.21600000000001"/>
    <d v="2019-02-17T00:00:00"/>
    <d v="1899-12-30T15:28:00"/>
    <x v="0"/>
    <n v="285.92"/>
    <n v="4.7619047620000003"/>
    <n v="14.295999999999999"/>
    <n v="4.9000000000000004"/>
    <x v="2"/>
    <n v="2"/>
    <s v="Standard"/>
    <s v="Standard Order"/>
    <m/>
    <s v=""/>
    <m/>
    <m/>
    <m/>
  </r>
  <r>
    <x v="757"/>
    <x v="0"/>
    <x v="0"/>
    <s v="Normal"/>
    <s v="Female"/>
    <x v="2"/>
    <n v="96.52"/>
    <n v="6"/>
    <n v="28.956"/>
    <n v="608.07600000000002"/>
    <d v="2019-01-11T00:00:00"/>
    <d v="1899-12-30T11:52:00"/>
    <x v="1"/>
    <n v="579.12"/>
    <n v="4.7619047620000003"/>
    <n v="28.956"/>
    <n v="4.5"/>
    <x v="0"/>
    <n v="1"/>
    <s v="High Value"/>
    <s v="High Value Order"/>
    <m/>
    <s v=""/>
    <m/>
    <m/>
    <m/>
  </r>
  <r>
    <x v="758"/>
    <x v="0"/>
    <x v="0"/>
    <s v="Member"/>
    <s v="Male"/>
    <x v="4"/>
    <n v="18.850000000000001"/>
    <n v="10"/>
    <n v="9.4250000000000007"/>
    <n v="197.92500000000001"/>
    <d v="2019-02-27T00:00:00"/>
    <d v="1899-12-30T18:24:00"/>
    <x v="0"/>
    <n v="188.5"/>
    <n v="4.7619047620000003"/>
    <n v="9.4250000000000007"/>
    <n v="5.6"/>
    <x v="2"/>
    <n v="2"/>
    <s v="Standard"/>
    <s v="Standard Order"/>
    <m/>
    <s v=""/>
    <m/>
    <m/>
    <m/>
  </r>
  <r>
    <x v="759"/>
    <x v="0"/>
    <x v="0"/>
    <s v="Normal"/>
    <s v="Female"/>
    <x v="4"/>
    <n v="55.39"/>
    <n v="4"/>
    <n v="11.077999999999999"/>
    <n v="232.63800000000001"/>
    <d v="2019-03-25T00:00:00"/>
    <d v="1899-12-30T15:19:00"/>
    <x v="0"/>
    <n v="221.56"/>
    <n v="4.7619047620000003"/>
    <n v="11.077999999999999"/>
    <n v="8"/>
    <x v="1"/>
    <n v="3"/>
    <s v="Standard"/>
    <s v="Standard Order"/>
    <m/>
    <s v=""/>
    <m/>
    <m/>
    <m/>
  </r>
  <r>
    <x v="760"/>
    <x v="2"/>
    <x v="2"/>
    <s v="Member"/>
    <s v="Female"/>
    <x v="4"/>
    <n v="77.2"/>
    <n v="10"/>
    <n v="38.6"/>
    <n v="810.6"/>
    <d v="2019-02-11T00:00:00"/>
    <d v="1899-12-30T10:38:00"/>
    <x v="2"/>
    <n v="772"/>
    <n v="4.7619047620000003"/>
    <n v="38.6"/>
    <n v="5.6"/>
    <x v="2"/>
    <n v="2"/>
    <s v="High Value"/>
    <s v="High Value Order"/>
    <m/>
    <s v=""/>
    <m/>
    <m/>
    <m/>
  </r>
  <r>
    <x v="761"/>
    <x v="2"/>
    <x v="2"/>
    <s v="Normal"/>
    <s v="Male"/>
    <x v="1"/>
    <n v="72.13"/>
    <n v="10"/>
    <n v="36.064999999999998"/>
    <n v="757.36500000000001"/>
    <d v="2019-01-31T00:00:00"/>
    <d v="1899-12-30T15:12:00"/>
    <x v="2"/>
    <n v="721.3"/>
    <n v="4.7619047620000003"/>
    <n v="36.064999999999998"/>
    <n v="4.2"/>
    <x v="0"/>
    <n v="1"/>
    <s v="High Value"/>
    <s v="High Value Order"/>
    <m/>
    <s v=""/>
    <m/>
    <m/>
    <m/>
  </r>
  <r>
    <x v="762"/>
    <x v="0"/>
    <x v="0"/>
    <s v="Member"/>
    <s v="Female"/>
    <x v="5"/>
    <n v="63.88"/>
    <n v="8"/>
    <n v="25.552"/>
    <n v="536.59199999999998"/>
    <d v="2019-01-20T00:00:00"/>
    <d v="1899-12-30T17:48:00"/>
    <x v="0"/>
    <n v="511.04"/>
    <n v="4.7619047620000003"/>
    <n v="25.552"/>
    <n v="9.9"/>
    <x v="0"/>
    <n v="1"/>
    <s v="High Value"/>
    <s v="High Value Order"/>
    <m/>
    <s v=""/>
    <m/>
    <m/>
    <m/>
  </r>
  <r>
    <x v="763"/>
    <x v="0"/>
    <x v="0"/>
    <s v="Member"/>
    <s v="Female"/>
    <x v="0"/>
    <n v="10.69"/>
    <n v="5"/>
    <n v="2.6724999999999999"/>
    <n v="56.122500000000002"/>
    <d v="2019-03-26T00:00:00"/>
    <d v="1899-12-30T11:07:00"/>
    <x v="0"/>
    <n v="53.45"/>
    <n v="4.7619047620000003"/>
    <n v="2.6724999999999999"/>
    <n v="7.6"/>
    <x v="1"/>
    <n v="3"/>
    <s v="Standard"/>
    <s v="Standard Order"/>
    <m/>
    <s v=""/>
    <m/>
    <m/>
    <m/>
  </r>
  <r>
    <x v="764"/>
    <x v="0"/>
    <x v="0"/>
    <s v="Member"/>
    <s v="Male"/>
    <x v="0"/>
    <n v="55.5"/>
    <n v="4"/>
    <n v="11.1"/>
    <n v="233.1"/>
    <d v="2019-01-20T00:00:00"/>
    <d v="1899-12-30T15:48:00"/>
    <x v="2"/>
    <n v="222"/>
    <n v="4.7619047620000003"/>
    <n v="11.1"/>
    <n v="6.6"/>
    <x v="0"/>
    <n v="1"/>
    <s v="Standard"/>
    <s v="Standard Order"/>
    <m/>
    <s v=""/>
    <m/>
    <m/>
    <m/>
  </r>
  <r>
    <x v="765"/>
    <x v="2"/>
    <x v="2"/>
    <s v="Normal"/>
    <s v="Female"/>
    <x v="2"/>
    <n v="95.46"/>
    <n v="8"/>
    <n v="38.183999999999997"/>
    <n v="801.86400000000003"/>
    <d v="2019-03-05T00:00:00"/>
    <d v="1899-12-30T19:40:00"/>
    <x v="0"/>
    <n v="763.68"/>
    <n v="4.7619047620000003"/>
    <n v="38.183999999999997"/>
    <n v="4.7"/>
    <x v="1"/>
    <n v="3"/>
    <s v="High Value"/>
    <s v="High Value Order"/>
    <m/>
    <s v=""/>
    <m/>
    <m/>
    <m/>
  </r>
  <r>
    <x v="766"/>
    <x v="1"/>
    <x v="1"/>
    <s v="Normal"/>
    <s v="Female"/>
    <x v="5"/>
    <n v="76.06"/>
    <n v="3"/>
    <n v="11.409000000000001"/>
    <n v="239.589"/>
    <d v="2019-01-05T00:00:00"/>
    <d v="1899-12-30T20:30:00"/>
    <x v="2"/>
    <n v="228.18"/>
    <n v="4.7619047620000003"/>
    <n v="11.409000000000001"/>
    <n v="9.8000000000000007"/>
    <x v="0"/>
    <n v="1"/>
    <s v="Standard"/>
    <s v="Standard Order"/>
    <m/>
    <s v=""/>
    <m/>
    <m/>
    <m/>
  </r>
  <r>
    <x v="767"/>
    <x v="2"/>
    <x v="2"/>
    <s v="Normal"/>
    <s v="Male"/>
    <x v="3"/>
    <n v="13.69"/>
    <n v="6"/>
    <n v="4.1070000000000002"/>
    <n v="86.247"/>
    <d v="2019-02-13T00:00:00"/>
    <d v="1899-12-30T13:59:00"/>
    <x v="1"/>
    <n v="82.14"/>
    <n v="4.7619047620000003"/>
    <n v="4.1070000000000002"/>
    <n v="6.3"/>
    <x v="2"/>
    <n v="2"/>
    <s v="Standard"/>
    <s v="Standard Order"/>
    <m/>
    <s v=""/>
    <m/>
    <m/>
    <m/>
  </r>
  <r>
    <x v="768"/>
    <x v="2"/>
    <x v="2"/>
    <s v="Normal"/>
    <s v="Female"/>
    <x v="1"/>
    <n v="95.64"/>
    <n v="4"/>
    <n v="19.128"/>
    <n v="401.68799999999999"/>
    <d v="2019-03-16T00:00:00"/>
    <d v="1899-12-30T18:51:00"/>
    <x v="1"/>
    <n v="382.56"/>
    <n v="4.7619047620000003"/>
    <n v="19.128"/>
    <n v="7.9"/>
    <x v="1"/>
    <n v="3"/>
    <s v="Standard"/>
    <s v="Standard Order"/>
    <m/>
    <s v=""/>
    <m/>
    <m/>
    <m/>
  </r>
  <r>
    <x v="769"/>
    <x v="0"/>
    <x v="0"/>
    <s v="Normal"/>
    <s v="Female"/>
    <x v="2"/>
    <n v="11.43"/>
    <n v="6"/>
    <n v="3.4289999999999998"/>
    <n v="72.009"/>
    <d v="2019-01-15T00:00:00"/>
    <d v="1899-12-30T17:24:00"/>
    <x v="1"/>
    <n v="68.58"/>
    <n v="4.7619047620000003"/>
    <n v="3.4289999999999998"/>
    <n v="7.7"/>
    <x v="0"/>
    <n v="1"/>
    <s v="Standard"/>
    <s v="Standard Order"/>
    <m/>
    <s v=""/>
    <m/>
    <m/>
    <m/>
  </r>
  <r>
    <x v="770"/>
    <x v="2"/>
    <x v="2"/>
    <s v="Member"/>
    <s v="Female"/>
    <x v="3"/>
    <n v="95.54"/>
    <n v="4"/>
    <n v="19.108000000000001"/>
    <n v="401.26799999999997"/>
    <d v="2019-02-26T00:00:00"/>
    <d v="1899-12-30T11:58:00"/>
    <x v="0"/>
    <n v="382.16"/>
    <n v="4.7619047620000003"/>
    <n v="19.108000000000001"/>
    <n v="4.5"/>
    <x v="2"/>
    <n v="2"/>
    <s v="Standard"/>
    <s v="Standard Order"/>
    <m/>
    <s v=""/>
    <m/>
    <m/>
    <m/>
  </r>
  <r>
    <x v="771"/>
    <x v="1"/>
    <x v="1"/>
    <s v="Member"/>
    <s v="Female"/>
    <x v="0"/>
    <n v="85.87"/>
    <n v="7"/>
    <n v="30.054500000000001"/>
    <n v="631.14449999999999"/>
    <d v="2019-02-27T00:00:00"/>
    <d v="1899-12-30T19:01:00"/>
    <x v="2"/>
    <n v="601.09"/>
    <n v="4.7619047620000003"/>
    <n v="30.054500000000001"/>
    <n v="8"/>
    <x v="2"/>
    <n v="2"/>
    <s v="High Value"/>
    <s v="High Value Order"/>
    <m/>
    <s v=""/>
    <m/>
    <m/>
    <m/>
  </r>
  <r>
    <x v="772"/>
    <x v="1"/>
    <x v="1"/>
    <s v="Member"/>
    <s v="Female"/>
    <x v="3"/>
    <n v="67.989999999999995"/>
    <n v="7"/>
    <n v="23.796500000000002"/>
    <n v="499.72649999999999"/>
    <d v="2019-02-17T00:00:00"/>
    <d v="1899-12-30T16:50:00"/>
    <x v="0"/>
    <n v="475.93"/>
    <n v="4.7619047620000003"/>
    <n v="23.796500000000002"/>
    <n v="5.7"/>
    <x v="2"/>
    <n v="2"/>
    <s v="Standard"/>
    <s v="Standard Order"/>
    <m/>
    <s v=""/>
    <m/>
    <m/>
    <m/>
  </r>
  <r>
    <x v="773"/>
    <x v="1"/>
    <x v="1"/>
    <s v="Normal"/>
    <s v="Female"/>
    <x v="4"/>
    <n v="52.42"/>
    <n v="1"/>
    <n v="2.621"/>
    <n v="55.040999999999997"/>
    <d v="2019-02-06T00:00:00"/>
    <d v="1899-12-30T10:22:00"/>
    <x v="2"/>
    <n v="52.42"/>
    <n v="4.7619047620000003"/>
    <n v="2.621"/>
    <n v="6.3"/>
    <x v="2"/>
    <n v="2"/>
    <s v="Standard"/>
    <s v="Standard Order"/>
    <m/>
    <s v=""/>
    <m/>
    <m/>
    <m/>
  </r>
  <r>
    <x v="774"/>
    <x v="1"/>
    <x v="1"/>
    <s v="Member"/>
    <s v="Male"/>
    <x v="4"/>
    <n v="65.650000000000006"/>
    <n v="2"/>
    <n v="6.5650000000000004"/>
    <n v="137.86500000000001"/>
    <d v="2019-01-17T00:00:00"/>
    <d v="1899-12-30T16:46:00"/>
    <x v="1"/>
    <n v="131.30000000000001"/>
    <n v="4.7619047620000003"/>
    <n v="6.5650000000000004"/>
    <n v="6"/>
    <x v="0"/>
    <n v="1"/>
    <s v="Standard"/>
    <s v="Standard Order"/>
    <m/>
    <s v=""/>
    <m/>
    <m/>
    <m/>
  </r>
  <r>
    <x v="775"/>
    <x v="2"/>
    <x v="2"/>
    <s v="Normal"/>
    <s v="Female"/>
    <x v="4"/>
    <n v="28.86"/>
    <n v="5"/>
    <n v="7.2149999999999999"/>
    <n v="151.51499999999999"/>
    <d v="2019-01-22T00:00:00"/>
    <d v="1899-12-30T18:08:00"/>
    <x v="2"/>
    <n v="144.30000000000001"/>
    <n v="4.7619047620000003"/>
    <n v="7.2149999999999999"/>
    <n v="8"/>
    <x v="0"/>
    <n v="1"/>
    <s v="Standard"/>
    <s v="Standard Order"/>
    <m/>
    <s v=""/>
    <m/>
    <m/>
    <m/>
  </r>
  <r>
    <x v="776"/>
    <x v="1"/>
    <x v="1"/>
    <s v="Member"/>
    <s v="Male"/>
    <x v="0"/>
    <n v="65.31"/>
    <n v="7"/>
    <n v="22.858499999999999"/>
    <n v="480.02850000000001"/>
    <d v="2019-03-05T00:00:00"/>
    <d v="1899-12-30T18:02:00"/>
    <x v="2"/>
    <n v="457.17"/>
    <n v="4.7619047620000003"/>
    <n v="22.858499999999999"/>
    <n v="4.2"/>
    <x v="1"/>
    <n v="3"/>
    <s v="Standard"/>
    <s v="Standard Order"/>
    <m/>
    <s v=""/>
    <m/>
    <m/>
    <m/>
  </r>
  <r>
    <x v="777"/>
    <x v="2"/>
    <x v="2"/>
    <s v="Normal"/>
    <s v="Male"/>
    <x v="3"/>
    <n v="93.38"/>
    <n v="1"/>
    <n v="4.6689999999999996"/>
    <n v="98.049000000000007"/>
    <d v="2019-01-03T00:00:00"/>
    <d v="1899-12-30T13:07:00"/>
    <x v="1"/>
    <n v="93.38"/>
    <n v="4.7619047620000003"/>
    <n v="4.6689999999999996"/>
    <n v="9.6"/>
    <x v="0"/>
    <n v="1"/>
    <s v="Standard"/>
    <s v="Standard Order"/>
    <m/>
    <s v=""/>
    <m/>
    <m/>
    <m/>
  </r>
  <r>
    <x v="778"/>
    <x v="1"/>
    <x v="1"/>
    <s v="Member"/>
    <s v="Male"/>
    <x v="3"/>
    <n v="25.25"/>
    <n v="5"/>
    <n v="6.3125"/>
    <n v="132.5625"/>
    <d v="2019-03-20T00:00:00"/>
    <d v="1899-12-30T17:52:00"/>
    <x v="1"/>
    <n v="126.25"/>
    <n v="4.7619047620000003"/>
    <n v="6.3125"/>
    <n v="6.1"/>
    <x v="1"/>
    <n v="3"/>
    <s v="Standard"/>
    <s v="Standard Order"/>
    <m/>
    <s v=""/>
    <m/>
    <m/>
    <m/>
  </r>
  <r>
    <x v="779"/>
    <x v="2"/>
    <x v="2"/>
    <s v="Member"/>
    <s v="Male"/>
    <x v="1"/>
    <n v="87.87"/>
    <n v="9"/>
    <n v="39.541499999999999"/>
    <n v="830.37149999999997"/>
    <d v="2019-01-31T00:00:00"/>
    <d v="1899-12-30T20:32:00"/>
    <x v="0"/>
    <n v="790.83"/>
    <n v="4.7619047620000003"/>
    <n v="39.541499999999999"/>
    <n v="5.6"/>
    <x v="0"/>
    <n v="1"/>
    <s v="High Value"/>
    <s v="High Value Order"/>
    <m/>
    <s v=""/>
    <m/>
    <m/>
    <m/>
  </r>
  <r>
    <x v="780"/>
    <x v="1"/>
    <x v="1"/>
    <s v="Normal"/>
    <s v="Male"/>
    <x v="0"/>
    <n v="21.8"/>
    <n v="8"/>
    <n v="8.7200000000000006"/>
    <n v="183.12"/>
    <d v="2019-02-19T00:00:00"/>
    <d v="1899-12-30T19:24:00"/>
    <x v="1"/>
    <n v="174.4"/>
    <n v="4.7619047620000003"/>
    <n v="8.7200000000000006"/>
    <n v="8.3000000000000007"/>
    <x v="2"/>
    <n v="2"/>
    <s v="Standard"/>
    <s v="Standard Order"/>
    <m/>
    <s v=""/>
    <m/>
    <m/>
    <m/>
  </r>
  <r>
    <x v="781"/>
    <x v="0"/>
    <x v="0"/>
    <s v="Normal"/>
    <s v="Female"/>
    <x v="3"/>
    <n v="94.76"/>
    <n v="4"/>
    <n v="18.952000000000002"/>
    <n v="397.99200000000002"/>
    <d v="2019-02-11T00:00:00"/>
    <d v="1899-12-30T16:06:00"/>
    <x v="0"/>
    <n v="379.04"/>
    <n v="4.7619047620000003"/>
    <n v="18.952000000000002"/>
    <n v="7.8"/>
    <x v="2"/>
    <n v="2"/>
    <s v="Standard"/>
    <s v="Standard Order"/>
    <m/>
    <s v=""/>
    <m/>
    <m/>
    <m/>
  </r>
  <r>
    <x v="782"/>
    <x v="0"/>
    <x v="0"/>
    <s v="Member"/>
    <s v="Female"/>
    <x v="5"/>
    <n v="30.62"/>
    <n v="1"/>
    <n v="1.5309999999999999"/>
    <n v="32.151000000000003"/>
    <d v="2019-02-05T00:00:00"/>
    <d v="1899-12-30T14:14:00"/>
    <x v="2"/>
    <n v="30.62"/>
    <n v="4.7619047620000003"/>
    <n v="1.5309999999999999"/>
    <n v="4.0999999999999996"/>
    <x v="2"/>
    <n v="2"/>
    <s v="Standard"/>
    <s v="Standard Order"/>
    <m/>
    <s v=""/>
    <m/>
    <m/>
    <m/>
  </r>
  <r>
    <x v="783"/>
    <x v="1"/>
    <x v="1"/>
    <s v="Normal"/>
    <s v="Female"/>
    <x v="2"/>
    <n v="44.01"/>
    <n v="8"/>
    <n v="17.603999999999999"/>
    <n v="369.68400000000003"/>
    <d v="2019-03-03T00:00:00"/>
    <d v="1899-12-30T17:36:00"/>
    <x v="1"/>
    <n v="352.08"/>
    <n v="4.7619047620000003"/>
    <n v="17.603999999999999"/>
    <n v="8.8000000000000007"/>
    <x v="1"/>
    <n v="3"/>
    <s v="Standard"/>
    <s v="Standard Order"/>
    <m/>
    <s v=""/>
    <m/>
    <m/>
    <m/>
  </r>
  <r>
    <x v="784"/>
    <x v="1"/>
    <x v="1"/>
    <s v="Member"/>
    <s v="Female"/>
    <x v="0"/>
    <n v="10.16"/>
    <n v="5"/>
    <n v="2.54"/>
    <n v="53.34"/>
    <d v="2019-02-24T00:00:00"/>
    <d v="1899-12-30T13:08:00"/>
    <x v="0"/>
    <n v="50.8"/>
    <n v="4.7619047620000003"/>
    <n v="2.54"/>
    <n v="4.0999999999999996"/>
    <x v="2"/>
    <n v="2"/>
    <s v="Standard"/>
    <s v="Standard Order"/>
    <m/>
    <s v=""/>
    <m/>
    <m/>
    <m/>
  </r>
  <r>
    <x v="785"/>
    <x v="0"/>
    <x v="0"/>
    <s v="Normal"/>
    <s v="Male"/>
    <x v="1"/>
    <n v="74.58"/>
    <n v="7"/>
    <n v="26.103000000000002"/>
    <n v="548.16300000000001"/>
    <d v="2019-02-04T00:00:00"/>
    <d v="1899-12-30T16:09:00"/>
    <x v="2"/>
    <n v="522.05999999999995"/>
    <n v="4.7619047620000003"/>
    <n v="26.103000000000002"/>
    <n v="9"/>
    <x v="2"/>
    <n v="2"/>
    <s v="High Value"/>
    <s v="High Value Order"/>
    <m/>
    <s v=""/>
    <m/>
    <m/>
    <m/>
  </r>
  <r>
    <x v="786"/>
    <x v="1"/>
    <x v="1"/>
    <s v="Normal"/>
    <s v="Male"/>
    <x v="1"/>
    <n v="71.89"/>
    <n v="8"/>
    <n v="28.756"/>
    <n v="603.87599999999998"/>
    <d v="2019-02-19T00:00:00"/>
    <d v="1899-12-30T11:33:00"/>
    <x v="0"/>
    <n v="575.12"/>
    <n v="4.7619047620000003"/>
    <n v="28.756"/>
    <n v="5.5"/>
    <x v="2"/>
    <n v="2"/>
    <s v="High Value"/>
    <s v="High Value Order"/>
    <m/>
    <s v=""/>
    <m/>
    <m/>
    <m/>
  </r>
  <r>
    <x v="787"/>
    <x v="1"/>
    <x v="1"/>
    <s v="Normal"/>
    <s v="Female"/>
    <x v="0"/>
    <n v="10.99"/>
    <n v="5"/>
    <n v="2.7475000000000001"/>
    <n v="57.697499999999998"/>
    <d v="2019-01-23T00:00:00"/>
    <d v="1899-12-30T10:18:00"/>
    <x v="2"/>
    <n v="54.95"/>
    <n v="4.7619047620000003"/>
    <n v="2.7475000000000001"/>
    <n v="9.3000000000000007"/>
    <x v="0"/>
    <n v="1"/>
    <s v="Standard"/>
    <s v="Standard Order"/>
    <m/>
    <s v=""/>
    <m/>
    <m/>
    <m/>
  </r>
  <r>
    <x v="788"/>
    <x v="1"/>
    <x v="1"/>
    <s v="Member"/>
    <s v="Male"/>
    <x v="0"/>
    <n v="60.47"/>
    <n v="3"/>
    <n v="9.0704999999999991"/>
    <n v="190.48050000000001"/>
    <d v="2019-01-14T00:00:00"/>
    <d v="1899-12-30T10:55:00"/>
    <x v="2"/>
    <n v="181.41"/>
    <n v="4.7619047620000003"/>
    <n v="9.0704999999999991"/>
    <n v="5.6"/>
    <x v="0"/>
    <n v="1"/>
    <s v="Standard"/>
    <s v="Standard Order"/>
    <m/>
    <s v=""/>
    <m/>
    <m/>
    <m/>
  </r>
  <r>
    <x v="789"/>
    <x v="0"/>
    <x v="0"/>
    <s v="Normal"/>
    <s v="Male"/>
    <x v="3"/>
    <n v="58.91"/>
    <n v="7"/>
    <n v="20.618500000000001"/>
    <n v="432.98849999999999"/>
    <d v="2019-01-17T00:00:00"/>
    <d v="1899-12-30T15:15:00"/>
    <x v="0"/>
    <n v="412.37"/>
    <n v="4.7619047620000003"/>
    <n v="20.618500000000001"/>
    <n v="9.6999999999999993"/>
    <x v="0"/>
    <n v="1"/>
    <s v="Standard"/>
    <s v="Standard Order"/>
    <m/>
    <s v=""/>
    <m/>
    <m/>
    <m/>
  </r>
  <r>
    <x v="790"/>
    <x v="0"/>
    <x v="0"/>
    <s v="Normal"/>
    <s v="Male"/>
    <x v="5"/>
    <n v="46.41"/>
    <n v="1"/>
    <n v="2.3205"/>
    <n v="48.730499999999999"/>
    <d v="2019-03-03T00:00:00"/>
    <d v="1899-12-30T20:06:00"/>
    <x v="2"/>
    <n v="46.41"/>
    <n v="4.7619047620000003"/>
    <n v="2.3205"/>
    <n v="4"/>
    <x v="1"/>
    <n v="3"/>
    <s v="Standard"/>
    <s v="Standard Order"/>
    <m/>
    <s v=""/>
    <m/>
    <m/>
    <m/>
  </r>
  <r>
    <x v="791"/>
    <x v="1"/>
    <x v="1"/>
    <s v="Member"/>
    <s v="Male"/>
    <x v="0"/>
    <n v="68.55"/>
    <n v="4"/>
    <n v="13.71"/>
    <n v="287.91000000000003"/>
    <d v="2019-02-15T00:00:00"/>
    <d v="1899-12-30T20:21:00"/>
    <x v="2"/>
    <n v="274.2"/>
    <n v="4.7619047620000003"/>
    <n v="13.71"/>
    <n v="9.1999999999999993"/>
    <x v="2"/>
    <n v="2"/>
    <s v="Standard"/>
    <s v="Standard Order"/>
    <m/>
    <s v=""/>
    <m/>
    <m/>
    <m/>
  </r>
  <r>
    <x v="792"/>
    <x v="2"/>
    <x v="2"/>
    <s v="Normal"/>
    <s v="Female"/>
    <x v="2"/>
    <n v="97.37"/>
    <n v="10"/>
    <n v="48.685000000000002"/>
    <n v="1022.385"/>
    <d v="2019-01-15T00:00:00"/>
    <d v="1899-12-30T13:48:00"/>
    <x v="2"/>
    <n v="973.7"/>
    <n v="4.7619047620000003"/>
    <n v="48.685000000000002"/>
    <n v="4.9000000000000004"/>
    <x v="0"/>
    <n v="1"/>
    <s v="High Value"/>
    <s v="High Value Order"/>
    <m/>
    <s v=""/>
    <m/>
    <m/>
    <m/>
  </r>
  <r>
    <x v="793"/>
    <x v="0"/>
    <x v="0"/>
    <s v="Member"/>
    <s v="Male"/>
    <x v="1"/>
    <n v="92.6"/>
    <n v="7"/>
    <n v="32.409999999999997"/>
    <n v="680.61"/>
    <d v="2019-02-27T00:00:00"/>
    <d v="1899-12-30T12:52:00"/>
    <x v="2"/>
    <n v="648.20000000000005"/>
    <n v="4.7619047620000003"/>
    <n v="32.409999999999997"/>
    <n v="9.3000000000000007"/>
    <x v="2"/>
    <n v="2"/>
    <s v="High Value"/>
    <s v="High Value Order"/>
    <m/>
    <s v=""/>
    <m/>
    <m/>
    <m/>
  </r>
  <r>
    <x v="794"/>
    <x v="0"/>
    <x v="0"/>
    <s v="Normal"/>
    <s v="Female"/>
    <x v="1"/>
    <n v="46.61"/>
    <n v="2"/>
    <n v="4.6609999999999996"/>
    <n v="97.881"/>
    <d v="2019-02-26T00:00:00"/>
    <d v="1899-12-30T12:28:00"/>
    <x v="2"/>
    <n v="93.22"/>
    <n v="4.7619047620000003"/>
    <n v="4.6609999999999996"/>
    <n v="6.6"/>
    <x v="2"/>
    <n v="2"/>
    <s v="Standard"/>
    <s v="Standard Order"/>
    <m/>
    <s v=""/>
    <m/>
    <m/>
    <m/>
  </r>
  <r>
    <x v="795"/>
    <x v="2"/>
    <x v="2"/>
    <s v="Normal"/>
    <s v="Male"/>
    <x v="5"/>
    <n v="27.18"/>
    <n v="2"/>
    <n v="2.718"/>
    <n v="57.078000000000003"/>
    <d v="2019-03-15T00:00:00"/>
    <d v="1899-12-30T16:26:00"/>
    <x v="0"/>
    <n v="54.36"/>
    <n v="4.7619047620000003"/>
    <n v="2.718"/>
    <n v="4.3"/>
    <x v="1"/>
    <n v="3"/>
    <s v="Standard"/>
    <s v="Standard Order"/>
    <m/>
    <s v=""/>
    <m/>
    <m/>
    <m/>
  </r>
  <r>
    <x v="796"/>
    <x v="1"/>
    <x v="1"/>
    <s v="Member"/>
    <s v="Female"/>
    <x v="2"/>
    <n v="60.87"/>
    <n v="1"/>
    <n v="3.0434999999999999"/>
    <n v="63.913499999999999"/>
    <d v="2019-01-24T00:00:00"/>
    <d v="1899-12-30T13:24:00"/>
    <x v="1"/>
    <n v="60.87"/>
    <n v="4.7619047620000003"/>
    <n v="3.0434999999999999"/>
    <n v="5.5"/>
    <x v="0"/>
    <n v="1"/>
    <s v="Standard"/>
    <s v="Standard Order"/>
    <m/>
    <s v=""/>
    <m/>
    <m/>
    <m/>
  </r>
  <r>
    <x v="797"/>
    <x v="0"/>
    <x v="0"/>
    <s v="Member"/>
    <s v="Female"/>
    <x v="3"/>
    <n v="24.49"/>
    <n v="10"/>
    <n v="12.244999999999999"/>
    <n v="257.14499999999998"/>
    <d v="2019-02-22T00:00:00"/>
    <d v="1899-12-30T15:15:00"/>
    <x v="1"/>
    <n v="244.9"/>
    <n v="4.7619047620000003"/>
    <n v="12.244999999999999"/>
    <n v="8.1"/>
    <x v="2"/>
    <n v="2"/>
    <s v="Standard"/>
    <s v="Standard Order"/>
    <m/>
    <s v=""/>
    <m/>
    <m/>
    <m/>
  </r>
  <r>
    <x v="798"/>
    <x v="2"/>
    <x v="2"/>
    <s v="Normal"/>
    <s v="Male"/>
    <x v="0"/>
    <n v="92.78"/>
    <n v="1"/>
    <n v="4.6390000000000002"/>
    <n v="97.418999999999997"/>
    <d v="2019-03-15T00:00:00"/>
    <d v="1899-12-30T10:50:00"/>
    <x v="2"/>
    <n v="92.78"/>
    <n v="4.7619047620000003"/>
    <n v="4.6390000000000002"/>
    <n v="9.8000000000000007"/>
    <x v="1"/>
    <n v="3"/>
    <s v="Standard"/>
    <s v="Standard Order"/>
    <m/>
    <s v=""/>
    <m/>
    <m/>
    <m/>
  </r>
  <r>
    <x v="799"/>
    <x v="1"/>
    <x v="1"/>
    <s v="Member"/>
    <s v="Male"/>
    <x v="2"/>
    <n v="86.69"/>
    <n v="5"/>
    <n v="21.672499999999999"/>
    <n v="455.1225"/>
    <d v="2019-02-11T00:00:00"/>
    <d v="1899-12-30T18:38:00"/>
    <x v="0"/>
    <n v="433.45"/>
    <n v="4.7619047620000003"/>
    <n v="21.672499999999999"/>
    <n v="9.4"/>
    <x v="2"/>
    <n v="2"/>
    <s v="Standard"/>
    <s v="Standard Order"/>
    <m/>
    <s v=""/>
    <m/>
    <m/>
    <m/>
  </r>
  <r>
    <x v="800"/>
    <x v="2"/>
    <x v="2"/>
    <s v="Normal"/>
    <s v="Male"/>
    <x v="3"/>
    <n v="23.01"/>
    <n v="6"/>
    <n v="6.9029999999999996"/>
    <n v="144.96299999999999"/>
    <d v="2019-01-12T00:00:00"/>
    <d v="1899-12-30T16:45:00"/>
    <x v="0"/>
    <n v="138.06"/>
    <n v="4.7619047620000003"/>
    <n v="6.9029999999999996"/>
    <n v="7.9"/>
    <x v="0"/>
    <n v="1"/>
    <s v="Standard"/>
    <s v="Standard Order"/>
    <m/>
    <s v=""/>
    <m/>
    <m/>
    <m/>
  </r>
  <r>
    <x v="801"/>
    <x v="1"/>
    <x v="1"/>
    <s v="Member"/>
    <s v="Female"/>
    <x v="1"/>
    <n v="30.2"/>
    <n v="8"/>
    <n v="12.08"/>
    <n v="253.68"/>
    <d v="2019-03-03T00:00:00"/>
    <d v="1899-12-30T19:30:00"/>
    <x v="0"/>
    <n v="241.6"/>
    <n v="4.7619047620000003"/>
    <n v="12.08"/>
    <n v="5.0999999999999996"/>
    <x v="1"/>
    <n v="3"/>
    <s v="Standard"/>
    <s v="Standard Order"/>
    <m/>
    <s v=""/>
    <m/>
    <m/>
    <m/>
  </r>
  <r>
    <x v="802"/>
    <x v="1"/>
    <x v="1"/>
    <s v="Member"/>
    <s v="Male"/>
    <x v="5"/>
    <n v="67.39"/>
    <n v="7"/>
    <n v="23.586500000000001"/>
    <n v="495.31650000000002"/>
    <d v="2019-03-23T00:00:00"/>
    <d v="1899-12-30T13:23:00"/>
    <x v="0"/>
    <n v="471.73"/>
    <n v="4.7619047620000003"/>
    <n v="23.586500000000001"/>
    <n v="6.9"/>
    <x v="1"/>
    <n v="3"/>
    <s v="Standard"/>
    <s v="Standard Order"/>
    <m/>
    <s v=""/>
    <m/>
    <m/>
    <m/>
  </r>
  <r>
    <x v="803"/>
    <x v="0"/>
    <x v="0"/>
    <s v="Member"/>
    <s v="Female"/>
    <x v="5"/>
    <n v="48.96"/>
    <n v="9"/>
    <n v="22.032"/>
    <n v="462.67200000000003"/>
    <d v="2019-03-04T00:00:00"/>
    <d v="1899-12-30T11:27:00"/>
    <x v="1"/>
    <n v="440.64"/>
    <n v="4.7619047620000003"/>
    <n v="22.032"/>
    <n v="8"/>
    <x v="1"/>
    <n v="3"/>
    <s v="Standard"/>
    <s v="Standard Order"/>
    <m/>
    <s v=""/>
    <m/>
    <m/>
    <m/>
  </r>
  <r>
    <x v="804"/>
    <x v="2"/>
    <x v="2"/>
    <s v="Member"/>
    <s v="Female"/>
    <x v="1"/>
    <n v="75.59"/>
    <n v="9"/>
    <n v="34.015500000000003"/>
    <n v="714.32550000000003"/>
    <d v="2019-02-23T00:00:00"/>
    <d v="1899-12-30T11:12:00"/>
    <x v="1"/>
    <n v="680.31"/>
    <n v="4.7619047620000003"/>
    <n v="34.015500000000003"/>
    <n v="8"/>
    <x v="2"/>
    <n v="2"/>
    <s v="High Value"/>
    <s v="High Value Order"/>
    <m/>
    <s v=""/>
    <m/>
    <m/>
    <m/>
  </r>
  <r>
    <x v="805"/>
    <x v="0"/>
    <x v="0"/>
    <s v="Normal"/>
    <s v="Female"/>
    <x v="2"/>
    <n v="77.47"/>
    <n v="4"/>
    <n v="15.494"/>
    <n v="325.37400000000002"/>
    <d v="2019-03-17T00:00:00"/>
    <d v="1899-12-30T16:36:00"/>
    <x v="1"/>
    <n v="309.88"/>
    <n v="4.7619047620000003"/>
    <n v="15.494"/>
    <n v="4.2"/>
    <x v="1"/>
    <n v="3"/>
    <s v="Standard"/>
    <s v="Standard Order"/>
    <m/>
    <s v=""/>
    <m/>
    <m/>
    <m/>
  </r>
  <r>
    <x v="806"/>
    <x v="0"/>
    <x v="0"/>
    <s v="Normal"/>
    <s v="Female"/>
    <x v="3"/>
    <n v="93.18"/>
    <n v="2"/>
    <n v="9.3179999999999996"/>
    <n v="195.678"/>
    <d v="2019-01-16T00:00:00"/>
    <d v="1899-12-30T18:41:00"/>
    <x v="2"/>
    <n v="186.36"/>
    <n v="4.7619047620000003"/>
    <n v="9.3179999999999996"/>
    <n v="8.5"/>
    <x v="0"/>
    <n v="1"/>
    <s v="Standard"/>
    <s v="Standard Order"/>
    <m/>
    <s v=""/>
    <m/>
    <m/>
    <m/>
  </r>
  <r>
    <x v="807"/>
    <x v="0"/>
    <x v="0"/>
    <s v="Normal"/>
    <s v="Female"/>
    <x v="1"/>
    <n v="50.23"/>
    <n v="4"/>
    <n v="10.045999999999999"/>
    <n v="210.96600000000001"/>
    <d v="2019-01-08T00:00:00"/>
    <d v="1899-12-30T17:12:00"/>
    <x v="1"/>
    <n v="200.92"/>
    <n v="4.7619047620000003"/>
    <n v="10.045999999999999"/>
    <n v="9"/>
    <x v="0"/>
    <n v="1"/>
    <s v="Standard"/>
    <s v="Standard Order"/>
    <m/>
    <s v=""/>
    <m/>
    <m/>
    <m/>
  </r>
  <r>
    <x v="808"/>
    <x v="2"/>
    <x v="2"/>
    <s v="Normal"/>
    <s v="Female"/>
    <x v="0"/>
    <n v="17.75"/>
    <n v="1"/>
    <n v="0.88749999999999996"/>
    <n v="18.637499999999999"/>
    <d v="2019-01-14T00:00:00"/>
    <d v="1899-12-30T10:38:00"/>
    <x v="1"/>
    <n v="17.75"/>
    <n v="4.7619047620000003"/>
    <n v="0.88749999999999996"/>
    <n v="8.6"/>
    <x v="0"/>
    <n v="1"/>
    <s v="Standard"/>
    <s v="Standard Order"/>
    <m/>
    <s v=""/>
    <m/>
    <m/>
    <m/>
  </r>
  <r>
    <x v="809"/>
    <x v="1"/>
    <x v="1"/>
    <s v="Normal"/>
    <s v="Female"/>
    <x v="5"/>
    <n v="62.18"/>
    <n v="10"/>
    <n v="31.09"/>
    <n v="652.89"/>
    <d v="2019-01-31T00:00:00"/>
    <d v="1899-12-30T10:33:00"/>
    <x v="0"/>
    <n v="621.79999999999995"/>
    <n v="4.7619047620000003"/>
    <n v="31.09"/>
    <n v="6"/>
    <x v="0"/>
    <n v="1"/>
    <s v="High Value"/>
    <s v="High Value Order"/>
    <m/>
    <s v=""/>
    <m/>
    <m/>
    <m/>
  </r>
  <r>
    <x v="810"/>
    <x v="2"/>
    <x v="2"/>
    <s v="Normal"/>
    <s v="Male"/>
    <x v="0"/>
    <n v="10.75"/>
    <n v="8"/>
    <n v="4.3"/>
    <n v="90.3"/>
    <d v="2019-03-15T00:00:00"/>
    <d v="1899-12-30T14:38:00"/>
    <x v="0"/>
    <n v="86"/>
    <n v="4.7619047620000003"/>
    <n v="4.3"/>
    <n v="6.2"/>
    <x v="1"/>
    <n v="3"/>
    <s v="Standard"/>
    <s v="Standard Order"/>
    <m/>
    <s v=""/>
    <m/>
    <m/>
    <m/>
  </r>
  <r>
    <x v="811"/>
    <x v="0"/>
    <x v="0"/>
    <s v="Normal"/>
    <s v="Female"/>
    <x v="1"/>
    <n v="40.26"/>
    <n v="10"/>
    <n v="20.13"/>
    <n v="422.73"/>
    <d v="2019-02-24T00:00:00"/>
    <d v="1899-12-30T18:06:00"/>
    <x v="2"/>
    <n v="402.6"/>
    <n v="4.7619047620000003"/>
    <n v="20.13"/>
    <n v="5"/>
    <x v="2"/>
    <n v="2"/>
    <s v="Standard"/>
    <s v="Standard Order"/>
    <m/>
    <s v=""/>
    <m/>
    <m/>
    <m/>
  </r>
  <r>
    <x v="812"/>
    <x v="1"/>
    <x v="1"/>
    <s v="Member"/>
    <s v="Female"/>
    <x v="3"/>
    <n v="64.97"/>
    <n v="5"/>
    <n v="16.2425"/>
    <n v="341.09249999999997"/>
    <d v="2019-02-08T00:00:00"/>
    <d v="1899-12-30T12:52:00"/>
    <x v="2"/>
    <n v="324.85000000000002"/>
    <n v="4.7619047620000003"/>
    <n v="16.2425"/>
    <n v="6.5"/>
    <x v="2"/>
    <n v="2"/>
    <s v="Standard"/>
    <s v="Standard Order"/>
    <m/>
    <s v=""/>
    <m/>
    <m/>
    <m/>
  </r>
  <r>
    <x v="813"/>
    <x v="0"/>
    <x v="0"/>
    <s v="Normal"/>
    <s v="Male"/>
    <x v="1"/>
    <n v="95.15"/>
    <n v="1"/>
    <n v="4.7575000000000003"/>
    <n v="99.907499999999999"/>
    <d v="2019-03-22T00:00:00"/>
    <d v="1899-12-30T14:00:00"/>
    <x v="1"/>
    <n v="95.15"/>
    <n v="4.7619047620000003"/>
    <n v="4.7575000000000003"/>
    <n v="6"/>
    <x v="1"/>
    <n v="3"/>
    <s v="Standard"/>
    <s v="Standard Order"/>
    <m/>
    <s v=""/>
    <m/>
    <m/>
    <m/>
  </r>
  <r>
    <x v="814"/>
    <x v="0"/>
    <x v="0"/>
    <s v="Member"/>
    <s v="Female"/>
    <x v="1"/>
    <n v="48.62"/>
    <n v="8"/>
    <n v="19.448"/>
    <n v="408.40800000000002"/>
    <d v="2019-01-24T00:00:00"/>
    <d v="1899-12-30T10:57:00"/>
    <x v="1"/>
    <n v="388.96"/>
    <n v="4.7619047620000003"/>
    <n v="19.448"/>
    <n v="5"/>
    <x v="0"/>
    <n v="1"/>
    <s v="Standard"/>
    <s v="Standard Order"/>
    <m/>
    <s v=""/>
    <m/>
    <m/>
    <m/>
  </r>
  <r>
    <x v="815"/>
    <x v="2"/>
    <x v="2"/>
    <s v="Normal"/>
    <s v="Female"/>
    <x v="4"/>
    <n v="53.21"/>
    <n v="8"/>
    <n v="21.283999999999999"/>
    <n v="446.964"/>
    <d v="2019-03-14T00:00:00"/>
    <d v="1899-12-30T16:45:00"/>
    <x v="0"/>
    <n v="425.68"/>
    <n v="4.7619047620000003"/>
    <n v="21.283999999999999"/>
    <n v="5"/>
    <x v="1"/>
    <n v="3"/>
    <s v="Standard"/>
    <s v="Standard Order"/>
    <m/>
    <s v=""/>
    <m/>
    <m/>
    <m/>
  </r>
  <r>
    <x v="816"/>
    <x v="1"/>
    <x v="1"/>
    <s v="Normal"/>
    <s v="Female"/>
    <x v="5"/>
    <n v="45.44"/>
    <n v="7"/>
    <n v="15.904"/>
    <n v="333.98399999999998"/>
    <d v="2019-01-23T00:00:00"/>
    <d v="1899-12-30T11:15:00"/>
    <x v="1"/>
    <n v="318.08"/>
    <n v="4.7619047620000003"/>
    <n v="15.904"/>
    <n v="9.1999999999999993"/>
    <x v="0"/>
    <n v="1"/>
    <s v="Standard"/>
    <s v="Standard Order"/>
    <m/>
    <s v=""/>
    <m/>
    <m/>
    <m/>
  </r>
  <r>
    <x v="817"/>
    <x v="0"/>
    <x v="0"/>
    <s v="Normal"/>
    <s v="Male"/>
    <x v="4"/>
    <n v="33.880000000000003"/>
    <n v="8"/>
    <n v="13.552"/>
    <n v="284.59199999999998"/>
    <d v="2019-01-19T00:00:00"/>
    <d v="1899-12-30T20:29:00"/>
    <x v="0"/>
    <n v="271.04000000000002"/>
    <n v="4.7619047620000003"/>
    <n v="13.552"/>
    <n v="9.6"/>
    <x v="0"/>
    <n v="1"/>
    <s v="Standard"/>
    <s v="Standard Order"/>
    <m/>
    <s v=""/>
    <m/>
    <m/>
    <m/>
  </r>
  <r>
    <x v="818"/>
    <x v="2"/>
    <x v="2"/>
    <s v="Member"/>
    <s v="Male"/>
    <x v="0"/>
    <n v="96.16"/>
    <n v="4"/>
    <n v="19.231999999999999"/>
    <n v="403.87200000000001"/>
    <d v="2019-01-27T00:00:00"/>
    <d v="1899-12-30T20:03:00"/>
    <x v="2"/>
    <n v="384.64"/>
    <n v="4.7619047620000003"/>
    <n v="19.231999999999999"/>
    <n v="8.4"/>
    <x v="0"/>
    <n v="1"/>
    <s v="Standard"/>
    <s v="Standard Order"/>
    <m/>
    <s v=""/>
    <m/>
    <m/>
    <m/>
  </r>
  <r>
    <x v="819"/>
    <x v="2"/>
    <x v="2"/>
    <s v="Member"/>
    <s v="Male"/>
    <x v="4"/>
    <n v="47.16"/>
    <n v="5"/>
    <n v="11.79"/>
    <n v="247.59"/>
    <d v="2019-02-03T00:00:00"/>
    <d v="1899-12-30T14:35:00"/>
    <x v="2"/>
    <n v="235.8"/>
    <n v="4.7619047620000003"/>
    <n v="11.79"/>
    <n v="6"/>
    <x v="2"/>
    <n v="2"/>
    <s v="Standard"/>
    <s v="Standard Order"/>
    <m/>
    <s v=""/>
    <m/>
    <m/>
    <m/>
  </r>
  <r>
    <x v="820"/>
    <x v="2"/>
    <x v="2"/>
    <s v="Normal"/>
    <s v="Male"/>
    <x v="1"/>
    <n v="52.89"/>
    <n v="4"/>
    <n v="10.577999999999999"/>
    <n v="222.13800000000001"/>
    <d v="2019-03-25T00:00:00"/>
    <d v="1899-12-30T16:32:00"/>
    <x v="0"/>
    <n v="211.56"/>
    <n v="4.7619047620000003"/>
    <n v="10.577999999999999"/>
    <n v="6.7"/>
    <x v="1"/>
    <n v="3"/>
    <s v="Standard"/>
    <s v="Standard Order"/>
    <m/>
    <s v=""/>
    <m/>
    <m/>
    <m/>
  </r>
  <r>
    <x v="821"/>
    <x v="0"/>
    <x v="0"/>
    <s v="Member"/>
    <s v="Female"/>
    <x v="2"/>
    <n v="47.68"/>
    <n v="2"/>
    <n v="4.7679999999999998"/>
    <n v="100.128"/>
    <d v="2019-02-24T00:00:00"/>
    <d v="1899-12-30T10:10:00"/>
    <x v="2"/>
    <n v="95.36"/>
    <n v="4.7619047620000003"/>
    <n v="4.7679999999999998"/>
    <n v="4.0999999999999996"/>
    <x v="2"/>
    <n v="2"/>
    <s v="Standard"/>
    <s v="Standard Order"/>
    <m/>
    <s v=""/>
    <m/>
    <m/>
    <m/>
  </r>
  <r>
    <x v="822"/>
    <x v="1"/>
    <x v="1"/>
    <s v="Member"/>
    <s v="Male"/>
    <x v="3"/>
    <n v="10.17"/>
    <n v="1"/>
    <n v="0.50849999999999995"/>
    <n v="10.6785"/>
    <d v="2019-02-07T00:00:00"/>
    <d v="1899-12-30T14:15:00"/>
    <x v="1"/>
    <n v="10.17"/>
    <n v="4.7619047620000003"/>
    <n v="0.50849999999999995"/>
    <n v="5.9"/>
    <x v="2"/>
    <n v="2"/>
    <s v="Standard"/>
    <s v="Standard Order"/>
    <m/>
    <s v=""/>
    <m/>
    <m/>
    <m/>
  </r>
  <r>
    <x v="823"/>
    <x v="0"/>
    <x v="0"/>
    <s v="Normal"/>
    <s v="Female"/>
    <x v="0"/>
    <n v="68.709999999999994"/>
    <n v="3"/>
    <n v="10.3065"/>
    <n v="216.4365"/>
    <d v="2019-03-04T00:00:00"/>
    <d v="1899-12-30T10:05:00"/>
    <x v="1"/>
    <n v="206.13"/>
    <n v="4.7619047620000003"/>
    <n v="10.3065"/>
    <n v="8.6999999999999993"/>
    <x v="1"/>
    <n v="3"/>
    <s v="Standard"/>
    <s v="Standard Order"/>
    <m/>
    <s v=""/>
    <m/>
    <m/>
    <m/>
  </r>
  <r>
    <x v="824"/>
    <x v="2"/>
    <x v="2"/>
    <s v="Member"/>
    <s v="Female"/>
    <x v="3"/>
    <n v="60.08"/>
    <n v="7"/>
    <n v="21.027999999999999"/>
    <n v="441.58800000000002"/>
    <d v="2019-02-14T00:00:00"/>
    <d v="1899-12-30T11:36:00"/>
    <x v="2"/>
    <n v="420.56"/>
    <n v="4.7619047620000003"/>
    <n v="21.027999999999999"/>
    <n v="4.5"/>
    <x v="2"/>
    <n v="2"/>
    <s v="Standard"/>
    <s v="Standard Order"/>
    <m/>
    <s v=""/>
    <m/>
    <m/>
    <m/>
  </r>
  <r>
    <x v="825"/>
    <x v="0"/>
    <x v="0"/>
    <s v="Member"/>
    <s v="Female"/>
    <x v="3"/>
    <n v="22.01"/>
    <n v="4"/>
    <n v="4.4020000000000001"/>
    <n v="92.441999999999993"/>
    <d v="2019-01-29T00:00:00"/>
    <d v="1899-12-30T18:15:00"/>
    <x v="2"/>
    <n v="88.04"/>
    <n v="4.7619047620000003"/>
    <n v="4.4020000000000001"/>
    <n v="6.6"/>
    <x v="0"/>
    <n v="1"/>
    <s v="Standard"/>
    <s v="Standard Order"/>
    <m/>
    <s v=""/>
    <m/>
    <m/>
    <m/>
  </r>
  <r>
    <x v="826"/>
    <x v="2"/>
    <x v="2"/>
    <s v="Member"/>
    <s v="Female"/>
    <x v="0"/>
    <n v="72.11"/>
    <n v="9"/>
    <n v="32.4495"/>
    <n v="681.43949999999995"/>
    <d v="2019-01-28T00:00:00"/>
    <d v="1899-12-30T13:53:00"/>
    <x v="2"/>
    <n v="648.99"/>
    <n v="4.7619047620000003"/>
    <n v="32.4495"/>
    <n v="7.7"/>
    <x v="0"/>
    <n v="1"/>
    <s v="High Value"/>
    <s v="High Value Order"/>
    <m/>
    <s v=""/>
    <m/>
    <m/>
    <m/>
  </r>
  <r>
    <x v="827"/>
    <x v="0"/>
    <x v="0"/>
    <s v="Member"/>
    <s v="Male"/>
    <x v="5"/>
    <n v="41.28"/>
    <n v="3"/>
    <n v="6.1920000000000002"/>
    <n v="130.03200000000001"/>
    <d v="2019-03-26T00:00:00"/>
    <d v="1899-12-30T18:37:00"/>
    <x v="2"/>
    <n v="123.84"/>
    <n v="4.7619047620000003"/>
    <n v="6.1920000000000002"/>
    <n v="8.5"/>
    <x v="1"/>
    <n v="3"/>
    <s v="Standard"/>
    <s v="Standard Order"/>
    <m/>
    <s v=""/>
    <m/>
    <m/>
    <m/>
  </r>
  <r>
    <x v="828"/>
    <x v="1"/>
    <x v="1"/>
    <s v="Normal"/>
    <s v="Male"/>
    <x v="1"/>
    <n v="64.95"/>
    <n v="10"/>
    <n v="32.475000000000001"/>
    <n v="681.97500000000002"/>
    <d v="2019-03-24T00:00:00"/>
    <d v="1899-12-30T18:27:00"/>
    <x v="1"/>
    <n v="649.5"/>
    <n v="4.7619047620000003"/>
    <n v="32.475000000000001"/>
    <n v="5.2"/>
    <x v="1"/>
    <n v="3"/>
    <s v="High Value"/>
    <s v="High Value Order"/>
    <m/>
    <s v=""/>
    <m/>
    <m/>
    <m/>
  </r>
  <r>
    <x v="829"/>
    <x v="0"/>
    <x v="0"/>
    <s v="Member"/>
    <s v="Female"/>
    <x v="1"/>
    <n v="74.22"/>
    <n v="10"/>
    <n v="37.11"/>
    <n v="779.31"/>
    <d v="2019-01-01T00:00:00"/>
    <d v="1899-12-30T14:42:00"/>
    <x v="2"/>
    <n v="742.2"/>
    <n v="4.7619047620000003"/>
    <n v="37.11"/>
    <n v="4.3"/>
    <x v="0"/>
    <n v="1"/>
    <s v="High Value"/>
    <s v="High Value Order"/>
    <m/>
    <s v=""/>
    <m/>
    <m/>
    <m/>
  </r>
  <r>
    <x v="830"/>
    <x v="0"/>
    <x v="0"/>
    <s v="Normal"/>
    <s v="Male"/>
    <x v="1"/>
    <n v="10.56"/>
    <n v="8"/>
    <n v="4.2240000000000002"/>
    <n v="88.703999999999994"/>
    <d v="2019-01-24T00:00:00"/>
    <d v="1899-12-30T17:43:00"/>
    <x v="1"/>
    <n v="84.48"/>
    <n v="4.7619047620000003"/>
    <n v="4.2240000000000002"/>
    <n v="7.6"/>
    <x v="0"/>
    <n v="1"/>
    <s v="Standard"/>
    <s v="Standard Order"/>
    <m/>
    <s v=""/>
    <m/>
    <m/>
    <m/>
  </r>
  <r>
    <x v="831"/>
    <x v="2"/>
    <x v="2"/>
    <s v="Normal"/>
    <s v="Male"/>
    <x v="0"/>
    <n v="62.57"/>
    <n v="4"/>
    <n v="12.513999999999999"/>
    <n v="262.79399999999998"/>
    <d v="2019-02-25T00:00:00"/>
    <d v="1899-12-30T18:37:00"/>
    <x v="1"/>
    <n v="250.28"/>
    <n v="4.7619047620000003"/>
    <n v="12.513999999999999"/>
    <n v="9.5"/>
    <x v="2"/>
    <n v="2"/>
    <s v="Standard"/>
    <s v="Standard Order"/>
    <m/>
    <s v=""/>
    <m/>
    <m/>
    <m/>
  </r>
  <r>
    <x v="832"/>
    <x v="2"/>
    <x v="2"/>
    <s v="Member"/>
    <s v="Female"/>
    <x v="3"/>
    <n v="11.85"/>
    <n v="8"/>
    <n v="4.74"/>
    <n v="99.54"/>
    <d v="2019-01-09T00:00:00"/>
    <d v="1899-12-30T16:34:00"/>
    <x v="1"/>
    <n v="94.8"/>
    <n v="4.7619047620000003"/>
    <n v="4.74"/>
    <n v="4.0999999999999996"/>
    <x v="0"/>
    <n v="1"/>
    <s v="Standard"/>
    <s v="Standard Order"/>
    <m/>
    <s v=""/>
    <m/>
    <m/>
    <m/>
  </r>
  <r>
    <x v="833"/>
    <x v="0"/>
    <x v="0"/>
    <s v="Member"/>
    <s v="Male"/>
    <x v="0"/>
    <n v="91.3"/>
    <n v="1"/>
    <n v="4.5650000000000004"/>
    <n v="95.864999999999995"/>
    <d v="2019-02-14T00:00:00"/>
    <d v="1899-12-30T14:42:00"/>
    <x v="0"/>
    <n v="91.3"/>
    <n v="4.7619047620000003"/>
    <n v="4.5650000000000004"/>
    <n v="9.1999999999999993"/>
    <x v="2"/>
    <n v="2"/>
    <s v="Standard"/>
    <s v="Standard Order"/>
    <m/>
    <s v=""/>
    <m/>
    <m/>
    <m/>
  </r>
  <r>
    <x v="834"/>
    <x v="2"/>
    <x v="2"/>
    <s v="Member"/>
    <s v="Female"/>
    <x v="2"/>
    <n v="40.729999999999997"/>
    <n v="7"/>
    <n v="14.2555"/>
    <n v="299.3655"/>
    <d v="2019-03-12T00:00:00"/>
    <d v="1899-12-30T11:01:00"/>
    <x v="0"/>
    <n v="285.11"/>
    <n v="4.7619047620000003"/>
    <n v="14.2555"/>
    <n v="5.4"/>
    <x v="1"/>
    <n v="3"/>
    <s v="Standard"/>
    <s v="Standard Order"/>
    <m/>
    <s v=""/>
    <m/>
    <m/>
    <m/>
  </r>
  <r>
    <x v="835"/>
    <x v="0"/>
    <x v="0"/>
    <s v="Normal"/>
    <s v="Male"/>
    <x v="5"/>
    <n v="52.38"/>
    <n v="1"/>
    <n v="2.6190000000000002"/>
    <n v="54.999000000000002"/>
    <d v="2019-03-26T00:00:00"/>
    <d v="1899-12-30T19:44:00"/>
    <x v="1"/>
    <n v="52.38"/>
    <n v="4.7619047620000003"/>
    <n v="2.6190000000000002"/>
    <n v="5.8"/>
    <x v="1"/>
    <n v="3"/>
    <s v="Standard"/>
    <s v="Standard Order"/>
    <m/>
    <s v=""/>
    <m/>
    <m/>
    <m/>
  </r>
  <r>
    <x v="836"/>
    <x v="0"/>
    <x v="0"/>
    <s v="Member"/>
    <s v="Male"/>
    <x v="5"/>
    <n v="38.54"/>
    <n v="5"/>
    <n v="9.6349999999999998"/>
    <n v="202.33500000000001"/>
    <d v="2019-01-09T00:00:00"/>
    <d v="1899-12-30T13:34:00"/>
    <x v="0"/>
    <n v="192.7"/>
    <n v="4.7619047620000003"/>
    <n v="9.6349999999999998"/>
    <n v="5.6"/>
    <x v="0"/>
    <n v="1"/>
    <s v="Standard"/>
    <s v="Standard Order"/>
    <m/>
    <s v=""/>
    <m/>
    <m/>
    <m/>
  </r>
  <r>
    <x v="837"/>
    <x v="2"/>
    <x v="2"/>
    <s v="Normal"/>
    <s v="Male"/>
    <x v="3"/>
    <n v="44.63"/>
    <n v="6"/>
    <n v="13.388999999999999"/>
    <n v="281.16899999999998"/>
    <d v="2019-01-02T00:00:00"/>
    <d v="1899-12-30T20:08:00"/>
    <x v="2"/>
    <n v="267.77999999999997"/>
    <n v="4.7619047620000003"/>
    <n v="13.388999999999999"/>
    <n v="5.0999999999999996"/>
    <x v="0"/>
    <n v="1"/>
    <s v="Standard"/>
    <s v="Standard Order"/>
    <m/>
    <s v=""/>
    <m/>
    <m/>
    <m/>
  </r>
  <r>
    <x v="838"/>
    <x v="1"/>
    <x v="1"/>
    <s v="Normal"/>
    <s v="Male"/>
    <x v="1"/>
    <n v="55.87"/>
    <n v="10"/>
    <n v="27.934999999999999"/>
    <n v="586.63499999999999"/>
    <d v="2019-01-15T00:00:00"/>
    <d v="1899-12-30T15:01:00"/>
    <x v="1"/>
    <n v="558.70000000000005"/>
    <n v="4.7619047620000003"/>
    <n v="27.934999999999999"/>
    <n v="5.8"/>
    <x v="0"/>
    <n v="1"/>
    <s v="High Value"/>
    <s v="High Value Order"/>
    <m/>
    <s v=""/>
    <m/>
    <m/>
    <m/>
  </r>
  <r>
    <x v="839"/>
    <x v="1"/>
    <x v="1"/>
    <s v="Member"/>
    <s v="Female"/>
    <x v="3"/>
    <n v="29.22"/>
    <n v="6"/>
    <n v="8.766"/>
    <n v="184.08600000000001"/>
    <d v="2019-01-01T00:00:00"/>
    <d v="1899-12-30T11:40:00"/>
    <x v="0"/>
    <n v="175.32"/>
    <n v="4.7619047620000003"/>
    <n v="8.766"/>
    <n v="5"/>
    <x v="0"/>
    <n v="1"/>
    <s v="Standard"/>
    <s v="Standard Order"/>
    <m/>
    <s v=""/>
    <m/>
    <m/>
    <m/>
  </r>
  <r>
    <x v="840"/>
    <x v="0"/>
    <x v="0"/>
    <s v="Normal"/>
    <s v="Male"/>
    <x v="5"/>
    <n v="51.94"/>
    <n v="3"/>
    <n v="7.7910000000000004"/>
    <n v="163.61099999999999"/>
    <d v="2019-02-15T00:00:00"/>
    <d v="1899-12-30T15:21:00"/>
    <x v="1"/>
    <n v="155.82"/>
    <n v="4.7619047620000003"/>
    <n v="7.7910000000000004"/>
    <n v="7.9"/>
    <x v="2"/>
    <n v="2"/>
    <s v="Standard"/>
    <s v="Standard Order"/>
    <m/>
    <s v=""/>
    <m/>
    <m/>
    <m/>
  </r>
  <r>
    <x v="841"/>
    <x v="2"/>
    <x v="2"/>
    <s v="Normal"/>
    <s v="Male"/>
    <x v="1"/>
    <n v="60.3"/>
    <n v="1"/>
    <n v="3.0150000000000001"/>
    <n v="63.314999999999998"/>
    <d v="2019-02-28T00:00:00"/>
    <d v="1899-12-30T17:38:00"/>
    <x v="1"/>
    <n v="60.3"/>
    <n v="4.7619047620000003"/>
    <n v="3.0150000000000001"/>
    <n v="6"/>
    <x v="2"/>
    <n v="2"/>
    <s v="Standard"/>
    <s v="Standard Order"/>
    <m/>
    <s v=""/>
    <m/>
    <m/>
    <m/>
  </r>
  <r>
    <x v="842"/>
    <x v="0"/>
    <x v="0"/>
    <s v="Member"/>
    <s v="Female"/>
    <x v="3"/>
    <n v="39.47"/>
    <n v="2"/>
    <n v="3.9470000000000001"/>
    <n v="82.887"/>
    <d v="2019-03-02T00:00:00"/>
    <d v="1899-12-30T16:16:00"/>
    <x v="2"/>
    <n v="78.94"/>
    <n v="4.7619047620000003"/>
    <n v="3.9470000000000001"/>
    <n v="5"/>
    <x v="1"/>
    <n v="3"/>
    <s v="Standard"/>
    <s v="Standard Order"/>
    <m/>
    <s v=""/>
    <m/>
    <m/>
    <m/>
  </r>
  <r>
    <x v="843"/>
    <x v="1"/>
    <x v="1"/>
    <s v="Member"/>
    <s v="Female"/>
    <x v="4"/>
    <n v="14.87"/>
    <n v="2"/>
    <n v="1.4870000000000001"/>
    <n v="31.227"/>
    <d v="2019-02-13T00:00:00"/>
    <d v="1899-12-30T18:15:00"/>
    <x v="2"/>
    <n v="29.74"/>
    <n v="4.7619047620000003"/>
    <n v="1.4870000000000001"/>
    <n v="8.9"/>
    <x v="2"/>
    <n v="2"/>
    <s v="Standard"/>
    <s v="Standard Order"/>
    <m/>
    <s v=""/>
    <m/>
    <m/>
    <m/>
  </r>
  <r>
    <x v="844"/>
    <x v="0"/>
    <x v="0"/>
    <s v="Normal"/>
    <s v="Male"/>
    <x v="5"/>
    <n v="21.32"/>
    <n v="1"/>
    <n v="1.0660000000000001"/>
    <n v="22.385999999999999"/>
    <d v="2019-01-26T00:00:00"/>
    <d v="1899-12-30T12:43:00"/>
    <x v="1"/>
    <n v="21.32"/>
    <n v="4.7619047620000003"/>
    <n v="1.0660000000000001"/>
    <n v="5.9"/>
    <x v="0"/>
    <n v="1"/>
    <s v="Standard"/>
    <s v="Standard Order"/>
    <m/>
    <s v=""/>
    <m/>
    <m/>
    <m/>
  </r>
  <r>
    <x v="845"/>
    <x v="0"/>
    <x v="0"/>
    <s v="Member"/>
    <s v="Male"/>
    <x v="1"/>
    <n v="93.78"/>
    <n v="3"/>
    <n v="14.067"/>
    <n v="295.40699999999998"/>
    <d v="2019-01-30T00:00:00"/>
    <d v="1899-12-30T11:32:00"/>
    <x v="2"/>
    <n v="281.33999999999997"/>
    <n v="4.7619047620000003"/>
    <n v="14.067"/>
    <n v="5.9"/>
    <x v="0"/>
    <n v="1"/>
    <s v="Standard"/>
    <s v="Standard Order"/>
    <m/>
    <s v=""/>
    <m/>
    <m/>
    <m/>
  </r>
  <r>
    <x v="846"/>
    <x v="0"/>
    <x v="0"/>
    <s v="Member"/>
    <s v="Male"/>
    <x v="1"/>
    <n v="73.260000000000005"/>
    <n v="1"/>
    <n v="3.6629999999999998"/>
    <n v="76.923000000000002"/>
    <d v="2019-01-27T00:00:00"/>
    <d v="1899-12-30T18:08:00"/>
    <x v="0"/>
    <n v="73.260000000000005"/>
    <n v="4.7619047620000003"/>
    <n v="3.6629999999999998"/>
    <n v="9.6999999999999993"/>
    <x v="0"/>
    <n v="1"/>
    <s v="Standard"/>
    <s v="Standard Order"/>
    <m/>
    <s v=""/>
    <m/>
    <m/>
    <m/>
  </r>
  <r>
    <x v="847"/>
    <x v="1"/>
    <x v="1"/>
    <s v="Normal"/>
    <s v="Female"/>
    <x v="3"/>
    <n v="22.38"/>
    <n v="1"/>
    <n v="1.119"/>
    <n v="23.498999999999999"/>
    <d v="2019-01-30T00:00:00"/>
    <d v="1899-12-30T17:08:00"/>
    <x v="2"/>
    <n v="22.38"/>
    <n v="4.7619047620000003"/>
    <n v="1.119"/>
    <n v="8.6"/>
    <x v="0"/>
    <n v="1"/>
    <s v="Standard"/>
    <s v="Standard Order"/>
    <m/>
    <s v=""/>
    <m/>
    <m/>
    <m/>
  </r>
  <r>
    <x v="848"/>
    <x v="1"/>
    <x v="1"/>
    <s v="Member"/>
    <s v="Female"/>
    <x v="4"/>
    <n v="72.88"/>
    <n v="9"/>
    <n v="32.795999999999999"/>
    <n v="688.71600000000001"/>
    <d v="2019-01-08T00:00:00"/>
    <d v="1899-12-30T19:38:00"/>
    <x v="1"/>
    <n v="655.92"/>
    <n v="4.7619047620000003"/>
    <n v="32.795999999999999"/>
    <n v="4"/>
    <x v="0"/>
    <n v="1"/>
    <s v="High Value"/>
    <s v="High Value Order"/>
    <m/>
    <s v=""/>
    <m/>
    <m/>
    <m/>
  </r>
  <r>
    <x v="849"/>
    <x v="0"/>
    <x v="0"/>
    <s v="Normal"/>
    <s v="Female"/>
    <x v="5"/>
    <n v="99.1"/>
    <n v="6"/>
    <n v="29.73"/>
    <n v="624.33000000000004"/>
    <d v="2019-01-19T00:00:00"/>
    <d v="1899-12-30T13:11:00"/>
    <x v="1"/>
    <n v="594.6"/>
    <n v="4.7619047620000003"/>
    <n v="29.73"/>
    <n v="4.2"/>
    <x v="0"/>
    <n v="1"/>
    <s v="High Value"/>
    <s v="High Value Order"/>
    <m/>
    <s v=""/>
    <m/>
    <m/>
    <m/>
  </r>
  <r>
    <x v="850"/>
    <x v="0"/>
    <x v="0"/>
    <s v="Normal"/>
    <s v="Male"/>
    <x v="5"/>
    <n v="74.099999999999994"/>
    <n v="1"/>
    <n v="3.7050000000000001"/>
    <n v="77.805000000000007"/>
    <d v="2019-01-25T00:00:00"/>
    <d v="1899-12-30T11:05:00"/>
    <x v="1"/>
    <n v="74.099999999999994"/>
    <n v="4.7619047620000003"/>
    <n v="3.7050000000000001"/>
    <n v="9.1999999999999993"/>
    <x v="0"/>
    <n v="1"/>
    <s v="Standard"/>
    <s v="Standard Order"/>
    <m/>
    <s v=""/>
    <m/>
    <m/>
    <m/>
  </r>
  <r>
    <x v="851"/>
    <x v="0"/>
    <x v="0"/>
    <s v="Normal"/>
    <s v="Female"/>
    <x v="5"/>
    <n v="98.48"/>
    <n v="2"/>
    <n v="9.8480000000000008"/>
    <n v="206.80799999999999"/>
    <d v="2019-02-19T00:00:00"/>
    <d v="1899-12-30T10:12:00"/>
    <x v="0"/>
    <n v="196.96"/>
    <n v="4.7619047620000003"/>
    <n v="9.8480000000000008"/>
    <n v="9.1999999999999993"/>
    <x v="2"/>
    <n v="2"/>
    <s v="Standard"/>
    <s v="Standard Order"/>
    <m/>
    <s v=""/>
    <m/>
    <m/>
    <m/>
  </r>
  <r>
    <x v="852"/>
    <x v="1"/>
    <x v="1"/>
    <s v="Normal"/>
    <s v="Male"/>
    <x v="0"/>
    <n v="53.19"/>
    <n v="7"/>
    <n v="18.616499999999998"/>
    <n v="390.94650000000001"/>
    <d v="2019-01-14T00:00:00"/>
    <d v="1899-12-30T15:42:00"/>
    <x v="0"/>
    <n v="372.33"/>
    <n v="4.7619047620000003"/>
    <n v="18.616499999999998"/>
    <n v="5"/>
    <x v="0"/>
    <n v="1"/>
    <s v="Standard"/>
    <s v="Standard Order"/>
    <m/>
    <s v=""/>
    <m/>
    <m/>
    <m/>
  </r>
  <r>
    <x v="853"/>
    <x v="2"/>
    <x v="2"/>
    <s v="Normal"/>
    <s v="Female"/>
    <x v="1"/>
    <n v="52.79"/>
    <n v="10"/>
    <n v="26.395"/>
    <n v="554.29499999999996"/>
    <d v="2019-02-25T00:00:00"/>
    <d v="1899-12-30T11:58:00"/>
    <x v="0"/>
    <n v="527.9"/>
    <n v="4.7619047620000003"/>
    <n v="26.395"/>
    <n v="10"/>
    <x v="2"/>
    <n v="2"/>
    <s v="High Value"/>
    <s v="High Value Order"/>
    <m/>
    <s v=""/>
    <m/>
    <m/>
    <m/>
  </r>
  <r>
    <x v="854"/>
    <x v="0"/>
    <x v="0"/>
    <s v="Member"/>
    <s v="Female"/>
    <x v="0"/>
    <n v="95.95"/>
    <n v="5"/>
    <n v="23.987500000000001"/>
    <n v="503.73750000000001"/>
    <d v="2019-01-23T00:00:00"/>
    <d v="1899-12-30T14:21:00"/>
    <x v="0"/>
    <n v="479.75"/>
    <n v="4.7619047620000003"/>
    <n v="23.987500000000001"/>
    <n v="8.8000000000000007"/>
    <x v="0"/>
    <n v="1"/>
    <s v="High Value"/>
    <s v="High Value Order"/>
    <m/>
    <s v=""/>
    <m/>
    <m/>
    <m/>
  </r>
  <r>
    <x v="855"/>
    <x v="2"/>
    <x v="2"/>
    <s v="Normal"/>
    <s v="Female"/>
    <x v="5"/>
    <n v="36.51"/>
    <n v="9"/>
    <n v="16.429500000000001"/>
    <n v="345.01949999999999"/>
    <d v="2019-02-16T00:00:00"/>
    <d v="1899-12-30T10:52:00"/>
    <x v="1"/>
    <n v="328.59"/>
    <n v="4.7619047620000003"/>
    <n v="16.429500000000001"/>
    <n v="4.2"/>
    <x v="2"/>
    <n v="2"/>
    <s v="Standard"/>
    <s v="Standard Order"/>
    <m/>
    <s v=""/>
    <m/>
    <m/>
    <m/>
  </r>
  <r>
    <x v="856"/>
    <x v="2"/>
    <x v="2"/>
    <s v="Normal"/>
    <s v="Male"/>
    <x v="4"/>
    <n v="21.12"/>
    <n v="8"/>
    <n v="8.4480000000000004"/>
    <n v="177.40799999999999"/>
    <d v="2019-01-01T00:00:00"/>
    <d v="1899-12-30T19:31:00"/>
    <x v="1"/>
    <n v="168.96"/>
    <n v="4.7619047620000003"/>
    <n v="8.4480000000000004"/>
    <n v="6.3"/>
    <x v="0"/>
    <n v="1"/>
    <s v="Standard"/>
    <s v="Standard Order"/>
    <m/>
    <s v=""/>
    <m/>
    <m/>
    <m/>
  </r>
  <r>
    <x v="857"/>
    <x v="0"/>
    <x v="0"/>
    <s v="Member"/>
    <s v="Female"/>
    <x v="2"/>
    <n v="28.31"/>
    <n v="4"/>
    <n v="5.6619999999999999"/>
    <n v="118.902"/>
    <d v="2019-03-07T00:00:00"/>
    <d v="1899-12-30T18:35:00"/>
    <x v="1"/>
    <n v="113.24"/>
    <n v="4.7619047620000003"/>
    <n v="5.6619999999999999"/>
    <n v="8.1999999999999993"/>
    <x v="1"/>
    <n v="3"/>
    <s v="Standard"/>
    <s v="Standard Order"/>
    <m/>
    <s v=""/>
    <m/>
    <m/>
    <m/>
  </r>
  <r>
    <x v="858"/>
    <x v="2"/>
    <x v="2"/>
    <s v="Normal"/>
    <s v="Male"/>
    <x v="0"/>
    <n v="57.59"/>
    <n v="6"/>
    <n v="17.277000000000001"/>
    <n v="362.81700000000001"/>
    <d v="2019-02-15T00:00:00"/>
    <d v="1899-12-30T13:51:00"/>
    <x v="1"/>
    <n v="345.54"/>
    <n v="4.7619047620000003"/>
    <n v="17.277000000000001"/>
    <n v="5.0999999999999996"/>
    <x v="2"/>
    <n v="2"/>
    <s v="Standard"/>
    <s v="Standard Order"/>
    <m/>
    <s v=""/>
    <m/>
    <m/>
    <m/>
  </r>
  <r>
    <x v="859"/>
    <x v="0"/>
    <x v="0"/>
    <s v="Member"/>
    <s v="Female"/>
    <x v="4"/>
    <n v="47.63"/>
    <n v="9"/>
    <n v="21.433499999999999"/>
    <n v="450.1035"/>
    <d v="2019-01-23T00:00:00"/>
    <d v="1899-12-30T12:35:00"/>
    <x v="1"/>
    <n v="428.67"/>
    <n v="4.7619047620000003"/>
    <n v="21.433499999999999"/>
    <n v="5"/>
    <x v="0"/>
    <n v="1"/>
    <s v="Standard"/>
    <s v="Standard Order"/>
    <m/>
    <s v=""/>
    <m/>
    <m/>
    <m/>
  </r>
  <r>
    <x v="860"/>
    <x v="1"/>
    <x v="1"/>
    <s v="Member"/>
    <s v="Female"/>
    <x v="2"/>
    <n v="86.27"/>
    <n v="1"/>
    <n v="4.3135000000000003"/>
    <n v="90.583500000000001"/>
    <d v="2019-02-20T00:00:00"/>
    <d v="1899-12-30T13:24:00"/>
    <x v="0"/>
    <n v="86.27"/>
    <n v="4.7619047620000003"/>
    <n v="4.3135000000000003"/>
    <n v="7"/>
    <x v="2"/>
    <n v="2"/>
    <s v="Standard"/>
    <s v="Standard Order"/>
    <m/>
    <s v=""/>
    <m/>
    <m/>
    <m/>
  </r>
  <r>
    <x v="861"/>
    <x v="0"/>
    <x v="0"/>
    <s v="Member"/>
    <s v="Male"/>
    <x v="3"/>
    <n v="12.76"/>
    <n v="2"/>
    <n v="1.276"/>
    <n v="26.795999999999999"/>
    <d v="2019-01-08T00:00:00"/>
    <d v="1899-12-30T18:06:00"/>
    <x v="0"/>
    <n v="25.52"/>
    <n v="4.7619047620000003"/>
    <n v="1.276"/>
    <n v="7.8"/>
    <x v="0"/>
    <n v="1"/>
    <s v="Standard"/>
    <s v="Standard Order"/>
    <m/>
    <s v=""/>
    <m/>
    <m/>
    <m/>
  </r>
  <r>
    <x v="862"/>
    <x v="2"/>
    <x v="2"/>
    <s v="Normal"/>
    <s v="Female"/>
    <x v="2"/>
    <n v="11.28"/>
    <n v="9"/>
    <n v="5.0759999999999996"/>
    <n v="106.596"/>
    <d v="2019-03-17T00:00:00"/>
    <d v="1899-12-30T11:55:00"/>
    <x v="2"/>
    <n v="101.52"/>
    <n v="4.7619047620000003"/>
    <n v="5.0759999999999996"/>
    <n v="4.3"/>
    <x v="1"/>
    <n v="3"/>
    <s v="Standard"/>
    <s v="Standard Order"/>
    <m/>
    <s v=""/>
    <m/>
    <m/>
    <m/>
  </r>
  <r>
    <x v="863"/>
    <x v="2"/>
    <x v="2"/>
    <s v="Normal"/>
    <s v="Female"/>
    <x v="2"/>
    <n v="51.07"/>
    <n v="7"/>
    <n v="17.874500000000001"/>
    <n v="375.36450000000002"/>
    <d v="2019-01-12T00:00:00"/>
    <d v="1899-12-30T11:42:00"/>
    <x v="1"/>
    <n v="357.49"/>
    <n v="4.7619047620000003"/>
    <n v="17.874500000000001"/>
    <n v="7"/>
    <x v="0"/>
    <n v="1"/>
    <s v="Standard"/>
    <s v="Standard Order"/>
    <m/>
    <s v=""/>
    <m/>
    <m/>
    <m/>
  </r>
  <r>
    <x v="864"/>
    <x v="0"/>
    <x v="0"/>
    <s v="Member"/>
    <s v="Female"/>
    <x v="1"/>
    <n v="79.59"/>
    <n v="3"/>
    <n v="11.938499999999999"/>
    <n v="250.70849999999999"/>
    <d v="2019-01-08T00:00:00"/>
    <d v="1899-12-30T14:30:00"/>
    <x v="1"/>
    <n v="238.77"/>
    <n v="4.7619047620000003"/>
    <n v="11.938499999999999"/>
    <n v="6.6"/>
    <x v="0"/>
    <n v="1"/>
    <s v="Standard"/>
    <s v="Standard Order"/>
    <m/>
    <s v=""/>
    <m/>
    <m/>
    <m/>
  </r>
  <r>
    <x v="865"/>
    <x v="1"/>
    <x v="1"/>
    <s v="Member"/>
    <s v="Male"/>
    <x v="0"/>
    <n v="33.81"/>
    <n v="3"/>
    <n v="5.0715000000000003"/>
    <n v="106.50149999999999"/>
    <d v="2019-01-26T00:00:00"/>
    <d v="1899-12-30T15:11:00"/>
    <x v="0"/>
    <n v="101.43"/>
    <n v="4.7619047620000003"/>
    <n v="5.0715000000000003"/>
    <n v="7.3"/>
    <x v="0"/>
    <n v="1"/>
    <s v="Standard"/>
    <s v="Standard Order"/>
    <m/>
    <s v=""/>
    <m/>
    <m/>
    <m/>
  </r>
  <r>
    <x v="866"/>
    <x v="2"/>
    <x v="2"/>
    <s v="Member"/>
    <s v="Male"/>
    <x v="3"/>
    <n v="90.53"/>
    <n v="8"/>
    <n v="36.212000000000003"/>
    <n v="760.452"/>
    <d v="2019-03-15T00:00:00"/>
    <d v="1899-12-30T14:48:00"/>
    <x v="2"/>
    <n v="724.24"/>
    <n v="4.7619047620000003"/>
    <n v="36.212000000000003"/>
    <n v="6.5"/>
    <x v="1"/>
    <n v="3"/>
    <s v="High Value"/>
    <s v="High Value Order"/>
    <m/>
    <s v=""/>
    <m/>
    <m/>
    <m/>
  </r>
  <r>
    <x v="867"/>
    <x v="1"/>
    <x v="1"/>
    <s v="Member"/>
    <s v="Female"/>
    <x v="0"/>
    <n v="62.82"/>
    <n v="2"/>
    <n v="6.282"/>
    <n v="131.922"/>
    <d v="2019-01-17T00:00:00"/>
    <d v="1899-12-30T12:36:00"/>
    <x v="0"/>
    <n v="125.64"/>
    <n v="4.7619047620000003"/>
    <n v="6.282"/>
    <n v="4.9000000000000004"/>
    <x v="0"/>
    <n v="1"/>
    <s v="Standard"/>
    <s v="Standard Order"/>
    <m/>
    <s v=""/>
    <m/>
    <m/>
    <m/>
  </r>
  <r>
    <x v="868"/>
    <x v="1"/>
    <x v="1"/>
    <s v="Member"/>
    <s v="Male"/>
    <x v="4"/>
    <n v="24.31"/>
    <n v="3"/>
    <n v="3.6465000000000001"/>
    <n v="76.576499999999996"/>
    <d v="2019-01-08T00:00:00"/>
    <d v="1899-12-30T19:09:00"/>
    <x v="2"/>
    <n v="72.930000000000007"/>
    <n v="4.7619047620000003"/>
    <n v="3.6465000000000001"/>
    <n v="4.3"/>
    <x v="0"/>
    <n v="1"/>
    <s v="Standard"/>
    <s v="Standard Order"/>
    <m/>
    <s v=""/>
    <m/>
    <m/>
    <m/>
  </r>
  <r>
    <x v="869"/>
    <x v="0"/>
    <x v="0"/>
    <s v="Normal"/>
    <s v="Male"/>
    <x v="3"/>
    <n v="64.59"/>
    <n v="4"/>
    <n v="12.917999999999999"/>
    <n v="271.27800000000002"/>
    <d v="2019-01-06T00:00:00"/>
    <d v="1899-12-30T13:35:00"/>
    <x v="0"/>
    <n v="258.36"/>
    <n v="4.7619047620000003"/>
    <n v="12.917999999999999"/>
    <n v="9.3000000000000007"/>
    <x v="0"/>
    <n v="1"/>
    <s v="Standard"/>
    <s v="Standard Order"/>
    <m/>
    <s v=""/>
    <m/>
    <m/>
    <m/>
  </r>
  <r>
    <x v="870"/>
    <x v="0"/>
    <x v="0"/>
    <s v="Member"/>
    <s v="Male"/>
    <x v="4"/>
    <n v="24.82"/>
    <n v="7"/>
    <n v="8.6869999999999994"/>
    <n v="182.42699999999999"/>
    <d v="2019-02-16T00:00:00"/>
    <d v="1899-12-30T10:33:00"/>
    <x v="2"/>
    <n v="173.74"/>
    <n v="4.7619047620000003"/>
    <n v="8.6869999999999994"/>
    <n v="7.1"/>
    <x v="2"/>
    <n v="2"/>
    <s v="Standard"/>
    <s v="Standard Order"/>
    <m/>
    <s v=""/>
    <m/>
    <m/>
    <m/>
  </r>
  <r>
    <x v="871"/>
    <x v="1"/>
    <x v="1"/>
    <s v="Normal"/>
    <s v="Male"/>
    <x v="5"/>
    <n v="56.5"/>
    <n v="1"/>
    <n v="2.8250000000000002"/>
    <n v="59.325000000000003"/>
    <d v="2019-03-13T00:00:00"/>
    <d v="1899-12-30T15:45:00"/>
    <x v="0"/>
    <n v="56.5"/>
    <n v="4.7619047620000003"/>
    <n v="2.8250000000000002"/>
    <n v="9.6"/>
    <x v="1"/>
    <n v="3"/>
    <s v="Standard"/>
    <s v="Standard Order"/>
    <m/>
    <s v=""/>
    <m/>
    <m/>
    <m/>
  </r>
  <r>
    <x v="872"/>
    <x v="2"/>
    <x v="2"/>
    <s v="Member"/>
    <s v="Female"/>
    <x v="1"/>
    <n v="21.43"/>
    <n v="10"/>
    <n v="10.715"/>
    <n v="225.01499999999999"/>
    <d v="2019-01-28T00:00:00"/>
    <d v="1899-12-30T11:51:00"/>
    <x v="1"/>
    <n v="214.3"/>
    <n v="4.7619047620000003"/>
    <n v="10.715"/>
    <n v="6.2"/>
    <x v="0"/>
    <n v="1"/>
    <s v="Standard"/>
    <s v="Standard Order"/>
    <m/>
    <s v=""/>
    <m/>
    <m/>
    <m/>
  </r>
  <r>
    <x v="873"/>
    <x v="0"/>
    <x v="0"/>
    <s v="Member"/>
    <s v="Male"/>
    <x v="3"/>
    <n v="89.06"/>
    <n v="6"/>
    <n v="26.718"/>
    <n v="561.07799999999997"/>
    <d v="2019-01-18T00:00:00"/>
    <d v="1899-12-30T17:26:00"/>
    <x v="1"/>
    <n v="534.36"/>
    <n v="4.7619047620000003"/>
    <n v="26.718"/>
    <n v="9.9"/>
    <x v="0"/>
    <n v="1"/>
    <s v="High Value"/>
    <s v="High Value Order"/>
    <m/>
    <s v=""/>
    <m/>
    <m/>
    <m/>
  </r>
  <r>
    <x v="874"/>
    <x v="0"/>
    <x v="0"/>
    <s v="Member"/>
    <s v="Male"/>
    <x v="2"/>
    <n v="23.29"/>
    <n v="4"/>
    <n v="4.6580000000000004"/>
    <n v="97.817999999999998"/>
    <d v="2019-03-19T00:00:00"/>
    <d v="1899-12-30T11:52:00"/>
    <x v="2"/>
    <n v="93.16"/>
    <n v="4.7619047620000003"/>
    <n v="4.6580000000000004"/>
    <n v="5.9"/>
    <x v="1"/>
    <n v="3"/>
    <s v="Standard"/>
    <s v="Standard Order"/>
    <m/>
    <s v=""/>
    <m/>
    <m/>
    <m/>
  </r>
  <r>
    <x v="875"/>
    <x v="1"/>
    <x v="1"/>
    <s v="Normal"/>
    <s v="Male"/>
    <x v="2"/>
    <n v="65.260000000000005"/>
    <n v="8"/>
    <n v="26.103999999999999"/>
    <n v="548.18399999999997"/>
    <d v="2019-03-15T00:00:00"/>
    <d v="1899-12-30T14:04:00"/>
    <x v="0"/>
    <n v="522.08000000000004"/>
    <n v="4.7619047620000003"/>
    <n v="26.103999999999999"/>
    <n v="6.3"/>
    <x v="1"/>
    <n v="3"/>
    <s v="High Value"/>
    <s v="High Value Order"/>
    <m/>
    <s v=""/>
    <m/>
    <m/>
    <m/>
  </r>
  <r>
    <x v="876"/>
    <x v="1"/>
    <x v="1"/>
    <s v="Member"/>
    <s v="Male"/>
    <x v="5"/>
    <n v="52.35"/>
    <n v="1"/>
    <n v="2.6175000000000002"/>
    <n v="54.967500000000001"/>
    <d v="2019-02-12T00:00:00"/>
    <d v="1899-12-30T17:49:00"/>
    <x v="1"/>
    <n v="52.35"/>
    <n v="4.7619047620000003"/>
    <n v="2.6175000000000002"/>
    <n v="4"/>
    <x v="2"/>
    <n v="2"/>
    <s v="Standard"/>
    <s v="Standard Order"/>
    <m/>
    <s v=""/>
    <m/>
    <m/>
    <m/>
  </r>
  <r>
    <x v="877"/>
    <x v="2"/>
    <x v="2"/>
    <s v="Member"/>
    <s v="Male"/>
    <x v="1"/>
    <n v="39.75"/>
    <n v="1"/>
    <n v="1.9875"/>
    <n v="41.737499999999997"/>
    <d v="2019-02-25T00:00:00"/>
    <d v="1899-12-30T20:19:00"/>
    <x v="1"/>
    <n v="39.75"/>
    <n v="4.7619047620000003"/>
    <n v="1.9875"/>
    <n v="6.1"/>
    <x v="2"/>
    <n v="2"/>
    <s v="Standard"/>
    <s v="Standard Order"/>
    <m/>
    <s v=""/>
    <m/>
    <m/>
    <m/>
  </r>
  <r>
    <x v="878"/>
    <x v="0"/>
    <x v="0"/>
    <s v="Normal"/>
    <s v="Female"/>
    <x v="1"/>
    <n v="90.02"/>
    <n v="8"/>
    <n v="36.008000000000003"/>
    <n v="756.16800000000001"/>
    <d v="2019-03-21T00:00:00"/>
    <d v="1899-12-30T16:08:00"/>
    <x v="2"/>
    <n v="720.16"/>
    <n v="4.7619047620000003"/>
    <n v="36.008000000000003"/>
    <n v="4.5"/>
    <x v="1"/>
    <n v="3"/>
    <s v="High Value"/>
    <s v="High Value Order"/>
    <m/>
    <s v=""/>
    <m/>
    <m/>
    <m/>
  </r>
  <r>
    <x v="879"/>
    <x v="2"/>
    <x v="2"/>
    <s v="Member"/>
    <s v="Female"/>
    <x v="1"/>
    <n v="12.1"/>
    <n v="8"/>
    <n v="4.84"/>
    <n v="101.64"/>
    <d v="2019-01-19T00:00:00"/>
    <d v="1899-12-30T10:17:00"/>
    <x v="0"/>
    <n v="96.8"/>
    <n v="4.7619047620000003"/>
    <n v="4.84"/>
    <n v="8.6"/>
    <x v="0"/>
    <n v="1"/>
    <s v="Standard"/>
    <s v="Standard Order"/>
    <m/>
    <s v=""/>
    <m/>
    <m/>
    <m/>
  </r>
  <r>
    <x v="880"/>
    <x v="2"/>
    <x v="2"/>
    <s v="Member"/>
    <s v="Female"/>
    <x v="4"/>
    <n v="33.21"/>
    <n v="10"/>
    <n v="16.605"/>
    <n v="348.70499999999998"/>
    <d v="2019-01-08T00:00:00"/>
    <d v="1899-12-30T14:25:00"/>
    <x v="0"/>
    <n v="332.1"/>
    <n v="4.7619047620000003"/>
    <n v="16.605"/>
    <n v="6"/>
    <x v="0"/>
    <n v="1"/>
    <s v="Standard"/>
    <s v="Standard Order"/>
    <m/>
    <s v=""/>
    <m/>
    <m/>
    <m/>
  </r>
  <r>
    <x v="881"/>
    <x v="1"/>
    <x v="1"/>
    <s v="Member"/>
    <s v="Female"/>
    <x v="5"/>
    <n v="10.18"/>
    <n v="8"/>
    <n v="4.0720000000000001"/>
    <n v="85.512"/>
    <d v="2019-03-30T00:00:00"/>
    <d v="1899-12-30T12:51:00"/>
    <x v="2"/>
    <n v="81.44"/>
    <n v="4.7619047620000003"/>
    <n v="4.0720000000000001"/>
    <n v="9.5"/>
    <x v="1"/>
    <n v="3"/>
    <s v="Standard"/>
    <s v="Standard Order"/>
    <m/>
    <s v=""/>
    <m/>
    <m/>
    <m/>
  </r>
  <r>
    <x v="882"/>
    <x v="2"/>
    <x v="2"/>
    <s v="Member"/>
    <s v="Male"/>
    <x v="3"/>
    <n v="31.99"/>
    <n v="10"/>
    <n v="15.994999999999999"/>
    <n v="335.89499999999998"/>
    <d v="2019-02-20T00:00:00"/>
    <d v="1899-12-30T15:18:00"/>
    <x v="2"/>
    <n v="319.89999999999998"/>
    <n v="4.7619047620000003"/>
    <n v="15.994999999999999"/>
    <n v="9.9"/>
    <x v="2"/>
    <n v="2"/>
    <s v="Standard"/>
    <s v="Standard Order"/>
    <m/>
    <s v=""/>
    <m/>
    <m/>
    <m/>
  </r>
  <r>
    <x v="883"/>
    <x v="0"/>
    <x v="0"/>
    <s v="Member"/>
    <s v="Female"/>
    <x v="2"/>
    <n v="34.42"/>
    <n v="6"/>
    <n v="10.326000000000001"/>
    <n v="216.846"/>
    <d v="2019-03-30T00:00:00"/>
    <d v="1899-12-30T12:45:00"/>
    <x v="0"/>
    <n v="206.52"/>
    <n v="4.7619047620000003"/>
    <n v="10.326000000000001"/>
    <n v="7.5"/>
    <x v="1"/>
    <n v="3"/>
    <s v="Standard"/>
    <s v="Standard Order"/>
    <m/>
    <s v=""/>
    <m/>
    <m/>
    <m/>
  </r>
  <r>
    <x v="884"/>
    <x v="0"/>
    <x v="0"/>
    <s v="Member"/>
    <s v="Female"/>
    <x v="4"/>
    <n v="83.34"/>
    <n v="2"/>
    <n v="8.3339999999999996"/>
    <n v="175.01400000000001"/>
    <d v="2019-03-19T00:00:00"/>
    <d v="1899-12-30T13:37:00"/>
    <x v="1"/>
    <n v="166.68"/>
    <n v="4.7619047620000003"/>
    <n v="8.3339999999999996"/>
    <n v="7.6"/>
    <x v="1"/>
    <n v="3"/>
    <s v="Standard"/>
    <s v="Standard Order"/>
    <m/>
    <s v=""/>
    <m/>
    <m/>
    <m/>
  </r>
  <r>
    <x v="885"/>
    <x v="0"/>
    <x v="0"/>
    <s v="Normal"/>
    <s v="Male"/>
    <x v="3"/>
    <n v="45.58"/>
    <n v="7"/>
    <n v="15.952999999999999"/>
    <n v="335.01299999999998"/>
    <d v="2019-01-13T00:00:00"/>
    <d v="1899-12-30T10:03:00"/>
    <x v="1"/>
    <n v="319.06"/>
    <n v="4.7619047620000003"/>
    <n v="15.952999999999999"/>
    <n v="5"/>
    <x v="0"/>
    <n v="1"/>
    <s v="Standard"/>
    <s v="Standard Order"/>
    <m/>
    <s v=""/>
    <m/>
    <m/>
    <m/>
  </r>
  <r>
    <x v="886"/>
    <x v="0"/>
    <x v="0"/>
    <s v="Member"/>
    <s v="Male"/>
    <x v="4"/>
    <n v="87.9"/>
    <n v="1"/>
    <n v="4.3949999999999996"/>
    <n v="92.295000000000002"/>
    <d v="2019-02-05T00:00:00"/>
    <d v="1899-12-30T19:42:00"/>
    <x v="0"/>
    <n v="87.9"/>
    <n v="4.7619047620000003"/>
    <n v="4.3949999999999996"/>
    <n v="6.7"/>
    <x v="2"/>
    <n v="2"/>
    <s v="Standard"/>
    <s v="Standard Order"/>
    <m/>
    <s v=""/>
    <m/>
    <m/>
    <m/>
  </r>
  <r>
    <x v="887"/>
    <x v="0"/>
    <x v="0"/>
    <s v="Member"/>
    <s v="Female"/>
    <x v="1"/>
    <n v="73.47"/>
    <n v="10"/>
    <n v="36.734999999999999"/>
    <n v="771.43499999999995"/>
    <d v="2019-03-23T00:00:00"/>
    <d v="1899-12-30T13:14:00"/>
    <x v="0"/>
    <n v="734.7"/>
    <n v="4.7619047620000003"/>
    <n v="36.734999999999999"/>
    <n v="9.5"/>
    <x v="1"/>
    <n v="3"/>
    <s v="High Value"/>
    <s v="High Value Order"/>
    <m/>
    <s v=""/>
    <m/>
    <m/>
    <m/>
  </r>
  <r>
    <x v="888"/>
    <x v="1"/>
    <x v="1"/>
    <s v="Normal"/>
    <s v="Female"/>
    <x v="5"/>
    <n v="12.19"/>
    <n v="8"/>
    <n v="4.8760000000000003"/>
    <n v="102.396"/>
    <d v="2019-03-13T00:00:00"/>
    <d v="1899-12-30T12:47:00"/>
    <x v="0"/>
    <n v="97.52"/>
    <n v="4.7619047620000003"/>
    <n v="4.8760000000000003"/>
    <n v="6.8"/>
    <x v="1"/>
    <n v="3"/>
    <s v="Standard"/>
    <s v="Standard Order"/>
    <m/>
    <s v=""/>
    <m/>
    <m/>
    <m/>
  </r>
  <r>
    <x v="889"/>
    <x v="0"/>
    <x v="0"/>
    <s v="Member"/>
    <s v="Male"/>
    <x v="3"/>
    <n v="76.92"/>
    <n v="10"/>
    <n v="38.46"/>
    <n v="807.66"/>
    <d v="2019-03-17T00:00:00"/>
    <d v="1899-12-30T19:53:00"/>
    <x v="0"/>
    <n v="769.2"/>
    <n v="4.7619047620000003"/>
    <n v="38.46"/>
    <n v="5.6"/>
    <x v="1"/>
    <n v="3"/>
    <s v="High Value"/>
    <s v="High Value Order"/>
    <m/>
    <s v=""/>
    <m/>
    <m/>
    <m/>
  </r>
  <r>
    <x v="890"/>
    <x v="1"/>
    <x v="1"/>
    <s v="Normal"/>
    <s v="Female"/>
    <x v="0"/>
    <n v="83.66"/>
    <n v="5"/>
    <n v="20.914999999999999"/>
    <n v="439.21499999999997"/>
    <d v="2019-02-21T00:00:00"/>
    <d v="1899-12-30T10:26:00"/>
    <x v="1"/>
    <n v="418.3"/>
    <n v="4.7619047620000003"/>
    <n v="20.914999999999999"/>
    <n v="7.2"/>
    <x v="2"/>
    <n v="2"/>
    <s v="Standard"/>
    <s v="Standard Order"/>
    <m/>
    <s v=""/>
    <m/>
    <m/>
    <m/>
  </r>
  <r>
    <x v="891"/>
    <x v="2"/>
    <x v="2"/>
    <s v="Normal"/>
    <s v="Female"/>
    <x v="1"/>
    <n v="57.91"/>
    <n v="8"/>
    <n v="23.164000000000001"/>
    <n v="486.44400000000002"/>
    <d v="2019-02-07T00:00:00"/>
    <d v="1899-12-30T15:06:00"/>
    <x v="1"/>
    <n v="463.28"/>
    <n v="4.7619047620000003"/>
    <n v="23.164000000000001"/>
    <n v="8.1"/>
    <x v="2"/>
    <n v="2"/>
    <s v="Standard"/>
    <s v="Standard Order"/>
    <m/>
    <s v=""/>
    <m/>
    <m/>
    <m/>
  </r>
  <r>
    <x v="892"/>
    <x v="1"/>
    <x v="1"/>
    <s v="Member"/>
    <s v="Female"/>
    <x v="5"/>
    <n v="92.49"/>
    <n v="5"/>
    <n v="23.122499999999999"/>
    <n v="485.57249999999999"/>
    <d v="2019-03-02T00:00:00"/>
    <d v="1899-12-30T16:35:00"/>
    <x v="2"/>
    <n v="462.45"/>
    <n v="4.7619047620000003"/>
    <n v="23.122499999999999"/>
    <n v="8.6"/>
    <x v="1"/>
    <n v="3"/>
    <s v="Standard"/>
    <s v="Standard Order"/>
    <m/>
    <s v=""/>
    <m/>
    <m/>
    <m/>
  </r>
  <r>
    <x v="893"/>
    <x v="2"/>
    <x v="2"/>
    <s v="Normal"/>
    <s v="Male"/>
    <x v="1"/>
    <n v="28.38"/>
    <n v="5"/>
    <n v="7.0949999999999998"/>
    <n v="148.995"/>
    <d v="2019-03-06T00:00:00"/>
    <d v="1899-12-30T20:57:00"/>
    <x v="1"/>
    <n v="141.9"/>
    <n v="4.7619047620000003"/>
    <n v="7.0949999999999998"/>
    <n v="9.4"/>
    <x v="1"/>
    <n v="3"/>
    <s v="Standard"/>
    <s v="Standard Order"/>
    <m/>
    <s v=""/>
    <m/>
    <m/>
    <m/>
  </r>
  <r>
    <x v="894"/>
    <x v="2"/>
    <x v="2"/>
    <s v="Member"/>
    <s v="Male"/>
    <x v="1"/>
    <n v="50.45"/>
    <n v="6"/>
    <n v="15.135"/>
    <n v="317.83499999999998"/>
    <d v="2019-02-06T00:00:00"/>
    <d v="1899-12-30T15:16:00"/>
    <x v="2"/>
    <n v="302.7"/>
    <n v="4.7619047620000003"/>
    <n v="15.135"/>
    <n v="8.9"/>
    <x v="2"/>
    <n v="2"/>
    <s v="Standard"/>
    <s v="Standard Order"/>
    <m/>
    <s v=""/>
    <m/>
    <m/>
    <m/>
  </r>
  <r>
    <x v="895"/>
    <x v="2"/>
    <x v="2"/>
    <s v="Normal"/>
    <s v="Male"/>
    <x v="0"/>
    <n v="99.16"/>
    <n v="8"/>
    <n v="39.664000000000001"/>
    <n v="832.94399999999996"/>
    <d v="2019-01-28T00:00:00"/>
    <d v="1899-12-30T17:47:00"/>
    <x v="2"/>
    <n v="793.28"/>
    <n v="4.7619047620000003"/>
    <n v="39.664000000000001"/>
    <n v="4.2"/>
    <x v="0"/>
    <n v="1"/>
    <s v="High Value"/>
    <s v="High Value Order"/>
    <m/>
    <s v=""/>
    <m/>
    <m/>
    <m/>
  </r>
  <r>
    <x v="896"/>
    <x v="1"/>
    <x v="1"/>
    <s v="Normal"/>
    <s v="Male"/>
    <x v="5"/>
    <n v="60.74"/>
    <n v="7"/>
    <n v="21.259"/>
    <n v="446.43900000000002"/>
    <d v="2019-01-18T00:00:00"/>
    <d v="1899-12-30T16:23:00"/>
    <x v="0"/>
    <n v="425.18"/>
    <n v="4.7619047620000003"/>
    <n v="21.259"/>
    <n v="5"/>
    <x v="0"/>
    <n v="1"/>
    <s v="Standard"/>
    <s v="Standard Order"/>
    <m/>
    <s v=""/>
    <m/>
    <m/>
    <m/>
  </r>
  <r>
    <x v="897"/>
    <x v="1"/>
    <x v="1"/>
    <s v="Member"/>
    <s v="Female"/>
    <x v="4"/>
    <n v="47.27"/>
    <n v="6"/>
    <n v="14.180999999999999"/>
    <n v="297.80099999999999"/>
    <d v="2019-02-05T00:00:00"/>
    <d v="1899-12-30T10:17:00"/>
    <x v="1"/>
    <n v="283.62"/>
    <n v="4.7619047620000003"/>
    <n v="14.180999999999999"/>
    <n v="8.8000000000000007"/>
    <x v="2"/>
    <n v="2"/>
    <s v="Standard"/>
    <s v="Standard Order"/>
    <m/>
    <s v=""/>
    <m/>
    <m/>
    <m/>
  </r>
  <r>
    <x v="898"/>
    <x v="1"/>
    <x v="1"/>
    <s v="Member"/>
    <s v="Male"/>
    <x v="0"/>
    <n v="85.6"/>
    <n v="7"/>
    <n v="29.96"/>
    <n v="629.16"/>
    <d v="2019-03-02T00:00:00"/>
    <d v="1899-12-30T13:50:00"/>
    <x v="1"/>
    <n v="599.20000000000005"/>
    <n v="4.7619047620000003"/>
    <n v="29.96"/>
    <n v="5.3"/>
    <x v="1"/>
    <n v="3"/>
    <s v="High Value"/>
    <s v="High Value Order"/>
    <m/>
    <s v=""/>
    <m/>
    <m/>
    <m/>
  </r>
  <r>
    <x v="899"/>
    <x v="0"/>
    <x v="0"/>
    <s v="Member"/>
    <s v="Male"/>
    <x v="4"/>
    <n v="35.04"/>
    <n v="9"/>
    <n v="15.768000000000001"/>
    <n v="331.12799999999999"/>
    <d v="2019-02-09T00:00:00"/>
    <d v="1899-12-30T19:17:00"/>
    <x v="0"/>
    <n v="315.36"/>
    <n v="4.7619047620000003"/>
    <n v="15.768000000000001"/>
    <n v="4.5999999999999996"/>
    <x v="2"/>
    <n v="2"/>
    <s v="Standard"/>
    <s v="Standard Order"/>
    <m/>
    <s v=""/>
    <m/>
    <m/>
    <m/>
  </r>
  <r>
    <x v="900"/>
    <x v="1"/>
    <x v="1"/>
    <s v="Member"/>
    <s v="Female"/>
    <x v="1"/>
    <n v="44.84"/>
    <n v="9"/>
    <n v="20.178000000000001"/>
    <n v="423.738"/>
    <d v="2019-01-14T00:00:00"/>
    <d v="1899-12-30T14:00:00"/>
    <x v="2"/>
    <n v="403.56"/>
    <n v="4.7619047620000003"/>
    <n v="20.178000000000001"/>
    <n v="7.5"/>
    <x v="0"/>
    <n v="1"/>
    <s v="Standard"/>
    <s v="Standard Order"/>
    <m/>
    <s v=""/>
    <m/>
    <m/>
    <m/>
  </r>
  <r>
    <x v="901"/>
    <x v="2"/>
    <x v="2"/>
    <s v="Normal"/>
    <s v="Male"/>
    <x v="2"/>
    <n v="45.97"/>
    <n v="4"/>
    <n v="9.1940000000000008"/>
    <n v="193.07400000000001"/>
    <d v="2019-02-09T00:00:00"/>
    <d v="1899-12-30T12:02:00"/>
    <x v="0"/>
    <n v="183.88"/>
    <n v="4.7619047620000003"/>
    <n v="9.1940000000000008"/>
    <n v="5.0999999999999996"/>
    <x v="2"/>
    <n v="2"/>
    <s v="Standard"/>
    <s v="Standard Order"/>
    <m/>
    <s v=""/>
    <m/>
    <m/>
    <m/>
  </r>
  <r>
    <x v="902"/>
    <x v="0"/>
    <x v="0"/>
    <s v="Member"/>
    <s v="Female"/>
    <x v="0"/>
    <n v="27.73"/>
    <n v="5"/>
    <n v="6.9325000000000001"/>
    <n v="145.58250000000001"/>
    <d v="2019-03-26T00:00:00"/>
    <d v="1899-12-30T20:21:00"/>
    <x v="2"/>
    <n v="138.65"/>
    <n v="4.7619047620000003"/>
    <n v="6.9325000000000001"/>
    <n v="4.2"/>
    <x v="1"/>
    <n v="3"/>
    <s v="Standard"/>
    <s v="Standard Order"/>
    <m/>
    <s v=""/>
    <m/>
    <m/>
    <m/>
  </r>
  <r>
    <x v="903"/>
    <x v="0"/>
    <x v="0"/>
    <s v="Normal"/>
    <s v="Male"/>
    <x v="4"/>
    <n v="11.53"/>
    <n v="7"/>
    <n v="4.0354999999999999"/>
    <n v="84.745500000000007"/>
    <d v="2019-01-28T00:00:00"/>
    <d v="1899-12-30T17:35:00"/>
    <x v="1"/>
    <n v="80.709999999999994"/>
    <n v="4.7619047620000003"/>
    <n v="4.0354999999999999"/>
    <n v="8.1"/>
    <x v="0"/>
    <n v="1"/>
    <s v="Standard"/>
    <s v="Standard Order"/>
    <m/>
    <s v=""/>
    <m/>
    <m/>
    <m/>
  </r>
  <r>
    <x v="904"/>
    <x v="1"/>
    <x v="1"/>
    <s v="Normal"/>
    <s v="Female"/>
    <x v="0"/>
    <n v="58.32"/>
    <n v="2"/>
    <n v="5.8319999999999999"/>
    <n v="122.47199999999999"/>
    <d v="2019-02-14T00:00:00"/>
    <d v="1899-12-30T12:42:00"/>
    <x v="0"/>
    <n v="116.64"/>
    <n v="4.7619047620000003"/>
    <n v="5.8319999999999999"/>
    <n v="6"/>
    <x v="2"/>
    <n v="2"/>
    <s v="Standard"/>
    <s v="Standard Order"/>
    <m/>
    <s v=""/>
    <m/>
    <m/>
    <m/>
  </r>
  <r>
    <x v="905"/>
    <x v="1"/>
    <x v="1"/>
    <s v="Member"/>
    <s v="Female"/>
    <x v="2"/>
    <n v="78.38"/>
    <n v="4"/>
    <n v="15.676"/>
    <n v="329.19600000000003"/>
    <d v="2019-03-24T00:00:00"/>
    <d v="1899-12-30T17:56:00"/>
    <x v="1"/>
    <n v="313.52"/>
    <n v="4.7619047620000003"/>
    <n v="15.676"/>
    <n v="7.9"/>
    <x v="1"/>
    <n v="3"/>
    <s v="Standard"/>
    <s v="Standard Order"/>
    <m/>
    <s v=""/>
    <m/>
    <m/>
    <m/>
  </r>
  <r>
    <x v="906"/>
    <x v="1"/>
    <x v="1"/>
    <s v="Normal"/>
    <s v="Male"/>
    <x v="0"/>
    <n v="84.61"/>
    <n v="10"/>
    <n v="42.305"/>
    <n v="888.40499999999997"/>
    <d v="2019-02-09T00:00:00"/>
    <d v="1899-12-30T18:58:00"/>
    <x v="2"/>
    <n v="846.1"/>
    <n v="4.7619047620000003"/>
    <n v="42.305"/>
    <n v="8.8000000000000007"/>
    <x v="2"/>
    <n v="2"/>
    <s v="High Value"/>
    <s v="High Value Order"/>
    <m/>
    <s v=""/>
    <m/>
    <m/>
    <m/>
  </r>
  <r>
    <x v="907"/>
    <x v="2"/>
    <x v="2"/>
    <s v="Normal"/>
    <s v="Female"/>
    <x v="0"/>
    <n v="82.88"/>
    <n v="5"/>
    <n v="20.72"/>
    <n v="435.12"/>
    <d v="2019-03-24T00:00:00"/>
    <d v="1899-12-30T14:08:00"/>
    <x v="2"/>
    <n v="414.4"/>
    <n v="4.7619047620000003"/>
    <n v="20.72"/>
    <n v="6.6"/>
    <x v="1"/>
    <n v="3"/>
    <s v="Standard"/>
    <s v="Standard Order"/>
    <m/>
    <s v=""/>
    <m/>
    <m/>
    <m/>
  </r>
  <r>
    <x v="908"/>
    <x v="0"/>
    <x v="0"/>
    <s v="Member"/>
    <s v="Female"/>
    <x v="4"/>
    <n v="79.540000000000006"/>
    <n v="2"/>
    <n v="7.9539999999999997"/>
    <n v="167.03399999999999"/>
    <d v="2019-03-27T00:00:00"/>
    <d v="1899-12-30T16:30:00"/>
    <x v="0"/>
    <n v="159.08000000000001"/>
    <n v="4.7619047620000003"/>
    <n v="7.9539999999999997"/>
    <n v="6.2"/>
    <x v="1"/>
    <n v="3"/>
    <s v="Standard"/>
    <s v="Standard Order"/>
    <m/>
    <s v=""/>
    <m/>
    <m/>
    <m/>
  </r>
  <r>
    <x v="909"/>
    <x v="2"/>
    <x v="2"/>
    <s v="Normal"/>
    <s v="Female"/>
    <x v="2"/>
    <n v="49.01"/>
    <n v="10"/>
    <n v="24.504999999999999"/>
    <n v="514.60500000000002"/>
    <d v="2019-01-27T00:00:00"/>
    <d v="1899-12-30T10:44:00"/>
    <x v="2"/>
    <n v="490.1"/>
    <n v="4.7619047620000003"/>
    <n v="24.504999999999999"/>
    <n v="4.2"/>
    <x v="0"/>
    <n v="1"/>
    <s v="High Value"/>
    <s v="High Value Order"/>
    <m/>
    <s v=""/>
    <m/>
    <m/>
    <m/>
  </r>
  <r>
    <x v="910"/>
    <x v="2"/>
    <x v="2"/>
    <s v="Member"/>
    <s v="Female"/>
    <x v="4"/>
    <n v="29.15"/>
    <n v="3"/>
    <n v="4.3724999999999996"/>
    <n v="91.822500000000005"/>
    <d v="2019-03-27T00:00:00"/>
    <d v="1899-12-30T20:29:00"/>
    <x v="2"/>
    <n v="87.45"/>
    <n v="4.7619047620000003"/>
    <n v="4.3724999999999996"/>
    <n v="7.3"/>
    <x v="1"/>
    <n v="3"/>
    <s v="Standard"/>
    <s v="Standard Order"/>
    <m/>
    <s v=""/>
    <m/>
    <m/>
    <m/>
  </r>
  <r>
    <x v="911"/>
    <x v="1"/>
    <x v="1"/>
    <s v="Normal"/>
    <s v="Female"/>
    <x v="1"/>
    <n v="56.13"/>
    <n v="4"/>
    <n v="11.226000000000001"/>
    <n v="235.74600000000001"/>
    <d v="2019-01-19T00:00:00"/>
    <d v="1899-12-30T11:43:00"/>
    <x v="0"/>
    <n v="224.52"/>
    <n v="4.7619047620000003"/>
    <n v="11.226000000000001"/>
    <n v="8.6"/>
    <x v="0"/>
    <n v="1"/>
    <s v="Standard"/>
    <s v="Standard Order"/>
    <m/>
    <s v=""/>
    <m/>
    <m/>
    <m/>
  </r>
  <r>
    <x v="912"/>
    <x v="0"/>
    <x v="0"/>
    <s v="Normal"/>
    <s v="Female"/>
    <x v="2"/>
    <n v="93.12"/>
    <n v="8"/>
    <n v="37.247999999999998"/>
    <n v="782.20799999999997"/>
    <d v="2019-02-07T00:00:00"/>
    <d v="1899-12-30T10:09:00"/>
    <x v="1"/>
    <n v="744.96"/>
    <n v="4.7619047620000003"/>
    <n v="37.247999999999998"/>
    <n v="6.8"/>
    <x v="2"/>
    <n v="2"/>
    <s v="High Value"/>
    <s v="High Value Order"/>
    <m/>
    <s v=""/>
    <m/>
    <m/>
    <m/>
  </r>
  <r>
    <x v="913"/>
    <x v="0"/>
    <x v="0"/>
    <s v="Member"/>
    <s v="Male"/>
    <x v="5"/>
    <n v="51.34"/>
    <n v="8"/>
    <n v="20.536000000000001"/>
    <n v="431.25599999999997"/>
    <d v="2019-01-31T00:00:00"/>
    <d v="1899-12-30T10:00:00"/>
    <x v="0"/>
    <n v="410.72"/>
    <n v="4.7619047620000003"/>
    <n v="20.536000000000001"/>
    <n v="7.6"/>
    <x v="0"/>
    <n v="1"/>
    <s v="Standard"/>
    <s v="Standard Order"/>
    <m/>
    <s v=""/>
    <m/>
    <m/>
    <m/>
  </r>
  <r>
    <x v="914"/>
    <x v="0"/>
    <x v="0"/>
    <s v="Member"/>
    <s v="Female"/>
    <x v="4"/>
    <n v="99.6"/>
    <n v="3"/>
    <n v="14.94"/>
    <n v="313.74"/>
    <d v="2019-02-25T00:00:00"/>
    <d v="1899-12-30T18:45:00"/>
    <x v="1"/>
    <n v="298.8"/>
    <n v="4.7619047620000003"/>
    <n v="14.94"/>
    <n v="5.8"/>
    <x v="2"/>
    <n v="2"/>
    <s v="Standard"/>
    <s v="Standard Order"/>
    <m/>
    <s v=""/>
    <m/>
    <m/>
    <m/>
  </r>
  <r>
    <x v="915"/>
    <x v="1"/>
    <x v="1"/>
    <s v="Normal"/>
    <s v="Female"/>
    <x v="1"/>
    <n v="35.49"/>
    <n v="6"/>
    <n v="10.647"/>
    <n v="223.58699999999999"/>
    <d v="2019-02-02T00:00:00"/>
    <d v="1899-12-30T12:40:00"/>
    <x v="1"/>
    <n v="212.94"/>
    <n v="4.7619047620000003"/>
    <n v="10.647"/>
    <n v="4.0999999999999996"/>
    <x v="2"/>
    <n v="2"/>
    <s v="Standard"/>
    <s v="Standard Order"/>
    <m/>
    <s v=""/>
    <m/>
    <m/>
    <m/>
  </r>
  <r>
    <x v="916"/>
    <x v="1"/>
    <x v="1"/>
    <s v="Member"/>
    <s v="Male"/>
    <x v="3"/>
    <n v="42.85"/>
    <n v="1"/>
    <n v="2.1425000000000001"/>
    <n v="44.9925"/>
    <d v="2019-03-14T00:00:00"/>
    <d v="1899-12-30T15:36:00"/>
    <x v="2"/>
    <n v="42.85"/>
    <n v="4.7619047620000003"/>
    <n v="2.1425000000000001"/>
    <n v="9.3000000000000007"/>
    <x v="1"/>
    <n v="3"/>
    <s v="Standard"/>
    <s v="Standard Order"/>
    <m/>
    <s v=""/>
    <m/>
    <m/>
    <m/>
  </r>
  <r>
    <x v="917"/>
    <x v="0"/>
    <x v="0"/>
    <s v="Normal"/>
    <s v="Female"/>
    <x v="5"/>
    <n v="94.67"/>
    <n v="4"/>
    <n v="18.934000000000001"/>
    <n v="397.61399999999998"/>
    <d v="2019-03-11T00:00:00"/>
    <d v="1899-12-30T12:04:00"/>
    <x v="1"/>
    <n v="378.68"/>
    <n v="4.7619047620000003"/>
    <n v="18.934000000000001"/>
    <n v="6.8"/>
    <x v="1"/>
    <n v="3"/>
    <s v="Standard"/>
    <s v="Standard Order"/>
    <m/>
    <s v=""/>
    <m/>
    <m/>
    <m/>
  </r>
  <r>
    <x v="918"/>
    <x v="2"/>
    <x v="2"/>
    <s v="Normal"/>
    <s v="Male"/>
    <x v="2"/>
    <n v="68.97"/>
    <n v="3"/>
    <n v="10.345499999999999"/>
    <n v="217.25550000000001"/>
    <d v="2019-02-22T00:00:00"/>
    <d v="1899-12-30T11:26:00"/>
    <x v="0"/>
    <n v="206.91"/>
    <n v="4.7619047620000003"/>
    <n v="10.345499999999999"/>
    <n v="8.6999999999999993"/>
    <x v="2"/>
    <n v="2"/>
    <s v="Standard"/>
    <s v="Standard Order"/>
    <m/>
    <s v=""/>
    <m/>
    <m/>
    <m/>
  </r>
  <r>
    <x v="919"/>
    <x v="2"/>
    <x v="2"/>
    <s v="Member"/>
    <s v="Female"/>
    <x v="1"/>
    <n v="26.26"/>
    <n v="3"/>
    <n v="3.9390000000000001"/>
    <n v="82.718999999999994"/>
    <d v="2019-03-02T00:00:00"/>
    <d v="1899-12-30T12:36:00"/>
    <x v="0"/>
    <n v="78.78"/>
    <n v="4.7619047620000003"/>
    <n v="3.9390000000000001"/>
    <n v="6.3"/>
    <x v="1"/>
    <n v="3"/>
    <s v="Standard"/>
    <s v="Standard Order"/>
    <m/>
    <s v=""/>
    <m/>
    <m/>
    <m/>
  </r>
  <r>
    <x v="920"/>
    <x v="1"/>
    <x v="1"/>
    <s v="Member"/>
    <s v="Female"/>
    <x v="2"/>
    <n v="35.79"/>
    <n v="9"/>
    <n v="16.105499999999999"/>
    <n v="338.21550000000002"/>
    <d v="2019-03-10T00:00:00"/>
    <d v="1899-12-30T15:06:00"/>
    <x v="2"/>
    <n v="322.11"/>
    <n v="4.7619047620000003"/>
    <n v="16.105499999999999"/>
    <n v="5.0999999999999996"/>
    <x v="1"/>
    <n v="3"/>
    <s v="Standard"/>
    <s v="Standard Order"/>
    <m/>
    <s v=""/>
    <m/>
    <m/>
    <m/>
  </r>
  <r>
    <x v="921"/>
    <x v="2"/>
    <x v="2"/>
    <s v="Normal"/>
    <s v="Female"/>
    <x v="2"/>
    <n v="16.37"/>
    <n v="6"/>
    <n v="4.9109999999999996"/>
    <n v="103.131"/>
    <d v="2019-02-08T00:00:00"/>
    <d v="1899-12-30T10:58:00"/>
    <x v="1"/>
    <n v="98.22"/>
    <n v="4.7619047620000003"/>
    <n v="4.9109999999999996"/>
    <n v="7"/>
    <x v="2"/>
    <n v="2"/>
    <s v="Standard"/>
    <s v="Standard Order"/>
    <m/>
    <s v=""/>
    <m/>
    <m/>
    <m/>
  </r>
  <r>
    <x v="922"/>
    <x v="1"/>
    <x v="1"/>
    <s v="Member"/>
    <s v="Female"/>
    <x v="2"/>
    <n v="12.73"/>
    <n v="2"/>
    <n v="1.2729999999999999"/>
    <n v="26.733000000000001"/>
    <d v="2019-02-22T00:00:00"/>
    <d v="1899-12-30T12:10:00"/>
    <x v="2"/>
    <n v="25.46"/>
    <n v="4.7619047620000003"/>
    <n v="1.2729999999999999"/>
    <n v="5.2"/>
    <x v="2"/>
    <n v="2"/>
    <s v="Standard"/>
    <s v="Standard Order"/>
    <m/>
    <s v=""/>
    <m/>
    <m/>
    <m/>
  </r>
  <r>
    <x v="923"/>
    <x v="1"/>
    <x v="1"/>
    <s v="Normal"/>
    <s v="Female"/>
    <x v="3"/>
    <n v="83.14"/>
    <n v="7"/>
    <n v="29.099"/>
    <n v="611.07899999999995"/>
    <d v="2019-01-10T00:00:00"/>
    <d v="1899-12-30T10:31:00"/>
    <x v="2"/>
    <n v="581.98"/>
    <n v="4.7619047620000003"/>
    <n v="29.099"/>
    <n v="6.6"/>
    <x v="0"/>
    <n v="1"/>
    <s v="High Value"/>
    <s v="High Value Order"/>
    <m/>
    <s v=""/>
    <m/>
    <m/>
    <m/>
  </r>
  <r>
    <x v="924"/>
    <x v="1"/>
    <x v="1"/>
    <s v="Member"/>
    <s v="Female"/>
    <x v="3"/>
    <n v="35.22"/>
    <n v="6"/>
    <n v="10.566000000000001"/>
    <n v="221.886"/>
    <d v="2019-03-14T00:00:00"/>
    <d v="1899-12-30T13:49:00"/>
    <x v="0"/>
    <n v="211.32"/>
    <n v="4.7619047620000003"/>
    <n v="10.566000000000001"/>
    <n v="6.5"/>
    <x v="1"/>
    <n v="3"/>
    <s v="Standard"/>
    <s v="Standard Order"/>
    <m/>
    <s v=""/>
    <m/>
    <m/>
    <m/>
  </r>
  <r>
    <x v="925"/>
    <x v="2"/>
    <x v="2"/>
    <s v="Normal"/>
    <s v="Female"/>
    <x v="1"/>
    <n v="13.78"/>
    <n v="4"/>
    <n v="2.7559999999999998"/>
    <n v="57.875999999999998"/>
    <d v="2019-01-10T00:00:00"/>
    <d v="1899-12-30T11:10:00"/>
    <x v="0"/>
    <n v="55.12"/>
    <n v="4.7619047620000003"/>
    <n v="2.7559999999999998"/>
    <n v="9"/>
    <x v="0"/>
    <n v="1"/>
    <s v="Standard"/>
    <s v="Standard Order"/>
    <m/>
    <s v=""/>
    <m/>
    <m/>
    <m/>
  </r>
  <r>
    <x v="926"/>
    <x v="2"/>
    <x v="2"/>
    <s v="Member"/>
    <s v="Male"/>
    <x v="3"/>
    <n v="88.31"/>
    <n v="1"/>
    <n v="4.4154999999999998"/>
    <n v="92.725499999999997"/>
    <d v="2019-02-15T00:00:00"/>
    <d v="1899-12-30T17:38:00"/>
    <x v="2"/>
    <n v="88.31"/>
    <n v="4.7619047620000003"/>
    <n v="4.4154999999999998"/>
    <n v="5.2"/>
    <x v="2"/>
    <n v="2"/>
    <s v="Standard"/>
    <s v="Standard Order"/>
    <m/>
    <s v=""/>
    <m/>
    <m/>
    <m/>
  </r>
  <r>
    <x v="927"/>
    <x v="0"/>
    <x v="0"/>
    <s v="Member"/>
    <s v="Female"/>
    <x v="0"/>
    <n v="39.619999999999997"/>
    <n v="9"/>
    <n v="17.829000000000001"/>
    <n v="374.40899999999999"/>
    <d v="2019-01-13T00:00:00"/>
    <d v="1899-12-30T17:54:00"/>
    <x v="2"/>
    <n v="356.58"/>
    <n v="4.7619047620000003"/>
    <n v="17.829000000000001"/>
    <n v="6.8"/>
    <x v="0"/>
    <n v="1"/>
    <s v="Standard"/>
    <s v="Standard Order"/>
    <m/>
    <s v=""/>
    <m/>
    <m/>
    <m/>
  </r>
  <r>
    <x v="928"/>
    <x v="2"/>
    <x v="2"/>
    <s v="Normal"/>
    <s v="Female"/>
    <x v="1"/>
    <n v="88.25"/>
    <n v="9"/>
    <n v="39.712499999999999"/>
    <n v="833.96249999999998"/>
    <d v="2019-02-15T00:00:00"/>
    <d v="1899-12-30T20:51:00"/>
    <x v="2"/>
    <n v="794.25"/>
    <n v="4.7619047620000003"/>
    <n v="39.712499999999999"/>
    <n v="7.6"/>
    <x v="2"/>
    <n v="2"/>
    <s v="High Value"/>
    <s v="High Value Order"/>
    <m/>
    <s v=""/>
    <m/>
    <m/>
    <m/>
  </r>
  <r>
    <x v="929"/>
    <x v="2"/>
    <x v="2"/>
    <s v="Normal"/>
    <s v="Male"/>
    <x v="3"/>
    <n v="25.31"/>
    <n v="2"/>
    <n v="2.5310000000000001"/>
    <n v="53.151000000000003"/>
    <d v="2019-03-02T00:00:00"/>
    <d v="1899-12-30T19:26:00"/>
    <x v="0"/>
    <n v="50.62"/>
    <n v="4.7619047620000003"/>
    <n v="2.5310000000000001"/>
    <n v="7.2"/>
    <x v="1"/>
    <n v="3"/>
    <s v="Standard"/>
    <s v="Standard Order"/>
    <m/>
    <s v=""/>
    <m/>
    <m/>
    <m/>
  </r>
  <r>
    <x v="930"/>
    <x v="2"/>
    <x v="2"/>
    <s v="Normal"/>
    <s v="Male"/>
    <x v="2"/>
    <n v="99.92"/>
    <n v="6"/>
    <n v="29.975999999999999"/>
    <n v="629.49599999999998"/>
    <d v="2019-03-24T00:00:00"/>
    <d v="1899-12-30T13:33:00"/>
    <x v="0"/>
    <n v="599.52"/>
    <n v="4.7619047620000003"/>
    <n v="29.975999999999999"/>
    <n v="7.1"/>
    <x v="1"/>
    <n v="3"/>
    <s v="High Value"/>
    <s v="High Value Order"/>
    <m/>
    <s v=""/>
    <m/>
    <m/>
    <m/>
  </r>
  <r>
    <x v="931"/>
    <x v="1"/>
    <x v="1"/>
    <s v="Member"/>
    <s v="Female"/>
    <x v="5"/>
    <n v="83.35"/>
    <n v="2"/>
    <n v="8.3350000000000009"/>
    <n v="175.035"/>
    <d v="2019-02-02T00:00:00"/>
    <d v="1899-12-30T14:05:00"/>
    <x v="2"/>
    <n v="166.7"/>
    <n v="4.7619047620000003"/>
    <n v="8.3350000000000009"/>
    <n v="9.5"/>
    <x v="2"/>
    <n v="2"/>
    <s v="Standard"/>
    <s v="Standard Order"/>
    <m/>
    <s v=""/>
    <m/>
    <m/>
    <m/>
  </r>
  <r>
    <x v="932"/>
    <x v="0"/>
    <x v="0"/>
    <s v="Normal"/>
    <s v="Female"/>
    <x v="4"/>
    <n v="74.44"/>
    <n v="10"/>
    <n v="37.22"/>
    <n v="781.62"/>
    <d v="2019-02-27T00:00:00"/>
    <d v="1899-12-30T11:40:00"/>
    <x v="0"/>
    <n v="744.4"/>
    <n v="4.7619047620000003"/>
    <n v="37.22"/>
    <n v="5.0999999999999996"/>
    <x v="2"/>
    <n v="2"/>
    <s v="High Value"/>
    <s v="High Value Order"/>
    <m/>
    <s v=""/>
    <m/>
    <m/>
    <m/>
  </r>
  <r>
    <x v="933"/>
    <x v="1"/>
    <x v="1"/>
    <s v="Normal"/>
    <s v="Male"/>
    <x v="0"/>
    <n v="64.08"/>
    <n v="7"/>
    <n v="22.428000000000001"/>
    <n v="470.988"/>
    <d v="2019-01-20T00:00:00"/>
    <d v="1899-12-30T12:27:00"/>
    <x v="0"/>
    <n v="448.56"/>
    <n v="4.7619047620000003"/>
    <n v="22.428000000000001"/>
    <n v="7.6"/>
    <x v="0"/>
    <n v="1"/>
    <s v="Standard"/>
    <s v="Standard Order"/>
    <m/>
    <s v=""/>
    <m/>
    <m/>
    <m/>
  </r>
  <r>
    <x v="934"/>
    <x v="2"/>
    <x v="2"/>
    <s v="Normal"/>
    <s v="Female"/>
    <x v="2"/>
    <n v="63.15"/>
    <n v="6"/>
    <n v="18.945"/>
    <n v="397.84500000000003"/>
    <d v="2019-01-03T00:00:00"/>
    <d v="1899-12-30T20:24:00"/>
    <x v="0"/>
    <n v="378.9"/>
    <n v="4.7619047620000003"/>
    <n v="18.945"/>
    <n v="9.8000000000000007"/>
    <x v="0"/>
    <n v="1"/>
    <s v="Standard"/>
    <s v="Standard Order"/>
    <m/>
    <s v=""/>
    <m/>
    <m/>
    <m/>
  </r>
  <r>
    <x v="935"/>
    <x v="1"/>
    <x v="1"/>
    <s v="Member"/>
    <s v="Male"/>
    <x v="2"/>
    <n v="85.72"/>
    <n v="3"/>
    <n v="12.858000000000001"/>
    <n v="270.01799999999997"/>
    <d v="2019-01-24T00:00:00"/>
    <d v="1899-12-30T20:59:00"/>
    <x v="0"/>
    <n v="257.16000000000003"/>
    <n v="4.7619047620000003"/>
    <n v="12.858000000000001"/>
    <n v="5.0999999999999996"/>
    <x v="0"/>
    <n v="1"/>
    <s v="Standard"/>
    <s v="Standard Order"/>
    <m/>
    <s v=""/>
    <m/>
    <m/>
    <m/>
  </r>
  <r>
    <x v="936"/>
    <x v="1"/>
    <x v="1"/>
    <s v="Normal"/>
    <s v="Female"/>
    <x v="0"/>
    <n v="78.89"/>
    <n v="7"/>
    <n v="27.611499999999999"/>
    <n v="579.8415"/>
    <d v="2019-01-05T00:00:00"/>
    <d v="1899-12-30T19:48:00"/>
    <x v="0"/>
    <n v="552.23"/>
    <n v="4.7619047620000003"/>
    <n v="27.611499999999999"/>
    <n v="7.5"/>
    <x v="0"/>
    <n v="1"/>
    <s v="High Value"/>
    <s v="High Value Order"/>
    <m/>
    <s v=""/>
    <m/>
    <m/>
    <m/>
  </r>
  <r>
    <x v="937"/>
    <x v="0"/>
    <x v="0"/>
    <s v="Normal"/>
    <s v="Female"/>
    <x v="3"/>
    <n v="89.48"/>
    <n v="5"/>
    <n v="22.37"/>
    <n v="469.77"/>
    <d v="2019-03-30T00:00:00"/>
    <d v="1899-12-30T10:18:00"/>
    <x v="1"/>
    <n v="447.4"/>
    <n v="4.7619047620000003"/>
    <n v="22.37"/>
    <n v="7.4"/>
    <x v="1"/>
    <n v="3"/>
    <s v="Standard"/>
    <s v="Standard Order"/>
    <m/>
    <s v=""/>
    <m/>
    <m/>
    <m/>
  </r>
  <r>
    <x v="938"/>
    <x v="0"/>
    <x v="0"/>
    <s v="Member"/>
    <s v="Female"/>
    <x v="0"/>
    <n v="92.09"/>
    <n v="3"/>
    <n v="13.813499999999999"/>
    <n v="290.08350000000002"/>
    <d v="2019-02-17T00:00:00"/>
    <d v="1899-12-30T16:27:00"/>
    <x v="1"/>
    <n v="276.27"/>
    <n v="4.7619047620000003"/>
    <n v="13.813499999999999"/>
    <n v="4.2"/>
    <x v="2"/>
    <n v="2"/>
    <s v="Standard"/>
    <s v="Standard Order"/>
    <m/>
    <s v=""/>
    <m/>
    <m/>
    <m/>
  </r>
  <r>
    <x v="939"/>
    <x v="1"/>
    <x v="1"/>
    <s v="Normal"/>
    <s v="Female"/>
    <x v="4"/>
    <n v="57.29"/>
    <n v="6"/>
    <n v="17.187000000000001"/>
    <n v="360.92700000000002"/>
    <d v="2019-03-21T00:00:00"/>
    <d v="1899-12-30T17:04:00"/>
    <x v="0"/>
    <n v="343.74"/>
    <n v="4.7619047620000003"/>
    <n v="17.187000000000001"/>
    <n v="5.9"/>
    <x v="1"/>
    <n v="3"/>
    <s v="Standard"/>
    <s v="Standard Order"/>
    <m/>
    <s v=""/>
    <m/>
    <m/>
    <m/>
  </r>
  <r>
    <x v="940"/>
    <x v="0"/>
    <x v="0"/>
    <s v="Normal"/>
    <s v="Male"/>
    <x v="4"/>
    <n v="66.52"/>
    <n v="4"/>
    <n v="13.304"/>
    <n v="279.38400000000001"/>
    <d v="2019-03-02T00:00:00"/>
    <d v="1899-12-30T18:14:00"/>
    <x v="0"/>
    <n v="266.08"/>
    <n v="4.7619047620000003"/>
    <n v="13.304"/>
    <n v="6.9"/>
    <x v="1"/>
    <n v="3"/>
    <s v="Standard"/>
    <s v="Standard Order"/>
    <m/>
    <s v=""/>
    <m/>
    <m/>
    <m/>
  </r>
  <r>
    <x v="941"/>
    <x v="1"/>
    <x v="1"/>
    <s v="Member"/>
    <s v="Male"/>
    <x v="5"/>
    <n v="99.82"/>
    <n v="9"/>
    <n v="44.918999999999997"/>
    <n v="943.29899999999998"/>
    <d v="2019-03-27T00:00:00"/>
    <d v="1899-12-30T10:43:00"/>
    <x v="1"/>
    <n v="898.38"/>
    <n v="4.7619047620000003"/>
    <n v="44.918999999999997"/>
    <n v="6.6"/>
    <x v="1"/>
    <n v="3"/>
    <s v="High Value"/>
    <s v="High Value Order"/>
    <m/>
    <s v=""/>
    <m/>
    <m/>
    <m/>
  </r>
  <r>
    <x v="942"/>
    <x v="0"/>
    <x v="0"/>
    <s v="Normal"/>
    <s v="Female"/>
    <x v="2"/>
    <n v="45.68"/>
    <n v="10"/>
    <n v="22.84"/>
    <n v="479.64"/>
    <d v="2019-01-19T00:00:00"/>
    <d v="1899-12-30T19:30:00"/>
    <x v="0"/>
    <n v="456.8"/>
    <n v="4.7619047620000003"/>
    <n v="22.84"/>
    <n v="5.7"/>
    <x v="0"/>
    <n v="1"/>
    <s v="Standard"/>
    <s v="Standard Order"/>
    <m/>
    <s v=""/>
    <m/>
    <m/>
    <m/>
  </r>
  <r>
    <x v="943"/>
    <x v="0"/>
    <x v="0"/>
    <s v="Normal"/>
    <s v="Male"/>
    <x v="0"/>
    <n v="50.79"/>
    <n v="5"/>
    <n v="12.6975"/>
    <n v="266.64749999999998"/>
    <d v="2019-02-19T00:00:00"/>
    <d v="1899-12-30T14:53:00"/>
    <x v="2"/>
    <n v="253.95"/>
    <n v="4.7619047620000003"/>
    <n v="12.6975"/>
    <n v="5.3"/>
    <x v="2"/>
    <n v="2"/>
    <s v="Standard"/>
    <s v="Standard Order"/>
    <m/>
    <s v=""/>
    <m/>
    <m/>
    <m/>
  </r>
  <r>
    <x v="944"/>
    <x v="0"/>
    <x v="0"/>
    <s v="Member"/>
    <s v="Male"/>
    <x v="0"/>
    <n v="10.08"/>
    <n v="7"/>
    <n v="3.528"/>
    <n v="74.087999999999994"/>
    <d v="2019-03-28T00:00:00"/>
    <d v="1899-12-30T20:14:00"/>
    <x v="1"/>
    <n v="70.56"/>
    <n v="4.7619047620000003"/>
    <n v="3.528"/>
    <n v="4.2"/>
    <x v="1"/>
    <n v="3"/>
    <s v="Standard"/>
    <s v="Standard Order"/>
    <m/>
    <s v=""/>
    <m/>
    <m/>
    <m/>
  </r>
  <r>
    <x v="945"/>
    <x v="0"/>
    <x v="0"/>
    <s v="Normal"/>
    <s v="Female"/>
    <x v="1"/>
    <n v="93.88"/>
    <n v="7"/>
    <n v="32.857999999999997"/>
    <n v="690.01800000000003"/>
    <d v="2019-01-05T00:00:00"/>
    <d v="1899-12-30T11:51:00"/>
    <x v="2"/>
    <n v="657.16"/>
    <n v="4.7619047620000003"/>
    <n v="32.857999999999997"/>
    <n v="7.3"/>
    <x v="0"/>
    <n v="1"/>
    <s v="High Value"/>
    <s v="High Value Order"/>
    <m/>
    <s v=""/>
    <m/>
    <m/>
    <m/>
  </r>
  <r>
    <x v="946"/>
    <x v="1"/>
    <x v="1"/>
    <s v="Member"/>
    <s v="Male"/>
    <x v="1"/>
    <n v="84.25"/>
    <n v="2"/>
    <n v="8.4250000000000007"/>
    <n v="176.92500000000001"/>
    <d v="2019-03-26T00:00:00"/>
    <d v="1899-12-30T14:13:00"/>
    <x v="2"/>
    <n v="168.5"/>
    <n v="4.7619047620000003"/>
    <n v="8.4250000000000007"/>
    <n v="5.3"/>
    <x v="1"/>
    <n v="3"/>
    <s v="Standard"/>
    <s v="Standard Order"/>
    <m/>
    <s v=""/>
    <m/>
    <m/>
    <m/>
  </r>
  <r>
    <x v="947"/>
    <x v="2"/>
    <x v="2"/>
    <s v="Member"/>
    <s v="Male"/>
    <x v="5"/>
    <n v="53.78"/>
    <n v="1"/>
    <n v="2.6890000000000001"/>
    <n v="56.469000000000001"/>
    <d v="2019-02-03T00:00:00"/>
    <d v="1899-12-30T20:13:00"/>
    <x v="0"/>
    <n v="53.78"/>
    <n v="4.7619047620000003"/>
    <n v="2.6890000000000001"/>
    <n v="4.7"/>
    <x v="2"/>
    <n v="2"/>
    <s v="Standard"/>
    <s v="Standard Order"/>
    <m/>
    <s v=""/>
    <m/>
    <m/>
    <m/>
  </r>
  <r>
    <x v="948"/>
    <x v="1"/>
    <x v="1"/>
    <s v="Member"/>
    <s v="Male"/>
    <x v="2"/>
    <n v="35.81"/>
    <n v="5"/>
    <n v="8.9525000000000006"/>
    <n v="188.0025"/>
    <d v="2019-02-06T00:00:00"/>
    <d v="1899-12-30T18:44:00"/>
    <x v="0"/>
    <n v="179.05"/>
    <n v="4.7619047620000003"/>
    <n v="8.9525000000000006"/>
    <n v="7.9"/>
    <x v="2"/>
    <n v="2"/>
    <s v="Standard"/>
    <s v="Standard Order"/>
    <m/>
    <s v=""/>
    <m/>
    <m/>
    <m/>
  </r>
  <r>
    <x v="949"/>
    <x v="2"/>
    <x v="2"/>
    <s v="Normal"/>
    <s v="Female"/>
    <x v="4"/>
    <n v="26.43"/>
    <n v="8"/>
    <n v="10.571999999999999"/>
    <n v="222.012"/>
    <d v="2019-02-24T00:00:00"/>
    <d v="1899-12-30T14:26:00"/>
    <x v="0"/>
    <n v="211.44"/>
    <n v="4.7619047620000003"/>
    <n v="10.571999999999999"/>
    <n v="8.9"/>
    <x v="2"/>
    <n v="2"/>
    <s v="Standard"/>
    <s v="Standard Order"/>
    <m/>
    <s v=""/>
    <m/>
    <m/>
    <m/>
  </r>
  <r>
    <x v="950"/>
    <x v="2"/>
    <x v="2"/>
    <s v="Member"/>
    <s v="Male"/>
    <x v="0"/>
    <n v="39.909999999999997"/>
    <n v="3"/>
    <n v="5.9865000000000004"/>
    <n v="125.7165"/>
    <d v="2019-02-21T00:00:00"/>
    <d v="1899-12-30T12:40:00"/>
    <x v="0"/>
    <n v="119.73"/>
    <n v="4.7619047620000003"/>
    <n v="5.9865000000000004"/>
    <n v="9.3000000000000007"/>
    <x v="2"/>
    <n v="2"/>
    <s v="Standard"/>
    <s v="Standard Order"/>
    <m/>
    <s v=""/>
    <m/>
    <m/>
    <m/>
  </r>
  <r>
    <x v="951"/>
    <x v="2"/>
    <x v="2"/>
    <s v="Member"/>
    <s v="Female"/>
    <x v="2"/>
    <n v="21.9"/>
    <n v="3"/>
    <n v="3.2850000000000001"/>
    <n v="68.984999999999999"/>
    <d v="2019-01-09T00:00:00"/>
    <d v="1899-12-30T18:43:00"/>
    <x v="0"/>
    <n v="65.7"/>
    <n v="4.7619047620000003"/>
    <n v="3.2850000000000001"/>
    <n v="4.7"/>
    <x v="0"/>
    <n v="1"/>
    <s v="Standard"/>
    <s v="Standard Order"/>
    <m/>
    <s v=""/>
    <m/>
    <m/>
    <m/>
  </r>
  <r>
    <x v="952"/>
    <x v="2"/>
    <x v="2"/>
    <s v="Member"/>
    <s v="Female"/>
    <x v="4"/>
    <n v="62.85"/>
    <n v="4"/>
    <n v="12.57"/>
    <n v="263.97000000000003"/>
    <d v="2019-02-25T00:00:00"/>
    <d v="1899-12-30T13:22:00"/>
    <x v="0"/>
    <n v="251.4"/>
    <n v="4.7619047620000003"/>
    <n v="12.57"/>
    <n v="8.6999999999999993"/>
    <x v="2"/>
    <n v="2"/>
    <s v="Standard"/>
    <s v="Standard Order"/>
    <m/>
    <s v=""/>
    <m/>
    <m/>
    <m/>
  </r>
  <r>
    <x v="953"/>
    <x v="1"/>
    <x v="1"/>
    <s v="Member"/>
    <s v="Female"/>
    <x v="4"/>
    <n v="21.04"/>
    <n v="4"/>
    <n v="4.2080000000000002"/>
    <n v="88.367999999999995"/>
    <d v="2019-01-13T00:00:00"/>
    <d v="1899-12-30T13:58:00"/>
    <x v="1"/>
    <n v="84.16"/>
    <n v="4.7619047620000003"/>
    <n v="4.2080000000000002"/>
    <n v="7.6"/>
    <x v="0"/>
    <n v="1"/>
    <s v="Standard"/>
    <s v="Standard Order"/>
    <m/>
    <s v=""/>
    <m/>
    <m/>
    <m/>
  </r>
  <r>
    <x v="954"/>
    <x v="2"/>
    <x v="2"/>
    <s v="Member"/>
    <s v="Male"/>
    <x v="2"/>
    <n v="65.91"/>
    <n v="6"/>
    <n v="19.773"/>
    <n v="415.233"/>
    <d v="2019-02-09T00:00:00"/>
    <d v="1899-12-30T11:45:00"/>
    <x v="1"/>
    <n v="395.46"/>
    <n v="4.7619047620000003"/>
    <n v="19.773"/>
    <n v="5.7"/>
    <x v="2"/>
    <n v="2"/>
    <s v="Standard"/>
    <s v="Standard Order"/>
    <m/>
    <s v=""/>
    <m/>
    <m/>
    <m/>
  </r>
  <r>
    <x v="955"/>
    <x v="0"/>
    <x v="0"/>
    <s v="Normal"/>
    <s v="Female"/>
    <x v="5"/>
    <n v="42.57"/>
    <n v="7"/>
    <n v="14.8995"/>
    <n v="312.8895"/>
    <d v="2019-01-06T00:00:00"/>
    <d v="1899-12-30T11:51:00"/>
    <x v="1"/>
    <n v="297.99"/>
    <n v="4.7619047620000003"/>
    <n v="14.8995"/>
    <n v="6.8"/>
    <x v="0"/>
    <n v="1"/>
    <s v="Standard"/>
    <s v="Standard Order"/>
    <m/>
    <s v=""/>
    <m/>
    <m/>
    <m/>
  </r>
  <r>
    <x v="956"/>
    <x v="1"/>
    <x v="1"/>
    <s v="Member"/>
    <s v="Male"/>
    <x v="4"/>
    <n v="50.49"/>
    <n v="9"/>
    <n v="22.720500000000001"/>
    <n v="477.13049999999998"/>
    <d v="2019-01-10T00:00:00"/>
    <d v="1899-12-30T17:16:00"/>
    <x v="1"/>
    <n v="454.41"/>
    <n v="4.7619047620000003"/>
    <n v="22.720500000000001"/>
    <n v="5.4"/>
    <x v="0"/>
    <n v="1"/>
    <s v="Standard"/>
    <s v="Standard Order"/>
    <m/>
    <s v=""/>
    <m/>
    <m/>
    <m/>
  </r>
  <r>
    <x v="957"/>
    <x v="2"/>
    <x v="2"/>
    <s v="Normal"/>
    <s v="Male"/>
    <x v="1"/>
    <n v="46.02"/>
    <n v="6"/>
    <n v="13.805999999999999"/>
    <n v="289.92599999999999"/>
    <d v="2019-02-07T00:00:00"/>
    <d v="1899-12-30T15:55:00"/>
    <x v="1"/>
    <n v="276.12"/>
    <n v="4.7619047620000003"/>
    <n v="13.805999999999999"/>
    <n v="7.1"/>
    <x v="2"/>
    <n v="2"/>
    <s v="Standard"/>
    <s v="Standard Order"/>
    <m/>
    <s v=""/>
    <m/>
    <m/>
    <m/>
  </r>
  <r>
    <x v="958"/>
    <x v="1"/>
    <x v="1"/>
    <s v="Normal"/>
    <s v="Female"/>
    <x v="2"/>
    <n v="15.8"/>
    <n v="10"/>
    <n v="7.9"/>
    <n v="165.9"/>
    <d v="2019-01-09T00:00:00"/>
    <d v="1899-12-30T12:07:00"/>
    <x v="1"/>
    <n v="158"/>
    <n v="4.7619047620000003"/>
    <n v="7.9"/>
    <n v="7.8"/>
    <x v="0"/>
    <n v="1"/>
    <s v="Standard"/>
    <s v="Standard Order"/>
    <m/>
    <s v=""/>
    <m/>
    <m/>
    <m/>
  </r>
  <r>
    <x v="959"/>
    <x v="0"/>
    <x v="0"/>
    <s v="Member"/>
    <s v="Female"/>
    <x v="4"/>
    <n v="98.66"/>
    <n v="9"/>
    <n v="44.396999999999998"/>
    <n v="932.33699999999999"/>
    <d v="2019-02-19T00:00:00"/>
    <d v="1899-12-30T15:07:00"/>
    <x v="1"/>
    <n v="887.94"/>
    <n v="4.7619047620000003"/>
    <n v="44.396999999999998"/>
    <n v="8.4"/>
    <x v="2"/>
    <n v="2"/>
    <s v="High Value"/>
    <s v="High Value Order"/>
    <m/>
    <s v=""/>
    <m/>
    <m/>
    <m/>
  </r>
  <r>
    <x v="960"/>
    <x v="1"/>
    <x v="1"/>
    <s v="Member"/>
    <s v="Male"/>
    <x v="5"/>
    <n v="91.98"/>
    <n v="1"/>
    <n v="4.5990000000000002"/>
    <n v="96.578999999999994"/>
    <d v="2019-03-18T00:00:00"/>
    <d v="1899-12-30T15:29:00"/>
    <x v="1"/>
    <n v="91.98"/>
    <n v="4.7619047620000003"/>
    <n v="4.5990000000000002"/>
    <n v="9.8000000000000007"/>
    <x v="1"/>
    <n v="3"/>
    <s v="Standard"/>
    <s v="Standard Order"/>
    <m/>
    <s v=""/>
    <m/>
    <m/>
    <m/>
  </r>
  <r>
    <x v="961"/>
    <x v="0"/>
    <x v="0"/>
    <s v="Member"/>
    <s v="Male"/>
    <x v="1"/>
    <n v="20.89"/>
    <n v="2"/>
    <n v="2.089"/>
    <n v="43.869"/>
    <d v="2019-02-05T00:00:00"/>
    <d v="1899-12-30T18:45:00"/>
    <x v="1"/>
    <n v="41.78"/>
    <n v="4.7619047620000003"/>
    <n v="2.089"/>
    <n v="9.8000000000000007"/>
    <x v="2"/>
    <n v="2"/>
    <s v="Standard"/>
    <s v="Standard Order"/>
    <m/>
    <s v=""/>
    <m/>
    <m/>
    <m/>
  </r>
  <r>
    <x v="962"/>
    <x v="0"/>
    <x v="0"/>
    <s v="Normal"/>
    <s v="Female"/>
    <x v="5"/>
    <n v="15.5"/>
    <n v="1"/>
    <n v="0.77500000000000002"/>
    <n v="16.274999999999999"/>
    <d v="2019-03-19T00:00:00"/>
    <d v="1899-12-30T15:23:00"/>
    <x v="2"/>
    <n v="15.5"/>
    <n v="4.7619047620000003"/>
    <n v="0.77500000000000002"/>
    <n v="7.4"/>
    <x v="1"/>
    <n v="3"/>
    <s v="Standard"/>
    <s v="Standard Order"/>
    <m/>
    <s v=""/>
    <m/>
    <m/>
    <m/>
  </r>
  <r>
    <x v="963"/>
    <x v="1"/>
    <x v="1"/>
    <s v="Member"/>
    <s v="Male"/>
    <x v="1"/>
    <n v="96.82"/>
    <n v="3"/>
    <n v="14.523"/>
    <n v="304.983"/>
    <d v="2019-03-30T00:00:00"/>
    <d v="1899-12-30T20:37:00"/>
    <x v="1"/>
    <n v="290.45999999999998"/>
    <n v="4.7619047620000003"/>
    <n v="14.523"/>
    <n v="6.7"/>
    <x v="1"/>
    <n v="3"/>
    <s v="Standard"/>
    <s v="Standard Order"/>
    <m/>
    <s v=""/>
    <m/>
    <m/>
    <m/>
  </r>
  <r>
    <x v="964"/>
    <x v="2"/>
    <x v="2"/>
    <s v="Normal"/>
    <s v="Male"/>
    <x v="4"/>
    <n v="33.33"/>
    <n v="2"/>
    <n v="3.3330000000000002"/>
    <n v="69.992999999999995"/>
    <d v="2019-01-26T00:00:00"/>
    <d v="1899-12-30T14:41:00"/>
    <x v="2"/>
    <n v="66.66"/>
    <n v="4.7619047620000003"/>
    <n v="3.3330000000000002"/>
    <n v="6.4"/>
    <x v="0"/>
    <n v="1"/>
    <s v="Standard"/>
    <s v="Standard Order"/>
    <m/>
    <s v=""/>
    <m/>
    <m/>
    <m/>
  </r>
  <r>
    <x v="965"/>
    <x v="2"/>
    <x v="2"/>
    <s v="Normal"/>
    <s v="Female"/>
    <x v="1"/>
    <n v="38.270000000000003"/>
    <n v="2"/>
    <n v="3.827"/>
    <n v="80.367000000000004"/>
    <d v="2019-03-02T00:00:00"/>
    <d v="1899-12-30T18:18:00"/>
    <x v="2"/>
    <n v="76.540000000000006"/>
    <n v="4.7619047620000003"/>
    <n v="3.827"/>
    <n v="5.8"/>
    <x v="1"/>
    <n v="3"/>
    <s v="Standard"/>
    <s v="Standard Order"/>
    <m/>
    <s v=""/>
    <m/>
    <m/>
    <m/>
  </r>
  <r>
    <x v="966"/>
    <x v="0"/>
    <x v="0"/>
    <s v="Normal"/>
    <s v="Female"/>
    <x v="2"/>
    <n v="33.299999999999997"/>
    <n v="9"/>
    <n v="14.984999999999999"/>
    <n v="314.685"/>
    <d v="2019-03-04T00:00:00"/>
    <d v="1899-12-30T15:27:00"/>
    <x v="0"/>
    <n v="299.7"/>
    <n v="4.7619047620000003"/>
    <n v="14.984999999999999"/>
    <n v="7.2"/>
    <x v="1"/>
    <n v="3"/>
    <s v="Standard"/>
    <s v="Standard Order"/>
    <m/>
    <s v=""/>
    <m/>
    <m/>
    <m/>
  </r>
  <r>
    <x v="967"/>
    <x v="0"/>
    <x v="0"/>
    <s v="Member"/>
    <s v="Male"/>
    <x v="2"/>
    <n v="81.010000000000005"/>
    <n v="3"/>
    <n v="12.1515"/>
    <n v="255.1815"/>
    <d v="2019-01-13T00:00:00"/>
    <d v="1899-12-30T12:55:00"/>
    <x v="2"/>
    <n v="243.03"/>
    <n v="4.7619047620000003"/>
    <n v="12.1515"/>
    <n v="9.3000000000000007"/>
    <x v="0"/>
    <n v="1"/>
    <s v="Standard"/>
    <s v="Standard Order"/>
    <m/>
    <s v=""/>
    <m/>
    <m/>
    <m/>
  </r>
  <r>
    <x v="968"/>
    <x v="0"/>
    <x v="0"/>
    <s v="Normal"/>
    <s v="Female"/>
    <x v="0"/>
    <n v="15.8"/>
    <n v="3"/>
    <n v="2.37"/>
    <n v="49.77"/>
    <d v="2019-03-25T00:00:00"/>
    <d v="1899-12-30T18:02:00"/>
    <x v="1"/>
    <n v="47.4"/>
    <n v="4.7619047620000003"/>
    <n v="2.37"/>
    <n v="9.5"/>
    <x v="1"/>
    <n v="3"/>
    <s v="Standard"/>
    <s v="Standard Order"/>
    <m/>
    <s v=""/>
    <m/>
    <m/>
    <m/>
  </r>
  <r>
    <x v="969"/>
    <x v="2"/>
    <x v="2"/>
    <s v="Member"/>
    <s v="Female"/>
    <x v="1"/>
    <n v="34.49"/>
    <n v="5"/>
    <n v="8.6225000000000005"/>
    <n v="181.07249999999999"/>
    <d v="2019-03-11T00:00:00"/>
    <d v="1899-12-30T19:44:00"/>
    <x v="2"/>
    <n v="172.45"/>
    <n v="4.7619047620000003"/>
    <n v="8.6225000000000005"/>
    <n v="9"/>
    <x v="1"/>
    <n v="3"/>
    <s v="Standard"/>
    <s v="Standard Order"/>
    <m/>
    <s v=""/>
    <m/>
    <m/>
    <m/>
  </r>
  <r>
    <x v="970"/>
    <x v="2"/>
    <x v="2"/>
    <s v="Member"/>
    <s v="Female"/>
    <x v="4"/>
    <n v="84.63"/>
    <n v="10"/>
    <n v="42.314999999999998"/>
    <n v="888.61500000000001"/>
    <d v="2019-01-01T00:00:00"/>
    <d v="1899-12-30T11:36:00"/>
    <x v="2"/>
    <n v="846.3"/>
    <n v="4.7619047620000003"/>
    <n v="42.314999999999998"/>
    <n v="9"/>
    <x v="0"/>
    <n v="1"/>
    <s v="High Value"/>
    <s v="High Value Order"/>
    <m/>
    <s v=""/>
    <m/>
    <m/>
    <m/>
  </r>
  <r>
    <x v="971"/>
    <x v="2"/>
    <x v="2"/>
    <s v="Member"/>
    <s v="Male"/>
    <x v="2"/>
    <n v="36.909999999999997"/>
    <n v="7"/>
    <n v="12.9185"/>
    <n v="271.2885"/>
    <d v="2019-02-10T00:00:00"/>
    <d v="1899-12-30T13:51:00"/>
    <x v="0"/>
    <n v="258.37"/>
    <n v="4.7619047620000003"/>
    <n v="12.9185"/>
    <n v="6.7"/>
    <x v="2"/>
    <n v="2"/>
    <s v="Standard"/>
    <s v="Standard Order"/>
    <m/>
    <s v=""/>
    <m/>
    <m/>
    <m/>
  </r>
  <r>
    <x v="972"/>
    <x v="2"/>
    <x v="2"/>
    <s v="Normal"/>
    <s v="Male"/>
    <x v="1"/>
    <n v="87.08"/>
    <n v="7"/>
    <n v="30.478000000000002"/>
    <n v="640.03800000000001"/>
    <d v="2019-01-26T00:00:00"/>
    <d v="1899-12-30T15:17:00"/>
    <x v="1"/>
    <n v="609.55999999999995"/>
    <n v="4.7619047620000003"/>
    <n v="30.478000000000002"/>
    <n v="5.5"/>
    <x v="0"/>
    <n v="1"/>
    <s v="High Value"/>
    <s v="High Value Order"/>
    <m/>
    <s v=""/>
    <m/>
    <m/>
    <m/>
  </r>
  <r>
    <x v="973"/>
    <x v="0"/>
    <x v="0"/>
    <s v="Normal"/>
    <s v="Male"/>
    <x v="2"/>
    <n v="80.08"/>
    <n v="3"/>
    <n v="12.012"/>
    <n v="252.25200000000001"/>
    <d v="2019-02-11T00:00:00"/>
    <d v="1899-12-30T15:29:00"/>
    <x v="1"/>
    <n v="240.24"/>
    <n v="4.7619047620000003"/>
    <n v="12.012"/>
    <n v="5.4"/>
    <x v="2"/>
    <n v="2"/>
    <s v="Standard"/>
    <s v="Standard Order"/>
    <m/>
    <s v=""/>
    <m/>
    <m/>
    <m/>
  </r>
  <r>
    <x v="974"/>
    <x v="1"/>
    <x v="1"/>
    <s v="Normal"/>
    <s v="Male"/>
    <x v="5"/>
    <n v="86.13"/>
    <n v="2"/>
    <n v="8.6129999999999995"/>
    <n v="180.87299999999999"/>
    <d v="2019-02-07T00:00:00"/>
    <d v="1899-12-30T17:59:00"/>
    <x v="1"/>
    <n v="172.26"/>
    <n v="4.7619047620000003"/>
    <n v="8.6129999999999995"/>
    <n v="8.1999999999999993"/>
    <x v="2"/>
    <n v="2"/>
    <s v="Standard"/>
    <s v="Standard Order"/>
    <m/>
    <s v=""/>
    <m/>
    <m/>
    <m/>
  </r>
  <r>
    <x v="975"/>
    <x v="2"/>
    <x v="2"/>
    <s v="Member"/>
    <s v="Male"/>
    <x v="5"/>
    <n v="49.92"/>
    <n v="2"/>
    <n v="4.992"/>
    <n v="104.83199999999999"/>
    <d v="2019-03-06T00:00:00"/>
    <d v="1899-12-30T11:55:00"/>
    <x v="2"/>
    <n v="99.84"/>
    <n v="4.7619047620000003"/>
    <n v="4.992"/>
    <n v="7"/>
    <x v="1"/>
    <n v="3"/>
    <s v="Standard"/>
    <s v="Standard Order"/>
    <m/>
    <s v=""/>
    <m/>
    <m/>
    <m/>
  </r>
  <r>
    <x v="976"/>
    <x v="0"/>
    <x v="0"/>
    <s v="Normal"/>
    <s v="Female"/>
    <x v="4"/>
    <n v="74.66"/>
    <n v="4"/>
    <n v="14.932"/>
    <n v="313.572"/>
    <d v="2019-03-04T00:00:00"/>
    <d v="1899-12-30T10:39:00"/>
    <x v="1"/>
    <n v="298.64"/>
    <n v="4.7619047620000003"/>
    <n v="14.932"/>
    <n v="8.5"/>
    <x v="1"/>
    <n v="3"/>
    <s v="Standard"/>
    <s v="Standard Order"/>
    <m/>
    <s v=""/>
    <m/>
    <m/>
    <m/>
  </r>
  <r>
    <x v="977"/>
    <x v="2"/>
    <x v="2"/>
    <s v="Member"/>
    <s v="Male"/>
    <x v="4"/>
    <n v="26.6"/>
    <n v="6"/>
    <n v="7.98"/>
    <n v="167.58"/>
    <d v="2019-02-26T00:00:00"/>
    <d v="1899-12-30T15:10:00"/>
    <x v="0"/>
    <n v="159.6"/>
    <n v="4.7619047620000003"/>
    <n v="7.98"/>
    <n v="4.9000000000000004"/>
    <x v="2"/>
    <n v="2"/>
    <s v="Standard"/>
    <s v="Standard Order"/>
    <m/>
    <s v=""/>
    <m/>
    <m/>
    <m/>
  </r>
  <r>
    <x v="978"/>
    <x v="2"/>
    <x v="2"/>
    <s v="Normal"/>
    <s v="Female"/>
    <x v="1"/>
    <n v="25.45"/>
    <n v="1"/>
    <n v="1.2725"/>
    <n v="26.7225"/>
    <d v="2019-03-10T00:00:00"/>
    <d v="1899-12-30T18:10:00"/>
    <x v="2"/>
    <n v="25.45"/>
    <n v="4.7619047620000003"/>
    <n v="1.2725"/>
    <n v="5.0999999999999996"/>
    <x v="1"/>
    <n v="3"/>
    <s v="Standard"/>
    <s v="Standard Order"/>
    <m/>
    <s v=""/>
    <m/>
    <m/>
    <m/>
  </r>
  <r>
    <x v="979"/>
    <x v="2"/>
    <x v="2"/>
    <s v="Normal"/>
    <s v="Female"/>
    <x v="4"/>
    <n v="67.77"/>
    <n v="1"/>
    <n v="3.3885000000000001"/>
    <n v="71.158500000000004"/>
    <d v="2019-02-04T00:00:00"/>
    <d v="1899-12-30T20:43:00"/>
    <x v="2"/>
    <n v="67.77"/>
    <n v="4.7619047620000003"/>
    <n v="3.3885000000000001"/>
    <n v="6.5"/>
    <x v="2"/>
    <n v="2"/>
    <s v="Standard"/>
    <s v="Standard Order"/>
    <m/>
    <s v=""/>
    <m/>
    <m/>
    <m/>
  </r>
  <r>
    <x v="980"/>
    <x v="1"/>
    <x v="1"/>
    <s v="Member"/>
    <s v="Male"/>
    <x v="4"/>
    <n v="59.59"/>
    <n v="4"/>
    <n v="11.917999999999999"/>
    <n v="250.27799999999999"/>
    <d v="2019-01-19T00:00:00"/>
    <d v="1899-12-30T12:46:00"/>
    <x v="1"/>
    <n v="238.36"/>
    <n v="4.7619047620000003"/>
    <n v="11.917999999999999"/>
    <n v="9.8000000000000007"/>
    <x v="0"/>
    <n v="1"/>
    <s v="Standard"/>
    <s v="Standard Order"/>
    <m/>
    <s v=""/>
    <m/>
    <m/>
    <m/>
  </r>
  <r>
    <x v="981"/>
    <x v="0"/>
    <x v="0"/>
    <s v="Normal"/>
    <s v="Male"/>
    <x v="0"/>
    <n v="58.15"/>
    <n v="4"/>
    <n v="11.63"/>
    <n v="244.23"/>
    <d v="2019-01-23T00:00:00"/>
    <d v="1899-12-30T17:44:00"/>
    <x v="1"/>
    <n v="232.6"/>
    <n v="4.7619047620000003"/>
    <n v="11.63"/>
    <n v="8.4"/>
    <x v="0"/>
    <n v="1"/>
    <s v="Standard"/>
    <s v="Standard Order"/>
    <m/>
    <s v=""/>
    <m/>
    <m/>
    <m/>
  </r>
  <r>
    <x v="982"/>
    <x v="0"/>
    <x v="0"/>
    <s v="Member"/>
    <s v="Female"/>
    <x v="3"/>
    <n v="97.48"/>
    <n v="9"/>
    <n v="43.866"/>
    <n v="921.18600000000004"/>
    <d v="2019-03-14T00:00:00"/>
    <d v="1899-12-30T14:19:00"/>
    <x v="0"/>
    <n v="877.32"/>
    <n v="4.7619047620000003"/>
    <n v="43.866"/>
    <n v="7.4"/>
    <x v="1"/>
    <n v="3"/>
    <s v="High Value"/>
    <s v="High Value Order"/>
    <m/>
    <s v=""/>
    <m/>
    <m/>
    <m/>
  </r>
  <r>
    <x v="983"/>
    <x v="1"/>
    <x v="1"/>
    <s v="Normal"/>
    <s v="Male"/>
    <x v="0"/>
    <n v="99.96"/>
    <n v="7"/>
    <n v="34.985999999999997"/>
    <n v="734.70600000000002"/>
    <d v="2019-01-23T00:00:00"/>
    <d v="1899-12-30T10:33:00"/>
    <x v="1"/>
    <n v="699.72"/>
    <n v="4.7619047620000003"/>
    <n v="34.985999999999997"/>
    <n v="6.1"/>
    <x v="0"/>
    <n v="1"/>
    <s v="High Value"/>
    <s v="High Value Order"/>
    <m/>
    <s v=""/>
    <m/>
    <m/>
    <m/>
  </r>
  <r>
    <x v="984"/>
    <x v="1"/>
    <x v="1"/>
    <s v="Normal"/>
    <s v="Male"/>
    <x v="1"/>
    <n v="96.37"/>
    <n v="7"/>
    <n v="33.729500000000002"/>
    <n v="708.31949999999995"/>
    <d v="2019-01-09T00:00:00"/>
    <d v="1899-12-30T11:40:00"/>
    <x v="1"/>
    <n v="674.59"/>
    <n v="4.7619047620000003"/>
    <n v="33.729500000000002"/>
    <n v="6"/>
    <x v="0"/>
    <n v="1"/>
    <s v="High Value"/>
    <s v="High Value Order"/>
    <m/>
    <s v=""/>
    <m/>
    <m/>
    <m/>
  </r>
  <r>
    <x v="985"/>
    <x v="2"/>
    <x v="2"/>
    <s v="Normal"/>
    <s v="Female"/>
    <x v="5"/>
    <n v="63.71"/>
    <n v="5"/>
    <n v="15.9275"/>
    <n v="334.47750000000002"/>
    <d v="2019-02-07T00:00:00"/>
    <d v="1899-12-30T19:30:00"/>
    <x v="0"/>
    <n v="318.55"/>
    <n v="4.7619047620000003"/>
    <n v="15.9275"/>
    <n v="8.5"/>
    <x v="2"/>
    <n v="2"/>
    <s v="Standard"/>
    <s v="Standard Order"/>
    <m/>
    <s v=""/>
    <m/>
    <m/>
    <m/>
  </r>
  <r>
    <x v="986"/>
    <x v="2"/>
    <x v="2"/>
    <s v="Normal"/>
    <s v="Female"/>
    <x v="0"/>
    <n v="14.76"/>
    <n v="2"/>
    <n v="1.476"/>
    <n v="30.995999999999999"/>
    <d v="2019-02-18T00:00:00"/>
    <d v="1899-12-30T14:42:00"/>
    <x v="0"/>
    <n v="29.52"/>
    <n v="4.7619047620000003"/>
    <n v="1.476"/>
    <n v="4.3"/>
    <x v="2"/>
    <n v="2"/>
    <s v="Standard"/>
    <s v="Standard Order"/>
    <m/>
    <s v=""/>
    <m/>
    <m/>
    <m/>
  </r>
  <r>
    <x v="987"/>
    <x v="2"/>
    <x v="2"/>
    <s v="Member"/>
    <s v="Male"/>
    <x v="0"/>
    <n v="62"/>
    <n v="8"/>
    <n v="24.8"/>
    <n v="520.79999999999995"/>
    <d v="2019-01-03T00:00:00"/>
    <d v="1899-12-30T19:08:00"/>
    <x v="2"/>
    <n v="496"/>
    <n v="4.7619047620000003"/>
    <n v="24.8"/>
    <n v="6.2"/>
    <x v="0"/>
    <n v="1"/>
    <s v="High Value"/>
    <s v="High Value Order"/>
    <m/>
    <s v=""/>
    <m/>
    <m/>
    <m/>
  </r>
  <r>
    <x v="988"/>
    <x v="1"/>
    <x v="1"/>
    <s v="Member"/>
    <s v="Male"/>
    <x v="1"/>
    <n v="82.34"/>
    <n v="10"/>
    <n v="41.17"/>
    <n v="864.57"/>
    <d v="2019-03-29T00:00:00"/>
    <d v="1899-12-30T19:12:00"/>
    <x v="0"/>
    <n v="823.4"/>
    <n v="4.7619047620000003"/>
    <n v="41.17"/>
    <n v="4.3"/>
    <x v="1"/>
    <n v="3"/>
    <s v="High Value"/>
    <s v="High Value Order"/>
    <m/>
    <s v=""/>
    <m/>
    <m/>
    <m/>
  </r>
  <r>
    <x v="989"/>
    <x v="2"/>
    <x v="2"/>
    <s v="Member"/>
    <s v="Male"/>
    <x v="0"/>
    <n v="75.37"/>
    <n v="8"/>
    <n v="30.148"/>
    <n v="633.10799999999995"/>
    <d v="2019-01-28T00:00:00"/>
    <d v="1899-12-30T15:46:00"/>
    <x v="2"/>
    <n v="602.96"/>
    <n v="4.7619047620000003"/>
    <n v="30.148"/>
    <n v="8.4"/>
    <x v="0"/>
    <n v="1"/>
    <s v="High Value"/>
    <s v="High Value Order"/>
    <m/>
    <s v=""/>
    <m/>
    <m/>
    <m/>
  </r>
  <r>
    <x v="990"/>
    <x v="0"/>
    <x v="0"/>
    <s v="Normal"/>
    <s v="Female"/>
    <x v="4"/>
    <n v="56.56"/>
    <n v="5"/>
    <n v="14.14"/>
    <n v="296.94"/>
    <d v="2019-03-22T00:00:00"/>
    <d v="1899-12-30T19:06:00"/>
    <x v="2"/>
    <n v="282.8"/>
    <n v="4.7619047620000003"/>
    <n v="14.14"/>
    <n v="4.5"/>
    <x v="1"/>
    <n v="3"/>
    <s v="Standard"/>
    <s v="Standard Order"/>
    <m/>
    <s v=""/>
    <m/>
    <m/>
    <m/>
  </r>
  <r>
    <x v="991"/>
    <x v="2"/>
    <x v="2"/>
    <s v="Normal"/>
    <s v="Female"/>
    <x v="3"/>
    <n v="76.599999999999994"/>
    <n v="10"/>
    <n v="38.299999999999997"/>
    <n v="804.3"/>
    <d v="2019-01-24T00:00:00"/>
    <d v="1899-12-30T18:10:00"/>
    <x v="0"/>
    <n v="766"/>
    <n v="4.7619047620000003"/>
    <n v="38.299999999999997"/>
    <n v="6"/>
    <x v="0"/>
    <n v="1"/>
    <s v="High Value"/>
    <s v="High Value Order"/>
    <m/>
    <s v=""/>
    <m/>
    <m/>
    <m/>
  </r>
  <r>
    <x v="992"/>
    <x v="0"/>
    <x v="0"/>
    <s v="Normal"/>
    <s v="Male"/>
    <x v="1"/>
    <n v="58.03"/>
    <n v="2"/>
    <n v="5.8029999999999999"/>
    <n v="121.863"/>
    <d v="2019-03-10T00:00:00"/>
    <d v="1899-12-30T20:46:00"/>
    <x v="0"/>
    <n v="116.06"/>
    <n v="4.7619047620000003"/>
    <n v="5.8029999999999999"/>
    <n v="8.8000000000000007"/>
    <x v="1"/>
    <n v="3"/>
    <s v="Standard"/>
    <s v="Standard Order"/>
    <m/>
    <s v=""/>
    <m/>
    <m/>
    <m/>
  </r>
  <r>
    <x v="993"/>
    <x v="2"/>
    <x v="2"/>
    <s v="Normal"/>
    <s v="Male"/>
    <x v="5"/>
    <n v="17.489999999999998"/>
    <n v="10"/>
    <n v="8.7449999999999992"/>
    <n v="183.64500000000001"/>
    <d v="2019-02-22T00:00:00"/>
    <d v="1899-12-30T18:35:00"/>
    <x v="0"/>
    <n v="174.9"/>
    <n v="4.7619047620000003"/>
    <n v="8.7449999999999992"/>
    <n v="6.6"/>
    <x v="2"/>
    <n v="2"/>
    <s v="Standard"/>
    <s v="Standard Order"/>
    <m/>
    <s v=""/>
    <m/>
    <m/>
    <m/>
  </r>
  <r>
    <x v="994"/>
    <x v="1"/>
    <x v="1"/>
    <s v="Member"/>
    <s v="Female"/>
    <x v="1"/>
    <n v="60.95"/>
    <n v="1"/>
    <n v="3.0474999999999999"/>
    <n v="63.997500000000002"/>
    <d v="2019-02-18T00:00:00"/>
    <d v="1899-12-30T11:40:00"/>
    <x v="0"/>
    <n v="60.95"/>
    <n v="4.7619047620000003"/>
    <n v="3.0474999999999999"/>
    <n v="5.9"/>
    <x v="2"/>
    <n v="2"/>
    <s v="Standard"/>
    <s v="Standard Order"/>
    <m/>
    <s v=""/>
    <m/>
    <m/>
    <m/>
  </r>
  <r>
    <x v="995"/>
    <x v="1"/>
    <x v="1"/>
    <s v="Normal"/>
    <s v="Male"/>
    <x v="0"/>
    <n v="40.35"/>
    <n v="1"/>
    <n v="2.0175000000000001"/>
    <n v="42.3675"/>
    <d v="2019-01-29T00:00:00"/>
    <d v="1899-12-30T13:46:00"/>
    <x v="0"/>
    <n v="40.35"/>
    <n v="4.7619047620000003"/>
    <n v="2.0175000000000001"/>
    <n v="6.2"/>
    <x v="0"/>
    <n v="1"/>
    <s v="Standard"/>
    <s v="Standard Order"/>
    <m/>
    <s v=""/>
    <m/>
    <m/>
    <m/>
  </r>
  <r>
    <x v="996"/>
    <x v="2"/>
    <x v="2"/>
    <s v="Normal"/>
    <s v="Female"/>
    <x v="2"/>
    <n v="97.38"/>
    <n v="10"/>
    <n v="48.69"/>
    <n v="1022.49"/>
    <d v="2019-03-02T00:00:00"/>
    <d v="1899-12-30T17:16:00"/>
    <x v="0"/>
    <n v="973.8"/>
    <n v="4.7619047620000003"/>
    <n v="48.69"/>
    <n v="4.4000000000000004"/>
    <x v="1"/>
    <n v="3"/>
    <s v="High Value"/>
    <s v="High Value Order"/>
    <m/>
    <s v=""/>
    <m/>
    <m/>
    <m/>
  </r>
  <r>
    <x v="997"/>
    <x v="0"/>
    <x v="0"/>
    <s v="Member"/>
    <s v="Male"/>
    <x v="4"/>
    <n v="31.84"/>
    <n v="1"/>
    <n v="1.5920000000000001"/>
    <n v="33.432000000000002"/>
    <d v="2019-02-09T00:00:00"/>
    <d v="1899-12-30T13:22:00"/>
    <x v="1"/>
    <n v="31.84"/>
    <n v="4.7619047620000003"/>
    <n v="1.5920000000000001"/>
    <n v="7.7"/>
    <x v="2"/>
    <n v="2"/>
    <s v="Standard"/>
    <s v="Standard Order"/>
    <m/>
    <s v=""/>
    <m/>
    <m/>
    <m/>
  </r>
  <r>
    <x v="998"/>
    <x v="0"/>
    <x v="0"/>
    <s v="Normal"/>
    <s v="Male"/>
    <x v="2"/>
    <n v="65.819999999999993"/>
    <n v="1"/>
    <n v="3.2909999999999999"/>
    <n v="69.111000000000004"/>
    <d v="2019-02-22T00:00:00"/>
    <d v="1899-12-30T15:33:00"/>
    <x v="1"/>
    <n v="65.819999999999993"/>
    <n v="4.7619047620000003"/>
    <n v="3.2909999999999999"/>
    <n v="4.0999999999999996"/>
    <x v="2"/>
    <n v="2"/>
    <s v="Standard"/>
    <s v="Standard Order"/>
    <m/>
    <s v=""/>
    <m/>
    <m/>
    <m/>
  </r>
  <r>
    <x v="999"/>
    <x v="0"/>
    <x v="0"/>
    <s v="Member"/>
    <s v="Female"/>
    <x v="5"/>
    <n v="88.34"/>
    <n v="7"/>
    <n v="30.919"/>
    <n v="649.29899999999998"/>
    <d v="2019-02-18T00:00:00"/>
    <d v="1899-12-30T13:28:00"/>
    <x v="1"/>
    <n v="618.38"/>
    <n v="4.7619047620000003"/>
    <n v="30.919"/>
    <n v="6.6"/>
    <x v="2"/>
    <n v="2"/>
    <s v="High Value"/>
    <s v="High Value Order"/>
    <m/>
    <s v=""/>
    <m/>
    <m/>
    <m/>
  </r>
  <r>
    <x v="1000"/>
    <x v="3"/>
    <x v="3"/>
    <m/>
    <m/>
    <x v="6"/>
    <m/>
    <m/>
    <m/>
    <m/>
    <m/>
    <m/>
    <x v="3"/>
    <m/>
    <m/>
    <m/>
    <m/>
    <x v="3"/>
    <n v="1"/>
    <s v="Standard"/>
    <s v="Standard Order"/>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02730C-9462-422D-994E-44D02A5227A7}" name="PivotTable5" cacheId="8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5:E26" firstHeaderRow="1" firstDataRow="1" firstDataCol="1"/>
  <pivotFields count="26">
    <pivotField axis="axisRow" showAll="0" measureFilter="1">
      <items count="1002">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x="1000"/>
        <item t="default"/>
      </items>
    </pivotField>
    <pivotField showAll="0">
      <items count="5">
        <item x="0"/>
        <item x="2"/>
        <item x="1"/>
        <item x="3"/>
        <item t="default"/>
      </items>
    </pivotField>
    <pivotField showAll="0">
      <items count="5">
        <item h="1" x="2"/>
        <item h="1" x="1"/>
        <item x="0"/>
        <item h="1" x="3"/>
        <item t="default"/>
      </items>
    </pivotField>
    <pivotField showAll="0"/>
    <pivotField showAll="0"/>
    <pivotField showAll="0">
      <items count="8">
        <item x="1"/>
        <item x="5"/>
        <item x="4"/>
        <item x="0"/>
        <item x="2"/>
        <item x="3"/>
        <item x="6"/>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items count="5">
        <item h="1" x="0"/>
        <item x="2"/>
        <item h="1" x="1"/>
        <item h="1" x="3"/>
        <item t="default"/>
      </items>
    </pivotField>
    <pivotField showAll="0"/>
    <pivotField showAll="0"/>
    <pivotField showAll="0"/>
    <pivotField showAll="0"/>
    <pivotField showAll="0"/>
    <pivotField showAll="0"/>
    <pivotField showAll="0"/>
    <pivotField showAll="0"/>
  </pivotFields>
  <rowFields count="1">
    <field x="0"/>
  </rowFields>
  <rowItems count="11">
    <i>
      <x v="36"/>
    </i>
    <i>
      <x v="174"/>
    </i>
    <i>
      <x v="355"/>
    </i>
    <i>
      <x v="444"/>
    </i>
    <i>
      <x v="661"/>
    </i>
    <i>
      <x v="665"/>
    </i>
    <i>
      <x v="721"/>
    </i>
    <i>
      <x v="795"/>
    </i>
    <i>
      <x v="874"/>
    </i>
    <i>
      <x v="899"/>
    </i>
    <i t="grand">
      <x/>
    </i>
  </rowItems>
  <colItems count="1">
    <i/>
  </colItems>
  <dataFields count="1">
    <dataField name="Sum of Sales" fld="9" baseField="0" baseItem="0"/>
  </dataFields>
  <formats count="5">
    <format dxfId="107">
      <pivotArea field="0" type="button" dataOnly="0" labelOnly="1" outline="0" axis="axisRow" fieldPosition="0"/>
    </format>
    <format dxfId="108">
      <pivotArea dataOnly="0" labelOnly="1" fieldPosition="0">
        <references count="1">
          <reference field="0" count="10">
            <x v="156"/>
            <x v="205"/>
            <x v="223"/>
            <x v="250"/>
            <x v="281"/>
            <x v="549"/>
            <x v="721"/>
            <x v="800"/>
            <x v="816"/>
            <x v="949"/>
          </reference>
        </references>
      </pivotArea>
    </format>
    <format dxfId="109">
      <pivotArea dataOnly="0" labelOnly="1" grandRow="1" outline="0" fieldPosition="0"/>
    </format>
    <format dxfId="110">
      <pivotArea outline="0" collapsedLevelsAreSubtotals="1" fieldPosition="0"/>
    </format>
    <format dxfId="11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B25FD2-295D-450B-AB8A-5E78A882E9F0}" name="PivotTable4" cacheId="8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0" firstHeaderRow="1" firstDataRow="1" firstDataCol="1"/>
  <pivotFields count="26">
    <pivotField showAll="0"/>
    <pivotField showAll="0">
      <items count="5">
        <item x="0"/>
        <item x="2"/>
        <item x="1"/>
        <item x="3"/>
        <item t="default"/>
      </items>
    </pivotField>
    <pivotField showAll="0">
      <items count="5">
        <item h="1" x="2"/>
        <item h="1" x="1"/>
        <item x="0"/>
        <item h="1" x="3"/>
        <item t="default"/>
      </items>
    </pivotField>
    <pivotField showAll="0"/>
    <pivotField showAll="0"/>
    <pivotField axis="axisRow" showAll="0">
      <items count="8">
        <item x="1"/>
        <item x="5"/>
        <item x="4"/>
        <item x="0"/>
        <item x="2"/>
        <item x="3"/>
        <item x="6"/>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items count="5">
        <item h="1" x="0"/>
        <item x="2"/>
        <item h="1" x="1"/>
        <item h="1" x="3"/>
        <item t="default"/>
      </items>
    </pivotField>
    <pivotField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Sum of Sales" fld="9" baseField="0" baseItem="0"/>
  </dataFields>
  <formats count="5">
    <format dxfId="102">
      <pivotArea field="5" type="button" dataOnly="0" labelOnly="1" outline="0" axis="axisRow" fieldPosition="0"/>
    </format>
    <format dxfId="103">
      <pivotArea dataOnly="0" labelOnly="1" fieldPosition="0">
        <references count="1">
          <reference field="5" count="0"/>
        </references>
      </pivotArea>
    </format>
    <format dxfId="104">
      <pivotArea dataOnly="0" labelOnly="1" grandRow="1" outline="0" fieldPosition="0"/>
    </format>
    <format dxfId="105">
      <pivotArea outline="0" collapsedLevelsAreSubtotals="1" fieldPosition="0"/>
    </format>
    <format dxfId="10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9622B0-0384-4390-886E-5571066D0444}" name="PivotTable6" cacheId="8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7" firstHeaderRow="1" firstDataRow="1" firstDataCol="1"/>
  <pivotFields count="26">
    <pivotField showAll="0"/>
    <pivotField showAll="0">
      <items count="5">
        <item x="0"/>
        <item x="2"/>
        <item x="1"/>
        <item x="3"/>
        <item t="default"/>
      </items>
    </pivotField>
    <pivotField showAll="0">
      <items count="5">
        <item h="1" x="2"/>
        <item h="1" x="1"/>
        <item x="0"/>
        <item h="1" x="3"/>
        <item t="default"/>
      </items>
    </pivotField>
    <pivotField showAll="0"/>
    <pivotField showAll="0"/>
    <pivotField showAll="0">
      <items count="8">
        <item x="1"/>
        <item x="5"/>
        <item x="4"/>
        <item x="0"/>
        <item x="2"/>
        <item x="3"/>
        <item x="6"/>
        <item t="default"/>
      </items>
    </pivotField>
    <pivotField showAll="0"/>
    <pivotField showAll="0"/>
    <pivotField showAll="0"/>
    <pivotField showAll="0"/>
    <pivotField showAll="0"/>
    <pivotField dataField="1" showAll="0"/>
    <pivotField axis="axisRow" showAll="0">
      <items count="5">
        <item x="1"/>
        <item x="2"/>
        <item x="0"/>
        <item h="1" x="3"/>
        <item t="default"/>
      </items>
    </pivotField>
    <pivotField showAll="0"/>
    <pivotField showAll="0"/>
    <pivotField showAll="0"/>
    <pivotField showAll="0"/>
    <pivotField showAll="0">
      <items count="5">
        <item h="1" x="0"/>
        <item x="2"/>
        <item h="1" x="1"/>
        <item h="1" x="3"/>
        <item t="default"/>
      </items>
    </pivotField>
    <pivotField showAll="0"/>
    <pivotField showAll="0"/>
    <pivotField showAll="0"/>
    <pivotField showAll="0"/>
    <pivotField showAll="0"/>
    <pivotField showAll="0"/>
    <pivotField showAll="0"/>
    <pivotField showAll="0"/>
  </pivotFields>
  <rowFields count="1">
    <field x="12"/>
  </rowFields>
  <rowItems count="4">
    <i>
      <x/>
    </i>
    <i>
      <x v="1"/>
    </i>
    <i>
      <x v="2"/>
    </i>
    <i t="grand">
      <x/>
    </i>
  </rowItems>
  <colItems count="1">
    <i/>
  </colItems>
  <dataFields count="1">
    <dataField name="Transactions" fld="11" subtotal="count" baseField="12" baseItem="0"/>
  </dataFields>
  <formats count="5">
    <format dxfId="97">
      <pivotArea field="12" type="button" dataOnly="0" labelOnly="1" outline="0" axis="axisRow" fieldPosition="0"/>
    </format>
    <format dxfId="98">
      <pivotArea dataOnly="0" labelOnly="1" fieldPosition="0">
        <references count="1">
          <reference field="12" count="0"/>
        </references>
      </pivotArea>
    </format>
    <format dxfId="99">
      <pivotArea dataOnly="0" labelOnly="1" grandRow="1" outline="0" fieldPosition="0"/>
    </format>
    <format dxfId="100">
      <pivotArea outline="0" collapsedLevelsAreSubtotals="1" fieldPosition="0"/>
    </format>
    <format dxfId="101">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2" count="1" selected="0">
            <x v="0"/>
          </reference>
        </references>
      </pivotArea>
    </chartFormat>
    <chartFormat chart="2" format="7">
      <pivotArea type="data" outline="0" fieldPosition="0">
        <references count="2">
          <reference field="4294967294" count="1" selected="0">
            <x v="0"/>
          </reference>
          <reference field="12" count="1" selected="0">
            <x v="1"/>
          </reference>
        </references>
      </pivotArea>
    </chartFormat>
    <chartFormat chart="2" format="8">
      <pivotArea type="data" outline="0" fieldPosition="0">
        <references count="2">
          <reference field="4294967294" count="1" selected="0">
            <x v="0"/>
          </reference>
          <reference field="12" count="1" selected="0">
            <x v="2"/>
          </reference>
        </references>
      </pivotArea>
    </chartFormat>
    <chartFormat chart="2" format="9">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C76D36-12AC-4A07-B030-6EBA7BF474AE}" name="PivotTable2" cacheId="8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2:B19" firstHeaderRow="1" firstDataRow="1" firstDataCol="1"/>
  <pivotFields count="26">
    <pivotField showAll="0"/>
    <pivotField showAll="0">
      <items count="5">
        <item x="0"/>
        <item x="2"/>
        <item x="1"/>
        <item x="3"/>
        <item t="default"/>
      </items>
    </pivotField>
    <pivotField showAll="0">
      <items count="5">
        <item h="1" x="2"/>
        <item h="1" x="1"/>
        <item x="0"/>
        <item h="1" x="3"/>
        <item t="default"/>
      </items>
    </pivotField>
    <pivotField showAll="0"/>
    <pivotField showAll="0"/>
    <pivotField axis="axisRow" showAll="0">
      <items count="8">
        <item x="1"/>
        <item x="5"/>
        <item x="4"/>
        <item x="0"/>
        <item x="2"/>
        <item x="3"/>
        <item x="6"/>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items count="5">
        <item h="1" x="0"/>
        <item x="2"/>
        <item h="1" x="1"/>
        <item h="1" x="3"/>
        <item t="default"/>
      </items>
    </pivotField>
    <pivotField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Sum of Sales" fld="9" baseField="0" baseItem="0"/>
  </dataFields>
  <formats count="7">
    <format dxfId="90">
      <pivotArea field="5" type="button" dataOnly="0" labelOnly="1" outline="0" axis="axisRow" fieldPosition="0"/>
    </format>
    <format dxfId="91">
      <pivotArea dataOnly="0" labelOnly="1" fieldPosition="0">
        <references count="1">
          <reference field="5" count="0"/>
        </references>
      </pivotArea>
    </format>
    <format dxfId="92">
      <pivotArea dataOnly="0" labelOnly="1" grandRow="1" outline="0" fieldPosition="0"/>
    </format>
    <format dxfId="93">
      <pivotArea outline="0" collapsedLevelsAreSubtotals="1" fieldPosition="0"/>
    </format>
    <format dxfId="94">
      <pivotArea dataOnly="0" labelOnly="1" outline="0" axis="axisValues" fieldPosition="0"/>
    </format>
    <format dxfId="95">
      <pivotArea collapsedLevelsAreSubtotals="1" fieldPosition="0">
        <references count="1">
          <reference field="5" count="6">
            <x v="0"/>
            <x v="1"/>
            <x v="2"/>
            <x v="3"/>
            <x v="4"/>
            <x v="5"/>
          </reference>
        </references>
      </pivotArea>
    </format>
    <format dxfId="96">
      <pivotArea dataOnly="0" labelOnly="1" fieldPosition="0">
        <references count="1">
          <reference field="5" count="6">
            <x v="0"/>
            <x v="1"/>
            <x v="2"/>
            <x v="3"/>
            <x v="4"/>
            <x v="5"/>
          </reference>
        </references>
      </pivotArea>
    </format>
  </formats>
  <chartFormats count="9">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5" count="1" selected="0">
            <x v="0"/>
          </reference>
        </references>
      </pivotArea>
    </chartFormat>
    <chartFormat chart="2" format="10">
      <pivotArea type="data" outline="0" fieldPosition="0">
        <references count="2">
          <reference field="4294967294" count="1" selected="0">
            <x v="0"/>
          </reference>
          <reference field="5" count="1" selected="0">
            <x v="1"/>
          </reference>
        </references>
      </pivotArea>
    </chartFormat>
    <chartFormat chart="2" format="11">
      <pivotArea type="data" outline="0" fieldPosition="0">
        <references count="2">
          <reference field="4294967294" count="1" selected="0">
            <x v="0"/>
          </reference>
          <reference field="5" count="1" selected="0">
            <x v="2"/>
          </reference>
        </references>
      </pivotArea>
    </chartFormat>
    <chartFormat chart="2" format="12">
      <pivotArea type="data" outline="0" fieldPosition="0">
        <references count="2">
          <reference field="4294967294" count="1" selected="0">
            <x v="0"/>
          </reference>
          <reference field="5" count="1" selected="0">
            <x v="3"/>
          </reference>
        </references>
      </pivotArea>
    </chartFormat>
    <chartFormat chart="2" format="13">
      <pivotArea type="data" outline="0" fieldPosition="0">
        <references count="2">
          <reference field="4294967294" count="1" selected="0">
            <x v="0"/>
          </reference>
          <reference field="5" count="1" selected="0">
            <x v="4"/>
          </reference>
        </references>
      </pivotArea>
    </chartFormat>
    <chartFormat chart="2" format="14">
      <pivotArea type="data" outline="0" fieldPosition="0">
        <references count="2">
          <reference field="4294967294" count="1" selected="0">
            <x v="0"/>
          </reference>
          <reference field="5" count="1" selected="0">
            <x v="5"/>
          </reference>
        </references>
      </pivotArea>
    </chartFormat>
    <chartFormat chart="2" format="15">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57831C-63AD-41C3-A0A9-C5108E4D8FD9}" name="PivotTable7" cacheId="8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J3" firstHeaderRow="1" firstDataRow="1" firstDataCol="0"/>
  <pivotFields count="26">
    <pivotField dataField="1" showAll="0"/>
    <pivotField showAll="0">
      <items count="5">
        <item x="0"/>
        <item x="2"/>
        <item x="1"/>
        <item x="3"/>
        <item t="default"/>
      </items>
    </pivotField>
    <pivotField showAll="0">
      <items count="5">
        <item h="1" x="2"/>
        <item h="1" x="1"/>
        <item x="0"/>
        <item h="1" x="3"/>
        <item t="default"/>
      </items>
    </pivotField>
    <pivotField showAll="0"/>
    <pivotField showAll="0"/>
    <pivotField showAll="0">
      <items count="8">
        <item x="1"/>
        <item x="5"/>
        <item x="4"/>
        <item x="0"/>
        <item x="2"/>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h="1" x="0"/>
        <item x="2"/>
        <item h="1" x="1"/>
        <item h="1" x="3"/>
        <item t="default"/>
      </items>
    </pivotField>
    <pivotField showAll="0"/>
    <pivotField showAll="0"/>
    <pivotField showAll="0"/>
    <pivotField showAll="0"/>
    <pivotField showAll="0"/>
    <pivotField showAll="0"/>
    <pivotField showAll="0"/>
    <pivotField showAll="0"/>
  </pivotFields>
  <rowItems count="1">
    <i/>
  </rowItems>
  <colItems count="1">
    <i/>
  </colItems>
  <dataFields count="1">
    <dataField name="Count of Invoice_ID" fld="0" subtotal="count" baseField="0" baseItem="0"/>
  </dataFields>
  <formats count="3">
    <format dxfId="87">
      <pivotArea type="all" dataOnly="0" outline="0" fieldPosition="0"/>
    </format>
    <format dxfId="88">
      <pivotArea outline="0" collapsedLevelsAreSubtotals="1" fieldPosition="0"/>
    </format>
    <format dxfId="8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FF33E5-0F69-4DC5-A4FE-75BA8B00DB0A}" name="PivotTable1" cacheId="8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26">
    <pivotField showAll="0"/>
    <pivotField showAll="0">
      <items count="5">
        <item x="0"/>
        <item x="2"/>
        <item x="1"/>
        <item x="3"/>
        <item t="default"/>
      </items>
    </pivotField>
    <pivotField showAll="0">
      <items count="5">
        <item h="1" x="2"/>
        <item h="1" x="1"/>
        <item x="0"/>
        <item h="1" x="3"/>
        <item t="default"/>
      </items>
    </pivotField>
    <pivotField showAll="0"/>
    <pivotField showAll="0"/>
    <pivotField showAll="0">
      <items count="8">
        <item x="1"/>
        <item x="5"/>
        <item x="4"/>
        <item x="0"/>
        <item x="2"/>
        <item x="3"/>
        <item x="6"/>
        <item t="default"/>
      </items>
    </pivotField>
    <pivotField showAll="0"/>
    <pivotField showAll="0"/>
    <pivotField showAll="0"/>
    <pivotField dataField="1" showAll="0"/>
    <pivotField showAll="0"/>
    <pivotField showAll="0"/>
    <pivotField showAll="0"/>
    <pivotField showAll="0"/>
    <pivotField showAll="0"/>
    <pivotField showAll="0"/>
    <pivotField showAll="0"/>
    <pivotField axis="axisRow" showAll="0">
      <items count="5">
        <item h="1" x="0"/>
        <item x="2"/>
        <item h="1" x="1"/>
        <item n="xxxxxx" h="1" x="3"/>
        <item t="default"/>
      </items>
    </pivotField>
    <pivotField showAll="0"/>
    <pivotField showAll="0"/>
    <pivotField showAll="0"/>
    <pivotField showAll="0"/>
    <pivotField showAll="0"/>
    <pivotField showAll="0"/>
    <pivotField showAll="0"/>
    <pivotField showAll="0"/>
  </pivotFields>
  <rowFields count="1">
    <field x="17"/>
  </rowFields>
  <rowItems count="2">
    <i>
      <x v="1"/>
    </i>
    <i t="grand">
      <x/>
    </i>
  </rowItems>
  <colItems count="1">
    <i/>
  </colItems>
  <dataFields count="1">
    <dataField name="Sum of Sales" fld="9" baseField="0" baseItem="0"/>
  </dataFields>
  <formats count="7">
    <format dxfId="80">
      <pivotArea field="17" type="button" dataOnly="0" labelOnly="1" outline="0" axis="axisRow" fieldPosition="0"/>
    </format>
    <format dxfId="81">
      <pivotArea dataOnly="0" labelOnly="1" fieldPosition="0">
        <references count="1">
          <reference field="17" count="0"/>
        </references>
      </pivotArea>
    </format>
    <format dxfId="82">
      <pivotArea dataOnly="0" labelOnly="1" grandRow="1" outline="0" fieldPosition="0"/>
    </format>
    <format dxfId="83">
      <pivotArea outline="0" collapsedLevelsAreSubtotals="1" fieldPosition="0"/>
    </format>
    <format dxfId="84">
      <pivotArea dataOnly="0" labelOnly="1" outline="0" axis="axisValues" fieldPosition="0"/>
    </format>
    <format dxfId="85">
      <pivotArea collapsedLevelsAreSubtotals="1" fieldPosition="0">
        <references count="1">
          <reference field="17" count="0"/>
        </references>
      </pivotArea>
    </format>
    <format dxfId="86">
      <pivotArea dataOnly="0" labelOnly="1" fieldPosition="0">
        <references count="1">
          <reference field="17"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441070-B384-48F5-81CF-B43D105A8FF0}" name="PivotTable3" cacheId="8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4:B26" firstHeaderRow="1" firstDataRow="1" firstDataCol="1"/>
  <pivotFields count="26">
    <pivotField showAll="0"/>
    <pivotField axis="axisRow" showAll="0">
      <items count="5">
        <item x="0"/>
        <item x="2"/>
        <item x="1"/>
        <item x="3"/>
        <item t="default"/>
      </items>
    </pivotField>
    <pivotField showAll="0">
      <items count="5">
        <item h="1" x="2"/>
        <item h="1" x="1"/>
        <item x="0"/>
        <item h="1" x="3"/>
        <item t="default"/>
      </items>
    </pivotField>
    <pivotField showAll="0"/>
    <pivotField showAll="0"/>
    <pivotField showAll="0">
      <items count="8">
        <item x="1"/>
        <item x="5"/>
        <item x="4"/>
        <item x="0"/>
        <item x="2"/>
        <item x="3"/>
        <item x="6"/>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items count="5">
        <item h="1" x="0"/>
        <item x="2"/>
        <item h="1" x="1"/>
        <item h="1" x="3"/>
        <item t="default"/>
      </items>
    </pivotField>
    <pivotField showAll="0"/>
    <pivotField showAll="0"/>
    <pivotField showAll="0"/>
    <pivotField showAll="0"/>
    <pivotField showAll="0"/>
    <pivotField showAll="0"/>
    <pivotField showAll="0"/>
    <pivotField showAll="0"/>
  </pivotFields>
  <rowFields count="1">
    <field x="1"/>
  </rowFields>
  <rowItems count="2">
    <i>
      <x/>
    </i>
    <i t="grand">
      <x/>
    </i>
  </rowItems>
  <colItems count="1">
    <i/>
  </colItems>
  <dataFields count="1">
    <dataField name="Sum of Sales" fld="9" baseField="0" baseItem="0"/>
  </dataFields>
  <formats count="5">
    <format dxfId="75">
      <pivotArea field="1" type="button" dataOnly="0" labelOnly="1" outline="0" axis="axisRow" fieldPosition="0"/>
    </format>
    <format dxfId="76">
      <pivotArea dataOnly="0" labelOnly="1" fieldPosition="0">
        <references count="1">
          <reference field="1" count="0"/>
        </references>
      </pivotArea>
    </format>
    <format dxfId="77">
      <pivotArea dataOnly="0" labelOnly="1" grandRow="1" outline="0" fieldPosition="0"/>
    </format>
    <format dxfId="78">
      <pivotArea outline="0" collapsedLevelsAreSubtotals="1" fieldPosition="0"/>
    </format>
    <format dxfId="7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06F1CD-C6B4-439F-A9A1-BABAB7A69E12}" name="PivotTable9" cacheId="8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3:M14" firstHeaderRow="0" firstDataRow="1" firstDataCol="0"/>
  <pivotFields count="26">
    <pivotField showAll="0"/>
    <pivotField showAll="0">
      <items count="5">
        <item x="0"/>
        <item x="2"/>
        <item x="1"/>
        <item x="3"/>
        <item t="default"/>
      </items>
    </pivotField>
    <pivotField showAll="0">
      <items count="5">
        <item h="1" x="2"/>
        <item h="1" x="1"/>
        <item x="0"/>
        <item h="1" x="3"/>
        <item t="default"/>
      </items>
    </pivotField>
    <pivotField showAll="0"/>
    <pivotField showAll="0"/>
    <pivotField showAll="0">
      <items count="8">
        <item x="1"/>
        <item x="5"/>
        <item x="4"/>
        <item x="0"/>
        <item x="2"/>
        <item x="3"/>
        <item x="6"/>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showAll="0">
      <items count="5">
        <item h="1" x="0"/>
        <item x="2"/>
        <item h="1" x="1"/>
        <item h="1" x="3"/>
        <item t="default"/>
      </items>
    </pivotField>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Sum of gross income" fld="15" baseField="0" baseItem="0"/>
    <dataField name="Average of Rating" fld="16" subtotal="average" baseField="0" baseItem="1"/>
  </dataFields>
  <formats count="4">
    <format dxfId="71">
      <pivotArea outline="0" collapsedLevelsAreSubtotals="1" fieldPosition="0">
        <references count="1">
          <reference field="4294967294" count="1" selected="0">
            <x v="0"/>
          </reference>
        </references>
      </pivotArea>
    </format>
    <format dxfId="72">
      <pivotArea dataOnly="0" labelOnly="1" outline="0" fieldPosition="0">
        <references count="1">
          <reference field="4294967294" count="1">
            <x v="0"/>
          </reference>
        </references>
      </pivotArea>
    </format>
    <format dxfId="73">
      <pivotArea outline="0" collapsedLevelsAreSubtotals="1" fieldPosition="0">
        <references count="1">
          <reference field="4294967294" count="1" selected="0">
            <x v="1"/>
          </reference>
        </references>
      </pivotArea>
    </format>
    <format dxfId="74">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CA8443-649D-4A69-862B-5EE2740DB9BF}" name="PivotTable8" cacheId="8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3:K14" firstHeaderRow="0" firstDataRow="1" firstDataCol="0"/>
  <pivotFields count="26">
    <pivotField dataField="1" showAll="0"/>
    <pivotField showAll="0">
      <items count="5">
        <item x="0"/>
        <item x="2"/>
        <item x="1"/>
        <item x="3"/>
        <item t="default"/>
      </items>
    </pivotField>
    <pivotField showAll="0">
      <items count="5">
        <item h="1" x="2"/>
        <item h="1" x="1"/>
        <item x="0"/>
        <item h="1" x="3"/>
        <item t="default"/>
      </items>
    </pivotField>
    <pivotField showAll="0"/>
    <pivotField showAll="0"/>
    <pivotField dataField="1" showAll="0">
      <items count="8">
        <item x="1"/>
        <item x="5"/>
        <item x="4"/>
        <item x="0"/>
        <item x="2"/>
        <item x="3"/>
        <item x="6"/>
        <item t="default"/>
      </items>
    </pivotField>
    <pivotField showAll="0"/>
    <pivotField dataField="1" showAll="0"/>
    <pivotField showAll="0"/>
    <pivotField dataField="1" showAll="0"/>
    <pivotField showAll="0"/>
    <pivotField showAll="0"/>
    <pivotField showAll="0"/>
    <pivotField dataField="1" showAll="0"/>
    <pivotField showAll="0"/>
    <pivotField showAll="0"/>
    <pivotField showAll="0"/>
    <pivotField showAll="0">
      <items count="5">
        <item h="1" x="0"/>
        <item x="2"/>
        <item h="1" x="1"/>
        <item h="1" x="3"/>
        <item t="default"/>
      </items>
    </pivotField>
    <pivotField showAll="0"/>
    <pivotField showAll="0"/>
    <pivotField showAll="0"/>
    <pivotField showAll="0"/>
    <pivotField showAll="0"/>
    <pivotField showAll="0"/>
    <pivotField showAll="0"/>
    <pivotField showAll="0"/>
  </pivotFields>
  <rowItems count="1">
    <i/>
  </rowItems>
  <colFields count="1">
    <field x="-2"/>
  </colFields>
  <colItems count="5">
    <i>
      <x/>
    </i>
    <i i="1">
      <x v="1"/>
    </i>
    <i i="2">
      <x v="2"/>
    </i>
    <i i="3">
      <x v="3"/>
    </i>
    <i i="4">
      <x v="4"/>
    </i>
  </colItems>
  <dataFields count="5">
    <dataField name="Count of Invoice_ID" fld="0" subtotal="count" baseField="0" baseItem="0"/>
    <dataField name="Sum of cogs" fld="13" baseField="0" baseItem="0"/>
    <dataField name="Sum of Sales" fld="9" baseField="0" baseItem="0"/>
    <dataField name="Sum of Quantity" fld="7" baseField="0" baseItem="0"/>
    <dataField name="Count of Product line" fld="5" subtotal="count" baseField="0" baseItem="0"/>
  </dataFields>
  <formats count="10">
    <format dxfId="61">
      <pivotArea outline="0" collapsedLevelsAreSubtotals="1" fieldPosition="0">
        <references count="1">
          <reference field="4294967294" count="1" selected="0">
            <x v="0"/>
          </reference>
        </references>
      </pivotArea>
    </format>
    <format dxfId="62">
      <pivotArea dataOnly="0" labelOnly="1" outline="0" fieldPosition="0">
        <references count="1">
          <reference field="4294967294" count="1">
            <x v="0"/>
          </reference>
        </references>
      </pivotArea>
    </format>
    <format dxfId="63">
      <pivotArea outline="0" collapsedLevelsAreSubtotals="1" fieldPosition="0">
        <references count="1">
          <reference field="4294967294" count="1" selected="0">
            <x v="1"/>
          </reference>
        </references>
      </pivotArea>
    </format>
    <format dxfId="64">
      <pivotArea dataOnly="0" labelOnly="1" outline="0" fieldPosition="0">
        <references count="1">
          <reference field="4294967294" count="1">
            <x v="1"/>
          </reference>
        </references>
      </pivotArea>
    </format>
    <format dxfId="65">
      <pivotArea outline="0" collapsedLevelsAreSubtotals="1" fieldPosition="0">
        <references count="1">
          <reference field="4294967294" count="1" selected="0">
            <x v="2"/>
          </reference>
        </references>
      </pivotArea>
    </format>
    <format dxfId="66">
      <pivotArea dataOnly="0" labelOnly="1" outline="0" fieldPosition="0">
        <references count="1">
          <reference field="4294967294" count="1">
            <x v="2"/>
          </reference>
        </references>
      </pivotArea>
    </format>
    <format dxfId="67">
      <pivotArea outline="0" collapsedLevelsAreSubtotals="1" fieldPosition="0">
        <references count="1">
          <reference field="4294967294" count="1" selected="0">
            <x v="3"/>
          </reference>
        </references>
      </pivotArea>
    </format>
    <format dxfId="68">
      <pivotArea dataOnly="0" labelOnly="1" outline="0" fieldPosition="0">
        <references count="1">
          <reference field="4294967294" count="1">
            <x v="3"/>
          </reference>
        </references>
      </pivotArea>
    </format>
    <format dxfId="69">
      <pivotArea outline="0" collapsedLevelsAreSubtotals="1" fieldPosition="0">
        <references count="1">
          <reference field="4294967294" count="1" selected="0">
            <x v="4"/>
          </reference>
        </references>
      </pivotArea>
    </format>
    <format dxfId="70">
      <pivotArea dataOnly="0" labelOnly="1" outline="0" fieldPosition="0">
        <references count="1">
          <reference field="4294967294"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C3840AC-4D95-41EE-9FEB-A60672909A9E}" autoFormatId="16" applyNumberFormats="0" applyBorderFormats="0" applyFontFormats="0" applyPatternFormats="0" applyAlignmentFormats="0" applyWidthHeightFormats="0">
  <queryTableRefresh nextId="24">
    <queryTableFields count="17">
      <queryTableField id="22"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Sales" tableColumnId="10"/>
      <queryTableField id="11" name="Date" tableColumnId="11"/>
      <queryTableField id="12" name="Time" tableColumnId="12"/>
      <queryTableField id="13" name="Payment" tableColumnId="13"/>
      <queryTableField id="14" name="cogs" tableColumnId="14"/>
      <queryTableField id="15" name="gross margin percentage" tableColumnId="15"/>
      <queryTableField id="16" name="gross income" tableColumnId="16"/>
      <queryTableField id="17" name="Rating" tableColumnId="17"/>
    </queryTableFields>
    <queryTableDeletedFields count="4">
      <deletedField name="Column1"/>
      <deletedField name="_1"/>
      <deletedField name="_2"/>
      <deletedField name="_3"/>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E35C5CA2-C413-4C99-AF9F-D815C0C29339}" sourceName="Branch">
  <pivotTables>
    <pivotTable tabId="5" name="PivotTable7"/>
    <pivotTable tabId="5" name="PivotTable1"/>
    <pivotTable tabId="5" name="PivotTable2"/>
    <pivotTable tabId="5" name="PivotTable3"/>
    <pivotTable tabId="5" name="PivotTable4"/>
    <pivotTable tabId="5" name="PivotTable5"/>
    <pivotTable tabId="5" name="PivotTable6"/>
    <pivotTable tabId="5" name="PivotTable8"/>
    <pivotTable tabId="5" name="PivotTable9"/>
  </pivotTables>
  <data>
    <tabular pivotCacheId="1351772054">
      <items count="4">
        <i x="0" s="1"/>
        <i x="2" s="1" nd="1"/>
        <i x="1" s="1" nd="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1A628F07-507A-45C2-8B22-E4CAA29029A3}" sourceName="Product line">
  <pivotTables>
    <pivotTable tabId="5" name="PivotTable7"/>
    <pivotTable tabId="5" name="PivotTable1"/>
    <pivotTable tabId="5" name="PivotTable2"/>
    <pivotTable tabId="5" name="PivotTable3"/>
    <pivotTable tabId="5" name="PivotTable4"/>
    <pivotTable tabId="5" name="PivotTable5"/>
    <pivotTable tabId="5" name="PivotTable6"/>
    <pivotTable tabId="5" name="PivotTable8"/>
    <pivotTable tabId="5" name="PivotTable9"/>
  </pivotTables>
  <data>
    <tabular pivotCacheId="1351772054">
      <items count="7">
        <i x="1" s="1"/>
        <i x="5" s="1"/>
        <i x="4" s="1"/>
        <i x="0" s="1"/>
        <i x="2" s="1"/>
        <i x="3" s="1"/>
        <i x="6"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FBF2417-5C5A-498A-B377-F3E5BA649BBC}" sourceName="Month">
  <pivotTables>
    <pivotTable tabId="5" name="PivotTable5"/>
    <pivotTable tabId="5" name="PivotTable1"/>
    <pivotTable tabId="5" name="PivotTable2"/>
    <pivotTable tabId="5" name="PivotTable3"/>
    <pivotTable tabId="5" name="PivotTable4"/>
    <pivotTable tabId="5" name="PivotTable6"/>
    <pivotTable tabId="5" name="PivotTable7"/>
    <pivotTable tabId="5" name="PivotTable8"/>
    <pivotTable tabId="5" name="PivotTable9"/>
  </pivotTables>
  <data>
    <tabular pivotCacheId="1351772054">
      <items count="4">
        <i x="0"/>
        <i x="2" s="1"/>
        <i x="1"/>
        <i x="3"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870E8F8-3CE4-41AC-AD71-38939E5FE29A}" sourceName="City">
  <pivotTables>
    <pivotTable tabId="5" name="PivotTable5"/>
    <pivotTable tabId="5" name="PivotTable1"/>
    <pivotTable tabId="5" name="PivotTable2"/>
    <pivotTable tabId="5" name="PivotTable3"/>
    <pivotTable tabId="5" name="PivotTable4"/>
    <pivotTable tabId="5" name="PivotTable6"/>
    <pivotTable tabId="5" name="PivotTable7"/>
    <pivotTable tabId="5" name="PivotTable8"/>
    <pivotTable tabId="5" name="PivotTable9"/>
  </pivotTables>
  <data>
    <tabular pivotCacheId="1351772054">
      <items count="4">
        <i x="2"/>
        <i x="1"/>
        <i x="0" s="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C48BA2AC-342D-4A08-8E2B-AFD024A7BBDA}" cache="Slicer_Branch" caption="Branch" columnCount="3" style="SlicerStyleDark2" rowHeight="234950"/>
  <slicer name="Product line" xr10:uid="{7BFBDF70-1E29-4F7C-B4C6-4897BC270C36}" cache="Slicer_Product_line" caption="Product line" columnCount="6" style="SlicerStyleDark2" rowHeight="234950"/>
  <slicer name="Month" xr10:uid="{9A5135ED-FD10-492A-9C0F-66F6B66B466F}" cache="Slicer_Month" caption="Month" columnCount="3" style="SlicerStyleDark2" rowHeight="234950"/>
  <slicer name="City" xr10:uid="{4D74F731-A02C-4C79-9E52-9206E69C3F48}" cache="Slicer_City" caption="City" columnCount="3" style="SlicerStyleDark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95836F-7674-4C4F-BE0D-F53AF7E607FF}" name="RawData" displayName="RawData" ref="A1:Q1001" tableType="queryTable" totalsRowShown="0">
  <autoFilter ref="A1:Q1001" xr:uid="{C195836F-7674-4C4F-BE0D-F53AF7E607FF}"/>
  <tableColumns count="17">
    <tableColumn id="1" xr3:uid="{CC67AE21-B30E-4112-99A2-ED4FBAA84D01}" uniqueName="1" name="Invoice ID" queryTableFieldId="22" dataDxfId="60"/>
    <tableColumn id="2" xr3:uid="{2178B1C8-EA9B-45DB-B21F-EF2D8B4DDABE}" uniqueName="2" name="Branch" queryTableFieldId="2" dataDxfId="59"/>
    <tableColumn id="3" xr3:uid="{D26AB13B-4596-45A4-90DD-2EF85638F71D}" uniqueName="3" name="City" queryTableFieldId="3" dataDxfId="58"/>
    <tableColumn id="4" xr3:uid="{C8BD1FC4-F6AF-4AA9-A385-825B2F354588}" uniqueName="4" name="Customer type" queryTableFieldId="4" dataDxfId="57"/>
    <tableColumn id="5" xr3:uid="{53362132-8ABD-4E92-BA7A-D035365CC613}" uniqueName="5" name="Gender" queryTableFieldId="5" dataDxfId="56"/>
    <tableColumn id="6" xr3:uid="{F661D362-A93F-4A35-B5E8-B19D5A660EB3}" uniqueName="6" name="Product line" queryTableFieldId="6" dataDxfId="55"/>
    <tableColumn id="7" xr3:uid="{E37F137D-DDA7-4138-A084-1E029793DC9B}" uniqueName="7" name="Unit price" queryTableFieldId="7" dataDxfId="54"/>
    <tableColumn id="8" xr3:uid="{FD0A3091-7D10-41F1-B738-E1C4720FF666}" uniqueName="8" name="Quantity" queryTableFieldId="8" dataDxfId="53"/>
    <tableColumn id="9" xr3:uid="{1605325D-79B0-4DB4-A8F9-38A647D71182}" uniqueName="9" name="Tax 5%" queryTableFieldId="9" dataDxfId="52"/>
    <tableColumn id="10" xr3:uid="{54E50EE4-8A3F-4E3C-A005-856E8C6EB20E}" uniqueName="10" name="Sales" queryTableFieldId="10" dataDxfId="51"/>
    <tableColumn id="11" xr3:uid="{55548771-1C38-4306-BB2A-BF001A47EF8E}" uniqueName="11" name="Date" queryTableFieldId="11" dataDxfId="50"/>
    <tableColumn id="12" xr3:uid="{436A7773-4E33-41B7-9777-C19710A23CE4}" uniqueName="12" name="Time" queryTableFieldId="12" dataDxfId="49"/>
    <tableColumn id="13" xr3:uid="{C9E15790-444F-4EFD-AE33-957AA3E3B7E5}" uniqueName="13" name="Payment" queryTableFieldId="13" dataDxfId="48"/>
    <tableColumn id="14" xr3:uid="{DD34D2A2-FD03-45D3-9555-CC8336BD41C5}" uniqueName="14" name="cogs" queryTableFieldId="14" dataDxfId="47"/>
    <tableColumn id="15" xr3:uid="{82F96854-49DC-46D0-B777-086A3958D19B}" uniqueName="15" name="gross margin percentage" queryTableFieldId="15" dataDxfId="46"/>
    <tableColumn id="16" xr3:uid="{E6144E32-5AC9-4DDC-861C-ECA3B706911A}" uniqueName="16" name="gross income" queryTableFieldId="16" dataDxfId="45"/>
    <tableColumn id="17" xr3:uid="{63B952E7-84C1-4F0E-974B-7B2F789A6EE1}" uniqueName="17" name="Rating" queryTableFieldId="17" dataDxfId="44"/>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616B79-94B1-472D-B9DE-AD93F01DA2E5}" name="DataClean" displayName="DataClean" ref="A1:Q1001" totalsRowShown="0" headerRowDxfId="43">
  <autoFilter ref="A1:Q1001" xr:uid="{C195836F-7674-4C4F-BE0D-F53AF7E607FF}"/>
  <tableColumns count="17">
    <tableColumn id="1" xr3:uid="{1ACC0E5C-CF04-4BAE-97E9-A3F6CCBB379D}" name="Invoice_ID" dataDxfId="42"/>
    <tableColumn id="2" xr3:uid="{3D6DDE37-E84C-4C4E-B2E1-221E3A4D0D5F}" name="Branch" dataDxfId="41"/>
    <tableColumn id="3" xr3:uid="{D2B48634-DF7C-4809-9FFE-2B145400DFDD}" name="City" dataDxfId="40"/>
    <tableColumn id="4" xr3:uid="{F680460D-C315-4AC2-87CA-47B26099945B}" name="Customer type" dataDxfId="39"/>
    <tableColumn id="5" xr3:uid="{A1AFFDB5-6266-4A7C-B27B-88DE8B240EC1}" name="Gender" dataDxfId="38"/>
    <tableColumn id="6" xr3:uid="{15CCED58-DDB8-4E78-A652-218E4B4B8C42}" name="Product line" dataDxfId="37"/>
    <tableColumn id="7" xr3:uid="{17F48FD0-C6D1-49D6-AE02-2551FFDE4E12}" name="Unit price" dataDxfId="36"/>
    <tableColumn id="8" xr3:uid="{556D90C2-85CB-446A-B70A-C4DF2C95656B}" name="Quantity" dataDxfId="35"/>
    <tableColumn id="9" xr3:uid="{78009327-64B8-4E05-A877-A282BF9A240F}" name="Tax 5%" dataDxfId="34"/>
    <tableColumn id="10" xr3:uid="{2BCF171E-376E-4591-B57E-6274E1817249}" name="Sales" dataDxfId="33"/>
    <tableColumn id="11" xr3:uid="{A20AA367-2BA9-465C-ABB1-8E469ABC5B33}" name="Date" dataDxfId="32"/>
    <tableColumn id="12" xr3:uid="{A02B97B6-5CDC-4A7B-B029-E3D012CCE244}" name="Time" dataDxfId="31"/>
    <tableColumn id="13" xr3:uid="{C427A5B4-8B87-46FB-92AC-E93C3717C0B0}" name="Payment" dataDxfId="30"/>
    <tableColumn id="14" xr3:uid="{9256F8AB-B3B2-4921-B4A2-B5DD28B16B19}" name="cogs" dataDxfId="29"/>
    <tableColumn id="15" xr3:uid="{56CE4C5E-D93B-43AA-86E0-C2F426A982AC}" name="gross margin percentage" dataDxfId="28"/>
    <tableColumn id="16" xr3:uid="{E7B3D93E-E1B7-4255-89F1-81DA6ADC1DC3}" name="gross income" dataDxfId="27"/>
    <tableColumn id="17" xr3:uid="{D78E3899-24F2-4C6C-8CDE-08DDB30755E2}" name="Rating" dataDxfId="26"/>
  </tableColumns>
  <tableStyleInfo name="TableStyleLight1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613031-70A6-4D19-AF1B-8FAAB539E002}" name="tbl_sales" displayName="tbl_sales" ref="A1:Y1002" totalsRowShown="0" headerRowDxfId="25">
  <autoFilter ref="A1:Y1002" xr:uid="{C195836F-7674-4C4F-BE0D-F53AF7E607FF}">
    <filterColumn colId="0">
      <customFilters>
        <customFilter operator="notEqual" val=" "/>
      </customFilters>
    </filterColumn>
  </autoFilter>
  <tableColumns count="25">
    <tableColumn id="1" xr3:uid="{0B8DD072-951F-4E0C-9710-56818A034616}" name="Invoice_ID" dataDxfId="24"/>
    <tableColumn id="2" xr3:uid="{5B207FF8-6E61-4E20-A53C-6C5AC9A6F3F4}" name="Branch" dataDxfId="23"/>
    <tableColumn id="3" xr3:uid="{41860F44-7243-4140-A89A-6B6C381EB92A}" name="City" dataDxfId="22"/>
    <tableColumn id="4" xr3:uid="{08CCB5C5-3E87-43C5-B74C-971CA61D8196}" name="Customer type" dataDxfId="21"/>
    <tableColumn id="5" xr3:uid="{6E18A974-5204-4D40-9299-33607841D8EB}" name="Gender" dataDxfId="20"/>
    <tableColumn id="6" xr3:uid="{C5B1265C-614A-4A7A-A1E6-1C676E6A2E51}" name="Product line" dataDxfId="19"/>
    <tableColumn id="7" xr3:uid="{014AAAA7-9109-4236-BF08-7573B3FDEC05}" name="Unit price" dataDxfId="18"/>
    <tableColumn id="8" xr3:uid="{67E0D75A-5B38-4295-9102-6519FB81EA27}" name="Quantity" dataDxfId="17"/>
    <tableColumn id="9" xr3:uid="{E0316481-7AB4-434F-806C-77B1B8016F6B}" name="Tax 5%" dataDxfId="16"/>
    <tableColumn id="10" xr3:uid="{3AB7010D-D9D7-41CA-8967-0E424B24357B}" name="Sales" dataDxfId="15"/>
    <tableColumn id="11" xr3:uid="{657502D3-78E8-4619-847D-2327037735E7}" name="Date" dataDxfId="14"/>
    <tableColumn id="12" xr3:uid="{BA741229-8A29-466A-BA07-D2F394182758}" name="Time" dataDxfId="13"/>
    <tableColumn id="13" xr3:uid="{5FBF8C75-0D96-4A92-A7C5-A9716133C7F4}" name="Payment" dataDxfId="12"/>
    <tableColumn id="14" xr3:uid="{3AC213C0-C865-4913-85CD-6B79A177BA4E}" name="cogs" dataDxfId="11"/>
    <tableColumn id="15" xr3:uid="{C847234F-E444-4744-A38C-52C1577041D3}" name="gross margin percentage" dataDxfId="10"/>
    <tableColumn id="16" xr3:uid="{64197B99-F82A-4ADB-B9B9-6E1CC6996AEC}" name="gross income" dataDxfId="9"/>
    <tableColumn id="17" xr3:uid="{5C343027-F040-4405-882A-ACADC1B373BE}" name="Rating" dataDxfId="8"/>
    <tableColumn id="18" xr3:uid="{F4E5F4B1-3744-4E3F-9BD0-68642EBC74A8}" name="Month" dataDxfId="7"/>
    <tableColumn id="22" xr3:uid="{18E3CB31-8E6B-430A-A300-C10A7B0BA03C}" name="Month Number" dataDxfId="6">
      <calculatedColumnFormula>MONTH(K2)</calculatedColumnFormula>
    </tableColumn>
    <tableColumn id="23" xr3:uid="{E0F4380D-928B-4D6E-BC6B-39F6A20D696E}" name="Order Size" dataDxfId="5">
      <calculatedColumnFormula>IF(tbl_sales[[#This Row],[Sales]]&gt;=500,"High Value","Standard")</calculatedColumnFormula>
    </tableColumn>
    <tableColumn id="19" xr3:uid="{F5C41DC3-57CE-4B84-A5AB-C18AD6F4BD39}" name="Order Status" dataDxfId="4"/>
    <tableColumn id="26" xr3:uid="{465B423F-0E5E-4903-BFE6-6046CC79FAB7}" name="Column1" dataDxfId="3"/>
    <tableColumn id="20" xr3:uid="{70958A90-70EC-41CD-8C75-F89CFB653231}" name="Metric" dataDxfId="2"/>
    <tableColumn id="25" xr3:uid="{3878753D-E2CD-49B1-842D-A1F9B07F4D77}" name="Value" dataDxfId="1">
      <calculatedColumnFormula>SUM(J2:J1001)</calculatedColumnFormula>
    </tableColumn>
    <tableColumn id="24" xr3:uid="{6781ED63-8CA7-4B61-8133-5AA47AA10C87}" name="_22" dataDxfId="0"/>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77022-712C-47FC-A4FC-12F6E84E3DA1}">
  <dimension ref="A1:U1001"/>
  <sheetViews>
    <sheetView tabSelected="1" workbookViewId="0">
      <selection activeCell="D18" sqref="D18"/>
    </sheetView>
  </sheetViews>
  <sheetFormatPr defaultRowHeight="14.45"/>
  <cols>
    <col min="1" max="1" width="11.5703125" bestFit="1" customWidth="1"/>
    <col min="2" max="2" width="9.140625" bestFit="1" customWidth="1"/>
    <col min="3" max="3" width="9.7109375" bestFit="1" customWidth="1"/>
    <col min="4" max="4" width="15.7109375" bestFit="1" customWidth="1"/>
    <col min="5" max="5" width="9.28515625" bestFit="1" customWidth="1"/>
    <col min="6" max="6" width="19.140625" bestFit="1" customWidth="1"/>
    <col min="7" max="7" width="11.28515625" bestFit="1" customWidth="1"/>
    <col min="8" max="8" width="10.5703125" bestFit="1" customWidth="1"/>
    <col min="9" max="9" width="9" bestFit="1" customWidth="1"/>
    <col min="10" max="10" width="8.5703125" bestFit="1" customWidth="1"/>
    <col min="11" max="11" width="9.5703125" bestFit="1" customWidth="1"/>
    <col min="12" max="12" width="11.28515625" bestFit="1" customWidth="1"/>
    <col min="13" max="13" width="10.7109375" bestFit="1" customWidth="1"/>
    <col min="14" max="14" width="7" bestFit="1" customWidth="1"/>
    <col min="15" max="15" width="24.140625" bestFit="1" customWidth="1"/>
    <col min="16" max="16" width="14.28515625" bestFit="1" customWidth="1"/>
    <col min="17" max="17" width="8.5703125" bestFit="1" customWidth="1"/>
    <col min="18" max="18" width="10.7109375" bestFit="1" customWidth="1"/>
    <col min="19" max="20" width="5.28515625" bestFit="1" customWidth="1"/>
    <col min="21" max="21" width="5.28515625" customWidth="1"/>
    <col min="22" max="22" width="22.140625" bestFit="1" customWidth="1"/>
  </cols>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s="1" t="s">
        <v>21</v>
      </c>
      <c r="B2" s="1" t="s">
        <v>22</v>
      </c>
      <c r="C2" s="1" t="s">
        <v>23</v>
      </c>
      <c r="D2" s="1" t="s">
        <v>24</v>
      </c>
      <c r="E2" s="1" t="s">
        <v>25</v>
      </c>
      <c r="F2" s="1" t="s">
        <v>26</v>
      </c>
      <c r="G2" s="1" t="s">
        <v>27</v>
      </c>
      <c r="H2" s="1" t="s">
        <v>28</v>
      </c>
      <c r="I2" s="1" t="s">
        <v>29</v>
      </c>
      <c r="J2" s="1" t="s">
        <v>30</v>
      </c>
      <c r="K2" s="1" t="s">
        <v>31</v>
      </c>
      <c r="L2" s="1" t="s">
        <v>32</v>
      </c>
      <c r="M2" s="1" t="s">
        <v>33</v>
      </c>
      <c r="N2" s="1" t="s">
        <v>34</v>
      </c>
      <c r="O2" s="1" t="s">
        <v>35</v>
      </c>
      <c r="P2" s="1" t="s">
        <v>29</v>
      </c>
      <c r="Q2" s="1" t="s">
        <v>36</v>
      </c>
      <c r="R2" s="1" t="s">
        <v>37</v>
      </c>
      <c r="S2" s="1" t="s">
        <v>37</v>
      </c>
      <c r="T2" s="1" t="s">
        <v>37</v>
      </c>
      <c r="U2" s="1" t="s">
        <v>37</v>
      </c>
    </row>
    <row r="3" spans="1:21">
      <c r="A3" s="1" t="s">
        <v>38</v>
      </c>
      <c r="B3" s="1" t="s">
        <v>39</v>
      </c>
      <c r="C3" s="1" t="s">
        <v>40</v>
      </c>
      <c r="D3" s="1" t="s">
        <v>41</v>
      </c>
      <c r="E3" s="1" t="s">
        <v>25</v>
      </c>
      <c r="F3" s="1" t="s">
        <v>42</v>
      </c>
      <c r="G3" s="1" t="s">
        <v>43</v>
      </c>
      <c r="H3" s="1" t="s">
        <v>44</v>
      </c>
      <c r="I3" s="1" t="s">
        <v>45</v>
      </c>
      <c r="J3" s="1" t="s">
        <v>46</v>
      </c>
      <c r="K3" s="1" t="s">
        <v>47</v>
      </c>
      <c r="L3" s="1" t="s">
        <v>48</v>
      </c>
      <c r="M3" s="1" t="s">
        <v>49</v>
      </c>
      <c r="N3" s="1" t="s">
        <v>50</v>
      </c>
      <c r="O3" s="1" t="s">
        <v>35</v>
      </c>
      <c r="P3" s="1" t="s">
        <v>45</v>
      </c>
      <c r="Q3" s="1" t="s">
        <v>51</v>
      </c>
      <c r="R3" s="1" t="s">
        <v>37</v>
      </c>
      <c r="S3" s="1" t="s">
        <v>37</v>
      </c>
      <c r="T3" s="1" t="s">
        <v>37</v>
      </c>
      <c r="U3" s="1" t="s">
        <v>37</v>
      </c>
    </row>
    <row r="4" spans="1:21">
      <c r="A4" s="1" t="s">
        <v>52</v>
      </c>
      <c r="B4" s="1" t="s">
        <v>22</v>
      </c>
      <c r="C4" s="1" t="s">
        <v>23</v>
      </c>
      <c r="D4" s="1" t="s">
        <v>41</v>
      </c>
      <c r="E4" s="1" t="s">
        <v>25</v>
      </c>
      <c r="F4" s="1" t="s">
        <v>53</v>
      </c>
      <c r="G4" s="1" t="s">
        <v>54</v>
      </c>
      <c r="H4" s="1" t="s">
        <v>28</v>
      </c>
      <c r="I4" s="1" t="s">
        <v>55</v>
      </c>
      <c r="J4" s="1" t="s">
        <v>56</v>
      </c>
      <c r="K4" s="1" t="s">
        <v>57</v>
      </c>
      <c r="L4" s="1" t="s">
        <v>58</v>
      </c>
      <c r="M4" s="1" t="s">
        <v>59</v>
      </c>
      <c r="N4" s="1" t="s">
        <v>60</v>
      </c>
      <c r="O4" s="1" t="s">
        <v>35</v>
      </c>
      <c r="P4" s="1" t="s">
        <v>55</v>
      </c>
      <c r="Q4" s="1" t="s">
        <v>61</v>
      </c>
      <c r="R4" s="1" t="s">
        <v>37</v>
      </c>
      <c r="S4" s="1" t="s">
        <v>37</v>
      </c>
      <c r="T4" s="1" t="s">
        <v>37</v>
      </c>
      <c r="U4" s="1" t="s">
        <v>37</v>
      </c>
    </row>
    <row r="5" spans="1:21">
      <c r="A5" s="1" t="s">
        <v>62</v>
      </c>
      <c r="B5" s="1" t="s">
        <v>22</v>
      </c>
      <c r="C5" s="1" t="s">
        <v>23</v>
      </c>
      <c r="D5" s="1" t="s">
        <v>24</v>
      </c>
      <c r="E5" s="1" t="s">
        <v>25</v>
      </c>
      <c r="F5" s="1" t="s">
        <v>26</v>
      </c>
      <c r="G5" s="1" t="s">
        <v>63</v>
      </c>
      <c r="H5" s="1" t="s">
        <v>64</v>
      </c>
      <c r="I5" s="1" t="s">
        <v>65</v>
      </c>
      <c r="J5" s="1" t="s">
        <v>66</v>
      </c>
      <c r="K5" s="1" t="s">
        <v>67</v>
      </c>
      <c r="L5" s="1" t="s">
        <v>68</v>
      </c>
      <c r="M5" s="1" t="s">
        <v>33</v>
      </c>
      <c r="N5" s="1" t="s">
        <v>69</v>
      </c>
      <c r="O5" s="1" t="s">
        <v>35</v>
      </c>
      <c r="P5" s="1" t="s">
        <v>65</v>
      </c>
      <c r="Q5" s="1" t="s">
        <v>70</v>
      </c>
      <c r="R5" s="1" t="s">
        <v>37</v>
      </c>
      <c r="S5" s="1" t="s">
        <v>37</v>
      </c>
      <c r="T5" s="1" t="s">
        <v>37</v>
      </c>
      <c r="U5" s="1" t="s">
        <v>37</v>
      </c>
    </row>
    <row r="6" spans="1:21">
      <c r="A6" s="1" t="s">
        <v>71</v>
      </c>
      <c r="B6" s="1" t="s">
        <v>22</v>
      </c>
      <c r="C6" s="1" t="s">
        <v>23</v>
      </c>
      <c r="D6" s="1" t="s">
        <v>24</v>
      </c>
      <c r="E6" s="1" t="s">
        <v>25</v>
      </c>
      <c r="F6" s="1" t="s">
        <v>72</v>
      </c>
      <c r="G6" s="1" t="s">
        <v>73</v>
      </c>
      <c r="H6" s="1" t="s">
        <v>28</v>
      </c>
      <c r="I6" s="1" t="s">
        <v>74</v>
      </c>
      <c r="J6" s="1" t="s">
        <v>75</v>
      </c>
      <c r="K6" s="1" t="s">
        <v>76</v>
      </c>
      <c r="L6" s="1" t="s">
        <v>77</v>
      </c>
      <c r="M6" s="1" t="s">
        <v>33</v>
      </c>
      <c r="N6" s="1" t="s">
        <v>78</v>
      </c>
      <c r="O6" s="1" t="s">
        <v>35</v>
      </c>
      <c r="P6" s="1" t="s">
        <v>74</v>
      </c>
      <c r="Q6" s="1" t="s">
        <v>79</v>
      </c>
      <c r="R6" s="1" t="s">
        <v>37</v>
      </c>
      <c r="S6" s="1" t="s">
        <v>37</v>
      </c>
      <c r="T6" s="1" t="s">
        <v>37</v>
      </c>
      <c r="U6" s="1" t="s">
        <v>37</v>
      </c>
    </row>
    <row r="7" spans="1:21">
      <c r="A7" s="1" t="s">
        <v>80</v>
      </c>
      <c r="B7" s="1" t="s">
        <v>39</v>
      </c>
      <c r="C7" s="1" t="s">
        <v>40</v>
      </c>
      <c r="D7" s="1" t="s">
        <v>24</v>
      </c>
      <c r="E7" s="1" t="s">
        <v>25</v>
      </c>
      <c r="F7" s="1" t="s">
        <v>42</v>
      </c>
      <c r="G7" s="1" t="s">
        <v>81</v>
      </c>
      <c r="H7" s="1" t="s">
        <v>28</v>
      </c>
      <c r="I7" s="1" t="s">
        <v>82</v>
      </c>
      <c r="J7" s="1" t="s">
        <v>83</v>
      </c>
      <c r="K7" s="1" t="s">
        <v>84</v>
      </c>
      <c r="L7" s="1" t="s">
        <v>85</v>
      </c>
      <c r="M7" s="1" t="s">
        <v>33</v>
      </c>
      <c r="N7" s="1" t="s">
        <v>86</v>
      </c>
      <c r="O7" s="1" t="s">
        <v>35</v>
      </c>
      <c r="P7" s="1" t="s">
        <v>82</v>
      </c>
      <c r="Q7" s="1" t="s">
        <v>87</v>
      </c>
      <c r="R7" s="1" t="s">
        <v>37</v>
      </c>
      <c r="S7" s="1" t="s">
        <v>37</v>
      </c>
      <c r="T7" s="1" t="s">
        <v>37</v>
      </c>
      <c r="U7" s="1" t="s">
        <v>37</v>
      </c>
    </row>
    <row r="8" spans="1:21">
      <c r="A8" s="1" t="s">
        <v>88</v>
      </c>
      <c r="B8" s="1" t="s">
        <v>22</v>
      </c>
      <c r="C8" s="1" t="s">
        <v>23</v>
      </c>
      <c r="D8" s="1" t="s">
        <v>24</v>
      </c>
      <c r="E8" s="1" t="s">
        <v>25</v>
      </c>
      <c r="F8" s="1" t="s">
        <v>42</v>
      </c>
      <c r="G8" s="1" t="s">
        <v>89</v>
      </c>
      <c r="H8" s="1" t="s">
        <v>90</v>
      </c>
      <c r="I8" s="1" t="s">
        <v>91</v>
      </c>
      <c r="J8" s="1" t="s">
        <v>92</v>
      </c>
      <c r="K8" s="1" t="s">
        <v>93</v>
      </c>
      <c r="L8" s="1" t="s">
        <v>94</v>
      </c>
      <c r="M8" s="1" t="s">
        <v>33</v>
      </c>
      <c r="N8" s="1" t="s">
        <v>95</v>
      </c>
      <c r="O8" s="1" t="s">
        <v>35</v>
      </c>
      <c r="P8" s="1" t="s">
        <v>91</v>
      </c>
      <c r="Q8" s="1" t="s">
        <v>96</v>
      </c>
      <c r="R8" s="1" t="s">
        <v>37</v>
      </c>
      <c r="S8" s="1" t="s">
        <v>37</v>
      </c>
      <c r="T8" s="1" t="s">
        <v>37</v>
      </c>
      <c r="U8" s="1" t="s">
        <v>37</v>
      </c>
    </row>
    <row r="9" spans="1:21">
      <c r="A9" s="1" t="s">
        <v>97</v>
      </c>
      <c r="B9" s="1" t="s">
        <v>39</v>
      </c>
      <c r="C9" s="1" t="s">
        <v>40</v>
      </c>
      <c r="D9" s="1" t="s">
        <v>24</v>
      </c>
      <c r="E9" s="1" t="s">
        <v>25</v>
      </c>
      <c r="F9" s="1" t="s">
        <v>53</v>
      </c>
      <c r="G9" s="1" t="s">
        <v>98</v>
      </c>
      <c r="H9" s="1" t="s">
        <v>99</v>
      </c>
      <c r="I9" s="1" t="s">
        <v>100</v>
      </c>
      <c r="J9" s="1" t="s">
        <v>101</v>
      </c>
      <c r="K9" s="1" t="s">
        <v>102</v>
      </c>
      <c r="L9" s="1" t="s">
        <v>103</v>
      </c>
      <c r="M9" s="1" t="s">
        <v>33</v>
      </c>
      <c r="N9" s="1" t="s">
        <v>104</v>
      </c>
      <c r="O9" s="1" t="s">
        <v>35</v>
      </c>
      <c r="P9" s="1" t="s">
        <v>100</v>
      </c>
      <c r="Q9" s="1" t="s">
        <v>64</v>
      </c>
      <c r="R9" s="1" t="s">
        <v>37</v>
      </c>
      <c r="S9" s="1" t="s">
        <v>37</v>
      </c>
      <c r="T9" s="1" t="s">
        <v>37</v>
      </c>
      <c r="U9" s="1" t="s">
        <v>37</v>
      </c>
    </row>
    <row r="10" spans="1:21">
      <c r="A10" s="1" t="s">
        <v>105</v>
      </c>
      <c r="B10" s="1" t="s">
        <v>22</v>
      </c>
      <c r="C10" s="1" t="s">
        <v>23</v>
      </c>
      <c r="D10" s="1" t="s">
        <v>24</v>
      </c>
      <c r="E10" s="1" t="s">
        <v>25</v>
      </c>
      <c r="F10" s="1" t="s">
        <v>26</v>
      </c>
      <c r="G10" s="1" t="s">
        <v>106</v>
      </c>
      <c r="H10" s="1" t="s">
        <v>107</v>
      </c>
      <c r="I10" s="1" t="s">
        <v>108</v>
      </c>
      <c r="J10" s="1" t="s">
        <v>109</v>
      </c>
      <c r="K10" s="1" t="s">
        <v>110</v>
      </c>
      <c r="L10" s="1" t="s">
        <v>111</v>
      </c>
      <c r="M10" s="1" t="s">
        <v>59</v>
      </c>
      <c r="N10" s="1" t="s">
        <v>112</v>
      </c>
      <c r="O10" s="1" t="s">
        <v>35</v>
      </c>
      <c r="P10" s="1" t="s">
        <v>108</v>
      </c>
      <c r="Q10" s="1" t="s">
        <v>113</v>
      </c>
      <c r="R10" s="1" t="s">
        <v>37</v>
      </c>
      <c r="S10" s="1" t="s">
        <v>37</v>
      </c>
      <c r="T10" s="1" t="s">
        <v>37</v>
      </c>
      <c r="U10" s="1" t="s">
        <v>37</v>
      </c>
    </row>
    <row r="11" spans="1:21">
      <c r="A11" s="1" t="s">
        <v>114</v>
      </c>
      <c r="B11" s="1" t="s">
        <v>115</v>
      </c>
      <c r="C11" s="1" t="s">
        <v>116</v>
      </c>
      <c r="D11" s="1" t="s">
        <v>24</v>
      </c>
      <c r="E11" s="1" t="s">
        <v>25</v>
      </c>
      <c r="F11" s="1" t="s">
        <v>117</v>
      </c>
      <c r="G11" s="1" t="s">
        <v>118</v>
      </c>
      <c r="H11" s="1" t="s">
        <v>119</v>
      </c>
      <c r="I11" s="1" t="s">
        <v>120</v>
      </c>
      <c r="J11" s="1" t="s">
        <v>121</v>
      </c>
      <c r="K11" s="1" t="s">
        <v>122</v>
      </c>
      <c r="L11" s="1" t="s">
        <v>123</v>
      </c>
      <c r="M11" s="1" t="s">
        <v>59</v>
      </c>
      <c r="N11" s="1" t="s">
        <v>124</v>
      </c>
      <c r="O11" s="1" t="s">
        <v>35</v>
      </c>
      <c r="P11" s="1" t="s">
        <v>120</v>
      </c>
      <c r="Q11" s="1" t="s">
        <v>125</v>
      </c>
      <c r="R11" s="1" t="s">
        <v>37</v>
      </c>
      <c r="S11" s="1" t="s">
        <v>37</v>
      </c>
      <c r="T11" s="1" t="s">
        <v>37</v>
      </c>
      <c r="U11" s="1" t="s">
        <v>37</v>
      </c>
    </row>
    <row r="12" spans="1:21">
      <c r="A12" s="1" t="s">
        <v>126</v>
      </c>
      <c r="B12" s="1" t="s">
        <v>115</v>
      </c>
      <c r="C12" s="1" t="s">
        <v>116</v>
      </c>
      <c r="D12" s="1" t="s">
        <v>24</v>
      </c>
      <c r="E12" s="1" t="s">
        <v>25</v>
      </c>
      <c r="F12" s="1" t="s">
        <v>127</v>
      </c>
      <c r="G12" s="1" t="s">
        <v>128</v>
      </c>
      <c r="H12" s="1" t="s">
        <v>129</v>
      </c>
      <c r="I12" s="1" t="s">
        <v>130</v>
      </c>
      <c r="J12" s="1" t="s">
        <v>131</v>
      </c>
      <c r="K12" s="1" t="s">
        <v>132</v>
      </c>
      <c r="L12" s="1" t="s">
        <v>133</v>
      </c>
      <c r="M12" s="1" t="s">
        <v>33</v>
      </c>
      <c r="N12" s="1" t="s">
        <v>134</v>
      </c>
      <c r="O12" s="1" t="s">
        <v>35</v>
      </c>
      <c r="P12" s="1" t="s">
        <v>130</v>
      </c>
      <c r="Q12" s="1" t="s">
        <v>135</v>
      </c>
      <c r="R12" s="1" t="s">
        <v>37</v>
      </c>
      <c r="S12" s="1" t="s">
        <v>37</v>
      </c>
      <c r="T12" s="1" t="s">
        <v>37</v>
      </c>
      <c r="U12" s="1" t="s">
        <v>37</v>
      </c>
    </row>
    <row r="13" spans="1:21">
      <c r="A13" s="1" t="s">
        <v>136</v>
      </c>
      <c r="B13" s="1" t="s">
        <v>115</v>
      </c>
      <c r="C13" s="1" t="s">
        <v>116</v>
      </c>
      <c r="D13" s="1" t="s">
        <v>24</v>
      </c>
      <c r="E13" s="1" t="s">
        <v>25</v>
      </c>
      <c r="F13" s="1" t="s">
        <v>42</v>
      </c>
      <c r="G13" s="1" t="s">
        <v>137</v>
      </c>
      <c r="H13" s="1" t="s">
        <v>129</v>
      </c>
      <c r="I13" s="1" t="s">
        <v>138</v>
      </c>
      <c r="J13" s="1" t="s">
        <v>139</v>
      </c>
      <c r="K13" s="1" t="s">
        <v>140</v>
      </c>
      <c r="L13" s="1" t="s">
        <v>141</v>
      </c>
      <c r="M13" s="1" t="s">
        <v>49</v>
      </c>
      <c r="N13" s="1" t="s">
        <v>142</v>
      </c>
      <c r="O13" s="1" t="s">
        <v>35</v>
      </c>
      <c r="P13" s="1" t="s">
        <v>138</v>
      </c>
      <c r="Q13" s="1" t="s">
        <v>143</v>
      </c>
      <c r="R13" s="1" t="s">
        <v>37</v>
      </c>
      <c r="S13" s="1" t="s">
        <v>37</v>
      </c>
      <c r="T13" s="1" t="s">
        <v>37</v>
      </c>
      <c r="U13" s="1" t="s">
        <v>37</v>
      </c>
    </row>
    <row r="14" spans="1:21">
      <c r="A14" s="1" t="s">
        <v>144</v>
      </c>
      <c r="B14" s="1" t="s">
        <v>22</v>
      </c>
      <c r="C14" s="1" t="s">
        <v>23</v>
      </c>
      <c r="D14" s="1" t="s">
        <v>24</v>
      </c>
      <c r="E14" s="1" t="s">
        <v>25</v>
      </c>
      <c r="F14" s="1" t="s">
        <v>42</v>
      </c>
      <c r="G14" s="1" t="s">
        <v>145</v>
      </c>
      <c r="H14" s="1" t="s">
        <v>44</v>
      </c>
      <c r="I14" s="1" t="s">
        <v>146</v>
      </c>
      <c r="J14" s="1" t="s">
        <v>147</v>
      </c>
      <c r="K14" s="1" t="s">
        <v>148</v>
      </c>
      <c r="L14" s="1" t="s">
        <v>149</v>
      </c>
      <c r="M14" s="1" t="s">
        <v>33</v>
      </c>
      <c r="N14" s="1" t="s">
        <v>150</v>
      </c>
      <c r="O14" s="1" t="s">
        <v>35</v>
      </c>
      <c r="P14" s="1" t="s">
        <v>146</v>
      </c>
      <c r="Q14" s="1" t="s">
        <v>151</v>
      </c>
      <c r="R14" s="1" t="s">
        <v>37</v>
      </c>
      <c r="S14" s="1" t="s">
        <v>37</v>
      </c>
      <c r="T14" s="1" t="s">
        <v>37</v>
      </c>
      <c r="U14" s="1" t="s">
        <v>37</v>
      </c>
    </row>
    <row r="15" spans="1:21">
      <c r="A15" s="1" t="s">
        <v>152</v>
      </c>
      <c r="B15" s="1" t="s">
        <v>22</v>
      </c>
      <c r="C15" s="1" t="s">
        <v>23</v>
      </c>
      <c r="D15" s="1" t="s">
        <v>24</v>
      </c>
      <c r="E15" s="1" t="s">
        <v>25</v>
      </c>
      <c r="F15" s="1" t="s">
        <v>117</v>
      </c>
      <c r="G15" s="1" t="s">
        <v>153</v>
      </c>
      <c r="H15" s="1" t="s">
        <v>99</v>
      </c>
      <c r="I15" s="1" t="s">
        <v>154</v>
      </c>
      <c r="J15" s="1" t="s">
        <v>155</v>
      </c>
      <c r="K15" s="1" t="s">
        <v>156</v>
      </c>
      <c r="L15" s="1" t="s">
        <v>157</v>
      </c>
      <c r="M15" s="1" t="s">
        <v>33</v>
      </c>
      <c r="N15" s="1" t="s">
        <v>158</v>
      </c>
      <c r="O15" s="1" t="s">
        <v>35</v>
      </c>
      <c r="P15" s="1" t="s">
        <v>154</v>
      </c>
      <c r="Q15" s="1" t="s">
        <v>159</v>
      </c>
      <c r="R15" s="1" t="s">
        <v>37</v>
      </c>
      <c r="S15" s="1" t="s">
        <v>37</v>
      </c>
      <c r="T15" s="1" t="s">
        <v>37</v>
      </c>
      <c r="U15" s="1" t="s">
        <v>37</v>
      </c>
    </row>
    <row r="16" spans="1:21">
      <c r="A16" s="1" t="s">
        <v>160</v>
      </c>
      <c r="B16" s="1" t="s">
        <v>22</v>
      </c>
      <c r="C16" s="1" t="s">
        <v>23</v>
      </c>
      <c r="D16" s="1" t="s">
        <v>24</v>
      </c>
      <c r="E16" s="1" t="s">
        <v>25</v>
      </c>
      <c r="F16" s="1" t="s">
        <v>26</v>
      </c>
      <c r="G16" s="1" t="s">
        <v>161</v>
      </c>
      <c r="H16" s="1" t="s">
        <v>99</v>
      </c>
      <c r="I16" s="1" t="s">
        <v>162</v>
      </c>
      <c r="J16" s="1" t="s">
        <v>163</v>
      </c>
      <c r="K16" s="1" t="s">
        <v>164</v>
      </c>
      <c r="L16" s="1" t="s">
        <v>165</v>
      </c>
      <c r="M16" s="1" t="s">
        <v>49</v>
      </c>
      <c r="N16" s="1" t="s">
        <v>166</v>
      </c>
      <c r="O16" s="1" t="s">
        <v>35</v>
      </c>
      <c r="P16" s="1" t="s">
        <v>162</v>
      </c>
      <c r="Q16" s="1" t="s">
        <v>167</v>
      </c>
      <c r="R16" s="1" t="s">
        <v>37</v>
      </c>
      <c r="S16" s="1" t="s">
        <v>37</v>
      </c>
      <c r="T16" s="1" t="s">
        <v>37</v>
      </c>
      <c r="U16" s="1" t="s">
        <v>37</v>
      </c>
    </row>
    <row r="17" spans="1:21">
      <c r="A17" s="1" t="s">
        <v>168</v>
      </c>
      <c r="B17" s="1" t="s">
        <v>115</v>
      </c>
      <c r="C17" s="1" t="s">
        <v>116</v>
      </c>
      <c r="D17" s="1" t="s">
        <v>24</v>
      </c>
      <c r="E17" s="1" t="s">
        <v>25</v>
      </c>
      <c r="F17" s="1" t="s">
        <v>72</v>
      </c>
      <c r="G17" s="1" t="s">
        <v>169</v>
      </c>
      <c r="H17" s="1" t="s">
        <v>90</v>
      </c>
      <c r="I17" s="1" t="s">
        <v>170</v>
      </c>
      <c r="J17" s="1" t="s">
        <v>171</v>
      </c>
      <c r="K17" s="1" t="s">
        <v>172</v>
      </c>
      <c r="L17" s="1" t="s">
        <v>173</v>
      </c>
      <c r="M17" s="1" t="s">
        <v>49</v>
      </c>
      <c r="N17" s="1" t="s">
        <v>174</v>
      </c>
      <c r="O17" s="1" t="s">
        <v>35</v>
      </c>
      <c r="P17" s="1" t="s">
        <v>170</v>
      </c>
      <c r="Q17" s="1" t="s">
        <v>135</v>
      </c>
      <c r="R17" s="1" t="s">
        <v>37</v>
      </c>
      <c r="S17" s="1" t="s">
        <v>37</v>
      </c>
      <c r="T17" s="1" t="s">
        <v>37</v>
      </c>
      <c r="U17" s="1" t="s">
        <v>37</v>
      </c>
    </row>
    <row r="18" spans="1:21">
      <c r="A18" s="1" t="s">
        <v>175</v>
      </c>
      <c r="B18" s="1" t="s">
        <v>22</v>
      </c>
      <c r="C18" s="1" t="s">
        <v>23</v>
      </c>
      <c r="D18" s="1" t="s">
        <v>24</v>
      </c>
      <c r="E18" s="1" t="s">
        <v>25</v>
      </c>
      <c r="F18" s="1" t="s">
        <v>26</v>
      </c>
      <c r="G18" s="1" t="s">
        <v>176</v>
      </c>
      <c r="H18" s="1" t="s">
        <v>28</v>
      </c>
      <c r="I18" s="1" t="s">
        <v>177</v>
      </c>
      <c r="J18" s="1" t="s">
        <v>178</v>
      </c>
      <c r="K18" s="1" t="s">
        <v>179</v>
      </c>
      <c r="L18" s="1" t="s">
        <v>180</v>
      </c>
      <c r="M18" s="1" t="s">
        <v>59</v>
      </c>
      <c r="N18" s="1" t="s">
        <v>181</v>
      </c>
      <c r="O18" s="1" t="s">
        <v>35</v>
      </c>
      <c r="P18" s="1" t="s">
        <v>177</v>
      </c>
      <c r="Q18" s="1" t="s">
        <v>182</v>
      </c>
      <c r="R18" s="1" t="s">
        <v>37</v>
      </c>
      <c r="S18" s="1" t="s">
        <v>37</v>
      </c>
      <c r="T18" s="1" t="s">
        <v>37</v>
      </c>
      <c r="U18" s="1" t="s">
        <v>37</v>
      </c>
    </row>
    <row r="19" spans="1:21">
      <c r="A19" s="1" t="s">
        <v>183</v>
      </c>
      <c r="B19" s="1" t="s">
        <v>22</v>
      </c>
      <c r="C19" s="1" t="s">
        <v>23</v>
      </c>
      <c r="D19" s="1" t="s">
        <v>24</v>
      </c>
      <c r="E19" s="1" t="s">
        <v>25</v>
      </c>
      <c r="F19" s="1" t="s">
        <v>72</v>
      </c>
      <c r="G19" s="1" t="s">
        <v>184</v>
      </c>
      <c r="H19" s="1" t="s">
        <v>90</v>
      </c>
      <c r="I19" s="1" t="s">
        <v>185</v>
      </c>
      <c r="J19" s="1" t="s">
        <v>186</v>
      </c>
      <c r="K19" s="1" t="s">
        <v>187</v>
      </c>
      <c r="L19" s="1" t="s">
        <v>188</v>
      </c>
      <c r="M19" s="1" t="s">
        <v>59</v>
      </c>
      <c r="N19" s="1" t="s">
        <v>189</v>
      </c>
      <c r="O19" s="1" t="s">
        <v>35</v>
      </c>
      <c r="P19" s="1" t="s">
        <v>185</v>
      </c>
      <c r="Q19" s="1" t="s">
        <v>190</v>
      </c>
      <c r="R19" s="1" t="s">
        <v>37</v>
      </c>
      <c r="S19" s="1" t="s">
        <v>37</v>
      </c>
      <c r="T19" s="1" t="s">
        <v>37</v>
      </c>
      <c r="U19" s="1" t="s">
        <v>37</v>
      </c>
    </row>
    <row r="20" spans="1:21">
      <c r="A20" s="1" t="s">
        <v>191</v>
      </c>
      <c r="B20" s="1" t="s">
        <v>22</v>
      </c>
      <c r="C20" s="1" t="s">
        <v>23</v>
      </c>
      <c r="D20" s="1" t="s">
        <v>24</v>
      </c>
      <c r="E20" s="1" t="s">
        <v>25</v>
      </c>
      <c r="F20" s="1" t="s">
        <v>117</v>
      </c>
      <c r="G20" s="1" t="s">
        <v>192</v>
      </c>
      <c r="H20" s="1" t="s">
        <v>119</v>
      </c>
      <c r="I20" s="1" t="s">
        <v>193</v>
      </c>
      <c r="J20" s="1" t="s">
        <v>194</v>
      </c>
      <c r="K20" s="1" t="s">
        <v>195</v>
      </c>
      <c r="L20" s="1" t="s">
        <v>196</v>
      </c>
      <c r="M20" s="1" t="s">
        <v>59</v>
      </c>
      <c r="N20" s="1" t="s">
        <v>197</v>
      </c>
      <c r="O20" s="1" t="s">
        <v>35</v>
      </c>
      <c r="P20" s="1" t="s">
        <v>193</v>
      </c>
      <c r="Q20" s="1" t="s">
        <v>198</v>
      </c>
      <c r="R20" s="1" t="s">
        <v>37</v>
      </c>
      <c r="S20" s="1" t="s">
        <v>37</v>
      </c>
      <c r="T20" s="1" t="s">
        <v>37</v>
      </c>
      <c r="U20" s="1" t="s">
        <v>37</v>
      </c>
    </row>
    <row r="21" spans="1:21">
      <c r="A21" s="1" t="s">
        <v>199</v>
      </c>
      <c r="B21" s="1" t="s">
        <v>115</v>
      </c>
      <c r="C21" s="1" t="s">
        <v>116</v>
      </c>
      <c r="D21" s="1" t="s">
        <v>24</v>
      </c>
      <c r="E21" s="1" t="s">
        <v>25</v>
      </c>
      <c r="F21" s="1" t="s">
        <v>53</v>
      </c>
      <c r="G21" s="1" t="s">
        <v>200</v>
      </c>
      <c r="H21" s="1" t="s">
        <v>107</v>
      </c>
      <c r="I21" s="1" t="s">
        <v>201</v>
      </c>
      <c r="J21" s="1" t="s">
        <v>202</v>
      </c>
      <c r="K21" s="1" t="s">
        <v>179</v>
      </c>
      <c r="L21" s="1" t="s">
        <v>203</v>
      </c>
      <c r="M21" s="1" t="s">
        <v>33</v>
      </c>
      <c r="N21" s="1" t="s">
        <v>204</v>
      </c>
      <c r="O21" s="1" t="s">
        <v>35</v>
      </c>
      <c r="P21" s="1" t="s">
        <v>201</v>
      </c>
      <c r="Q21" s="1" t="s">
        <v>205</v>
      </c>
      <c r="R21" s="1" t="s">
        <v>37</v>
      </c>
      <c r="S21" s="1" t="s">
        <v>37</v>
      </c>
      <c r="T21" s="1" t="s">
        <v>37</v>
      </c>
      <c r="U21" s="1" t="s">
        <v>37</v>
      </c>
    </row>
    <row r="22" spans="1:21">
      <c r="A22" s="1" t="s">
        <v>206</v>
      </c>
      <c r="B22" s="1" t="s">
        <v>39</v>
      </c>
      <c r="C22" s="1" t="s">
        <v>40</v>
      </c>
      <c r="D22" s="1" t="s">
        <v>24</v>
      </c>
      <c r="E22" s="1" t="s">
        <v>25</v>
      </c>
      <c r="F22" s="1" t="s">
        <v>42</v>
      </c>
      <c r="G22" s="1" t="s">
        <v>207</v>
      </c>
      <c r="H22" s="1" t="s">
        <v>44</v>
      </c>
      <c r="I22" s="1" t="s">
        <v>208</v>
      </c>
      <c r="J22" s="1" t="s">
        <v>209</v>
      </c>
      <c r="K22" s="1" t="s">
        <v>93</v>
      </c>
      <c r="L22" s="1" t="s">
        <v>210</v>
      </c>
      <c r="M22" s="1" t="s">
        <v>33</v>
      </c>
      <c r="N22" s="1" t="s">
        <v>211</v>
      </c>
      <c r="O22" s="1" t="s">
        <v>35</v>
      </c>
      <c r="P22" s="1" t="s">
        <v>208</v>
      </c>
      <c r="Q22" s="1" t="s">
        <v>212</v>
      </c>
      <c r="R22" s="1" t="s">
        <v>37</v>
      </c>
      <c r="S22" s="1" t="s">
        <v>37</v>
      </c>
      <c r="T22" s="1" t="s">
        <v>37</v>
      </c>
      <c r="U22" s="1" t="s">
        <v>37</v>
      </c>
    </row>
    <row r="23" spans="1:21">
      <c r="A23" s="1" t="s">
        <v>213</v>
      </c>
      <c r="B23" s="1" t="s">
        <v>115</v>
      </c>
      <c r="C23" s="1" t="s">
        <v>116</v>
      </c>
      <c r="D23" s="1" t="s">
        <v>24</v>
      </c>
      <c r="E23" s="1" t="s">
        <v>25</v>
      </c>
      <c r="F23" s="1" t="s">
        <v>26</v>
      </c>
      <c r="G23" s="1" t="s">
        <v>214</v>
      </c>
      <c r="H23" s="1" t="s">
        <v>119</v>
      </c>
      <c r="I23" s="1" t="s">
        <v>215</v>
      </c>
      <c r="J23" s="1" t="s">
        <v>216</v>
      </c>
      <c r="K23" s="1" t="s">
        <v>217</v>
      </c>
      <c r="L23" s="1" t="s">
        <v>218</v>
      </c>
      <c r="M23" s="1" t="s">
        <v>33</v>
      </c>
      <c r="N23" s="1" t="s">
        <v>219</v>
      </c>
      <c r="O23" s="1" t="s">
        <v>35</v>
      </c>
      <c r="P23" s="1" t="s">
        <v>215</v>
      </c>
      <c r="Q23" s="1" t="s">
        <v>220</v>
      </c>
      <c r="R23" s="1" t="s">
        <v>37</v>
      </c>
      <c r="S23" s="1" t="s">
        <v>37</v>
      </c>
      <c r="T23" s="1" t="s">
        <v>37</v>
      </c>
      <c r="U23" s="1" t="s">
        <v>37</v>
      </c>
    </row>
    <row r="24" spans="1:21">
      <c r="A24" s="1" t="s">
        <v>221</v>
      </c>
      <c r="B24" s="1" t="s">
        <v>115</v>
      </c>
      <c r="C24" s="1" t="s">
        <v>116</v>
      </c>
      <c r="D24" s="1" t="s">
        <v>24</v>
      </c>
      <c r="E24" s="1" t="s">
        <v>25</v>
      </c>
      <c r="F24" s="1" t="s">
        <v>53</v>
      </c>
      <c r="G24" s="1" t="s">
        <v>222</v>
      </c>
      <c r="H24" s="1" t="s">
        <v>107</v>
      </c>
      <c r="I24" s="1" t="s">
        <v>223</v>
      </c>
      <c r="J24" s="1" t="s">
        <v>224</v>
      </c>
      <c r="K24" s="1" t="s">
        <v>225</v>
      </c>
      <c r="L24" s="1" t="s">
        <v>226</v>
      </c>
      <c r="M24" s="1" t="s">
        <v>59</v>
      </c>
      <c r="N24" s="1" t="s">
        <v>227</v>
      </c>
      <c r="O24" s="1" t="s">
        <v>35</v>
      </c>
      <c r="P24" s="1" t="s">
        <v>223</v>
      </c>
      <c r="Q24" s="1" t="s">
        <v>205</v>
      </c>
      <c r="R24" s="1" t="s">
        <v>37</v>
      </c>
      <c r="S24" s="1" t="s">
        <v>37</v>
      </c>
      <c r="T24" s="1" t="s">
        <v>37</v>
      </c>
      <c r="U24" s="1" t="s">
        <v>37</v>
      </c>
    </row>
    <row r="25" spans="1:21">
      <c r="A25" s="1" t="s">
        <v>228</v>
      </c>
      <c r="B25" s="1" t="s">
        <v>22</v>
      </c>
      <c r="C25" s="1" t="s">
        <v>23</v>
      </c>
      <c r="D25" s="1" t="s">
        <v>24</v>
      </c>
      <c r="E25" s="1" t="s">
        <v>25</v>
      </c>
      <c r="F25" s="1" t="s">
        <v>42</v>
      </c>
      <c r="G25" s="1" t="s">
        <v>229</v>
      </c>
      <c r="H25" s="1" t="s">
        <v>44</v>
      </c>
      <c r="I25" s="1" t="s">
        <v>230</v>
      </c>
      <c r="J25" s="1" t="s">
        <v>231</v>
      </c>
      <c r="K25" s="1" t="s">
        <v>232</v>
      </c>
      <c r="L25" s="1" t="s">
        <v>233</v>
      </c>
      <c r="M25" s="1" t="s">
        <v>33</v>
      </c>
      <c r="N25" s="1" t="s">
        <v>234</v>
      </c>
      <c r="O25" s="1" t="s">
        <v>35</v>
      </c>
      <c r="P25" s="1" t="s">
        <v>230</v>
      </c>
      <c r="Q25" s="1" t="s">
        <v>235</v>
      </c>
      <c r="R25" s="1" t="s">
        <v>37</v>
      </c>
      <c r="S25" s="1" t="s">
        <v>37</v>
      </c>
      <c r="T25" s="1" t="s">
        <v>37</v>
      </c>
      <c r="U25" s="1" t="s">
        <v>37</v>
      </c>
    </row>
    <row r="26" spans="1:21">
      <c r="A26" s="1" t="s">
        <v>236</v>
      </c>
      <c r="B26" s="1" t="s">
        <v>22</v>
      </c>
      <c r="C26" s="1" t="s">
        <v>23</v>
      </c>
      <c r="D26" s="1" t="s">
        <v>24</v>
      </c>
      <c r="E26" s="1" t="s">
        <v>25</v>
      </c>
      <c r="F26" s="1" t="s">
        <v>72</v>
      </c>
      <c r="G26" s="1" t="s">
        <v>237</v>
      </c>
      <c r="H26" s="1" t="s">
        <v>119</v>
      </c>
      <c r="I26" s="1" t="s">
        <v>238</v>
      </c>
      <c r="J26" s="1" t="s">
        <v>239</v>
      </c>
      <c r="K26" s="1" t="s">
        <v>240</v>
      </c>
      <c r="L26" s="1" t="s">
        <v>241</v>
      </c>
      <c r="M26" s="1" t="s">
        <v>33</v>
      </c>
      <c r="N26" s="1" t="s">
        <v>242</v>
      </c>
      <c r="O26" s="1" t="s">
        <v>35</v>
      </c>
      <c r="P26" s="1" t="s">
        <v>238</v>
      </c>
      <c r="Q26" s="1" t="s">
        <v>90</v>
      </c>
      <c r="R26" s="1" t="s">
        <v>37</v>
      </c>
      <c r="S26" s="1" t="s">
        <v>37</v>
      </c>
      <c r="T26" s="1" t="s">
        <v>37</v>
      </c>
      <c r="U26" s="1" t="s">
        <v>37</v>
      </c>
    </row>
    <row r="27" spans="1:21">
      <c r="A27" s="1" t="s">
        <v>243</v>
      </c>
      <c r="B27" s="1" t="s">
        <v>22</v>
      </c>
      <c r="C27" s="1" t="s">
        <v>23</v>
      </c>
      <c r="D27" s="1" t="s">
        <v>24</v>
      </c>
      <c r="E27" s="1" t="s">
        <v>25</v>
      </c>
      <c r="F27" s="1" t="s">
        <v>53</v>
      </c>
      <c r="G27" s="1" t="s">
        <v>244</v>
      </c>
      <c r="H27" s="1" t="s">
        <v>64</v>
      </c>
      <c r="I27" s="1" t="s">
        <v>245</v>
      </c>
      <c r="J27" s="1" t="s">
        <v>246</v>
      </c>
      <c r="K27" s="1" t="s">
        <v>247</v>
      </c>
      <c r="L27" s="1" t="s">
        <v>248</v>
      </c>
      <c r="M27" s="1" t="s">
        <v>59</v>
      </c>
      <c r="N27" s="1" t="s">
        <v>249</v>
      </c>
      <c r="O27" s="1" t="s">
        <v>35</v>
      </c>
      <c r="P27" s="1" t="s">
        <v>245</v>
      </c>
      <c r="Q27" s="1" t="s">
        <v>250</v>
      </c>
      <c r="R27" s="1" t="s">
        <v>37</v>
      </c>
      <c r="S27" s="1" t="s">
        <v>37</v>
      </c>
      <c r="T27" s="1" t="s">
        <v>37</v>
      </c>
      <c r="U27" s="1" t="s">
        <v>37</v>
      </c>
    </row>
    <row r="28" spans="1:21">
      <c r="A28" s="1" t="s">
        <v>251</v>
      </c>
      <c r="B28" s="1" t="s">
        <v>115</v>
      </c>
      <c r="C28" s="1" t="s">
        <v>116</v>
      </c>
      <c r="D28" s="1" t="s">
        <v>24</v>
      </c>
      <c r="E28" s="1" t="s">
        <v>25</v>
      </c>
      <c r="F28" s="1" t="s">
        <v>127</v>
      </c>
      <c r="G28" s="1" t="s">
        <v>252</v>
      </c>
      <c r="H28" s="1" t="s">
        <v>253</v>
      </c>
      <c r="I28" s="1" t="s">
        <v>254</v>
      </c>
      <c r="J28" s="1" t="s">
        <v>255</v>
      </c>
      <c r="K28" s="1" t="s">
        <v>76</v>
      </c>
      <c r="L28" s="1" t="s">
        <v>256</v>
      </c>
      <c r="M28" s="1" t="s">
        <v>49</v>
      </c>
      <c r="N28" s="1" t="s">
        <v>252</v>
      </c>
      <c r="O28" s="1" t="s">
        <v>35</v>
      </c>
      <c r="P28" s="1" t="s">
        <v>254</v>
      </c>
      <c r="Q28" s="1" t="s">
        <v>257</v>
      </c>
      <c r="R28" s="1" t="s">
        <v>37</v>
      </c>
      <c r="S28" s="1" t="s">
        <v>37</v>
      </c>
      <c r="T28" s="1" t="s">
        <v>37</v>
      </c>
      <c r="U28" s="1" t="s">
        <v>37</v>
      </c>
    </row>
    <row r="29" spans="1:21">
      <c r="A29" s="1" t="s">
        <v>258</v>
      </c>
      <c r="B29" s="1" t="s">
        <v>22</v>
      </c>
      <c r="C29" s="1" t="s">
        <v>23</v>
      </c>
      <c r="D29" s="1" t="s">
        <v>24</v>
      </c>
      <c r="E29" s="1" t="s">
        <v>25</v>
      </c>
      <c r="F29" s="1" t="s">
        <v>127</v>
      </c>
      <c r="G29" s="1" t="s">
        <v>259</v>
      </c>
      <c r="H29" s="1" t="s">
        <v>107</v>
      </c>
      <c r="I29" s="1" t="s">
        <v>260</v>
      </c>
      <c r="J29" s="1" t="s">
        <v>261</v>
      </c>
      <c r="K29" s="1" t="s">
        <v>262</v>
      </c>
      <c r="L29" s="1" t="s">
        <v>263</v>
      </c>
      <c r="M29" s="1" t="s">
        <v>59</v>
      </c>
      <c r="N29" s="1" t="s">
        <v>264</v>
      </c>
      <c r="O29" s="1" t="s">
        <v>35</v>
      </c>
      <c r="P29" s="1" t="s">
        <v>260</v>
      </c>
      <c r="Q29" s="1" t="s">
        <v>265</v>
      </c>
      <c r="R29" s="1" t="s">
        <v>37</v>
      </c>
      <c r="S29" s="1" t="s">
        <v>37</v>
      </c>
      <c r="T29" s="1" t="s">
        <v>37</v>
      </c>
      <c r="U29" s="1" t="s">
        <v>37</v>
      </c>
    </row>
    <row r="30" spans="1:21">
      <c r="A30" s="1" t="s">
        <v>266</v>
      </c>
      <c r="B30" s="1" t="s">
        <v>115</v>
      </c>
      <c r="C30" s="1" t="s">
        <v>116</v>
      </c>
      <c r="D30" s="1" t="s">
        <v>24</v>
      </c>
      <c r="E30" s="1" t="s">
        <v>25</v>
      </c>
      <c r="F30" s="1" t="s">
        <v>117</v>
      </c>
      <c r="G30" s="1" t="s">
        <v>267</v>
      </c>
      <c r="H30" s="1" t="s">
        <v>44</v>
      </c>
      <c r="I30" s="1" t="s">
        <v>268</v>
      </c>
      <c r="J30" s="1" t="s">
        <v>269</v>
      </c>
      <c r="K30" s="1" t="s">
        <v>270</v>
      </c>
      <c r="L30" s="1" t="s">
        <v>271</v>
      </c>
      <c r="M30" s="1" t="s">
        <v>49</v>
      </c>
      <c r="N30" s="1" t="s">
        <v>272</v>
      </c>
      <c r="O30" s="1" t="s">
        <v>35</v>
      </c>
      <c r="P30" s="1" t="s">
        <v>268</v>
      </c>
      <c r="Q30" s="1" t="s">
        <v>51</v>
      </c>
      <c r="R30" s="1" t="s">
        <v>37</v>
      </c>
      <c r="S30" s="1" t="s">
        <v>37</v>
      </c>
      <c r="T30" s="1" t="s">
        <v>37</v>
      </c>
      <c r="U30" s="1" t="s">
        <v>37</v>
      </c>
    </row>
    <row r="31" spans="1:21">
      <c r="A31" s="1" t="s">
        <v>273</v>
      </c>
      <c r="B31" s="1" t="s">
        <v>22</v>
      </c>
      <c r="C31" s="1" t="s">
        <v>23</v>
      </c>
      <c r="D31" s="1" t="s">
        <v>24</v>
      </c>
      <c r="E31" s="1" t="s">
        <v>25</v>
      </c>
      <c r="F31" s="1" t="s">
        <v>26</v>
      </c>
      <c r="G31" s="1" t="s">
        <v>274</v>
      </c>
      <c r="H31" s="1" t="s">
        <v>275</v>
      </c>
      <c r="I31" s="1" t="s">
        <v>276</v>
      </c>
      <c r="J31" s="1" t="s">
        <v>277</v>
      </c>
      <c r="K31" s="1" t="s">
        <v>225</v>
      </c>
      <c r="L31" s="1" t="s">
        <v>278</v>
      </c>
      <c r="M31" s="1" t="s">
        <v>49</v>
      </c>
      <c r="N31" s="1" t="s">
        <v>279</v>
      </c>
      <c r="O31" s="1" t="s">
        <v>35</v>
      </c>
      <c r="P31" s="1" t="s">
        <v>276</v>
      </c>
      <c r="Q31" s="1" t="s">
        <v>61</v>
      </c>
      <c r="R31" s="1" t="s">
        <v>37</v>
      </c>
      <c r="S31" s="1" t="s">
        <v>37</v>
      </c>
      <c r="T31" s="1" t="s">
        <v>37</v>
      </c>
      <c r="U31" s="1" t="s">
        <v>37</v>
      </c>
    </row>
    <row r="32" spans="1:21">
      <c r="A32" s="1" t="s">
        <v>280</v>
      </c>
      <c r="B32" s="1" t="s">
        <v>115</v>
      </c>
      <c r="C32" s="1" t="s">
        <v>116</v>
      </c>
      <c r="D32" s="1" t="s">
        <v>24</v>
      </c>
      <c r="E32" s="1" t="s">
        <v>25</v>
      </c>
      <c r="F32" s="1" t="s">
        <v>127</v>
      </c>
      <c r="G32" s="1" t="s">
        <v>281</v>
      </c>
      <c r="H32" s="1" t="s">
        <v>44</v>
      </c>
      <c r="I32" s="1" t="s">
        <v>282</v>
      </c>
      <c r="J32" s="1" t="s">
        <v>283</v>
      </c>
      <c r="K32" s="1" t="s">
        <v>93</v>
      </c>
      <c r="L32" s="1" t="s">
        <v>284</v>
      </c>
      <c r="M32" s="1" t="s">
        <v>59</v>
      </c>
      <c r="N32" s="1" t="s">
        <v>285</v>
      </c>
      <c r="O32" s="1" t="s">
        <v>35</v>
      </c>
      <c r="P32" s="1" t="s">
        <v>282</v>
      </c>
      <c r="Q32" s="1" t="s">
        <v>212</v>
      </c>
      <c r="R32" s="1" t="s">
        <v>37</v>
      </c>
      <c r="S32" s="1" t="s">
        <v>37</v>
      </c>
      <c r="T32" s="1" t="s">
        <v>37</v>
      </c>
      <c r="U32" s="1" t="s">
        <v>37</v>
      </c>
    </row>
    <row r="33" spans="1:21">
      <c r="A33" s="1" t="s">
        <v>286</v>
      </c>
      <c r="B33" s="1" t="s">
        <v>115</v>
      </c>
      <c r="C33" s="1" t="s">
        <v>116</v>
      </c>
      <c r="D33" s="1" t="s">
        <v>24</v>
      </c>
      <c r="E33" s="1" t="s">
        <v>25</v>
      </c>
      <c r="F33" s="1" t="s">
        <v>72</v>
      </c>
      <c r="G33" s="1" t="s">
        <v>287</v>
      </c>
      <c r="H33" s="1" t="s">
        <v>275</v>
      </c>
      <c r="I33" s="1" t="s">
        <v>288</v>
      </c>
      <c r="J33" s="1" t="s">
        <v>289</v>
      </c>
      <c r="K33" s="1" t="s">
        <v>290</v>
      </c>
      <c r="L33" s="1" t="s">
        <v>291</v>
      </c>
      <c r="M33" s="1" t="s">
        <v>49</v>
      </c>
      <c r="N33" s="1" t="s">
        <v>292</v>
      </c>
      <c r="O33" s="1" t="s">
        <v>35</v>
      </c>
      <c r="P33" s="1" t="s">
        <v>288</v>
      </c>
      <c r="Q33" s="1" t="s">
        <v>135</v>
      </c>
      <c r="R33" s="1" t="s">
        <v>37</v>
      </c>
      <c r="S33" s="1" t="s">
        <v>37</v>
      </c>
      <c r="T33" s="1" t="s">
        <v>37</v>
      </c>
      <c r="U33" s="1" t="s">
        <v>37</v>
      </c>
    </row>
    <row r="34" spans="1:21">
      <c r="A34" s="1" t="s">
        <v>293</v>
      </c>
      <c r="B34" s="1" t="s">
        <v>115</v>
      </c>
      <c r="C34" s="1" t="s">
        <v>116</v>
      </c>
      <c r="D34" s="1" t="s">
        <v>24</v>
      </c>
      <c r="E34" s="1" t="s">
        <v>25</v>
      </c>
      <c r="F34" s="1" t="s">
        <v>72</v>
      </c>
      <c r="G34" s="1" t="s">
        <v>294</v>
      </c>
      <c r="H34" s="1" t="s">
        <v>64</v>
      </c>
      <c r="I34" s="1" t="s">
        <v>295</v>
      </c>
      <c r="J34" s="1" t="s">
        <v>296</v>
      </c>
      <c r="K34" s="1" t="s">
        <v>110</v>
      </c>
      <c r="L34" s="1" t="s">
        <v>297</v>
      </c>
      <c r="M34" s="1" t="s">
        <v>49</v>
      </c>
      <c r="N34" s="1" t="s">
        <v>298</v>
      </c>
      <c r="O34" s="1" t="s">
        <v>35</v>
      </c>
      <c r="P34" s="1" t="s">
        <v>295</v>
      </c>
      <c r="Q34" s="1" t="s">
        <v>220</v>
      </c>
      <c r="R34" s="1" t="s">
        <v>37</v>
      </c>
      <c r="S34" s="1" t="s">
        <v>37</v>
      </c>
      <c r="T34" s="1" t="s">
        <v>37</v>
      </c>
      <c r="U34" s="1" t="s">
        <v>37</v>
      </c>
    </row>
    <row r="35" spans="1:21">
      <c r="A35" s="1" t="s">
        <v>299</v>
      </c>
      <c r="B35" s="1" t="s">
        <v>22</v>
      </c>
      <c r="C35" s="1" t="s">
        <v>23</v>
      </c>
      <c r="D35" s="1" t="s">
        <v>24</v>
      </c>
      <c r="E35" s="1" t="s">
        <v>25</v>
      </c>
      <c r="F35" s="1" t="s">
        <v>26</v>
      </c>
      <c r="G35" s="1" t="s">
        <v>300</v>
      </c>
      <c r="H35" s="1" t="s">
        <v>107</v>
      </c>
      <c r="I35" s="1" t="s">
        <v>301</v>
      </c>
      <c r="J35" s="1" t="s">
        <v>302</v>
      </c>
      <c r="K35" s="1" t="s">
        <v>225</v>
      </c>
      <c r="L35" s="1" t="s">
        <v>303</v>
      </c>
      <c r="M35" s="1" t="s">
        <v>59</v>
      </c>
      <c r="N35" s="1" t="s">
        <v>304</v>
      </c>
      <c r="O35" s="1" t="s">
        <v>35</v>
      </c>
      <c r="P35" s="1" t="s">
        <v>301</v>
      </c>
      <c r="Q35" s="1" t="s">
        <v>220</v>
      </c>
      <c r="R35" s="1" t="s">
        <v>37</v>
      </c>
      <c r="S35" s="1" t="s">
        <v>37</v>
      </c>
      <c r="T35" s="1" t="s">
        <v>37</v>
      </c>
      <c r="U35" s="1" t="s">
        <v>37</v>
      </c>
    </row>
    <row r="36" spans="1:21">
      <c r="A36" s="1" t="s">
        <v>305</v>
      </c>
      <c r="B36" s="1" t="s">
        <v>39</v>
      </c>
      <c r="C36" s="1" t="s">
        <v>40</v>
      </c>
      <c r="D36" s="1" t="s">
        <v>24</v>
      </c>
      <c r="E36" s="1" t="s">
        <v>25</v>
      </c>
      <c r="F36" s="1" t="s">
        <v>117</v>
      </c>
      <c r="G36" s="1" t="s">
        <v>306</v>
      </c>
      <c r="H36" s="1" t="s">
        <v>129</v>
      </c>
      <c r="I36" s="1" t="s">
        <v>307</v>
      </c>
      <c r="J36" s="1" t="s">
        <v>308</v>
      </c>
      <c r="K36" s="1" t="s">
        <v>132</v>
      </c>
      <c r="L36" s="1" t="s">
        <v>309</v>
      </c>
      <c r="M36" s="1" t="s">
        <v>33</v>
      </c>
      <c r="N36" s="1" t="s">
        <v>310</v>
      </c>
      <c r="O36" s="1" t="s">
        <v>35</v>
      </c>
      <c r="P36" s="1" t="s">
        <v>307</v>
      </c>
      <c r="Q36" s="1" t="s">
        <v>311</v>
      </c>
      <c r="R36" s="1" t="s">
        <v>37</v>
      </c>
      <c r="S36" s="1" t="s">
        <v>37</v>
      </c>
      <c r="T36" s="1" t="s">
        <v>37</v>
      </c>
      <c r="U36" s="1" t="s">
        <v>37</v>
      </c>
    </row>
    <row r="37" spans="1:21">
      <c r="A37" s="1" t="s">
        <v>312</v>
      </c>
      <c r="B37" s="1" t="s">
        <v>39</v>
      </c>
      <c r="C37" s="1" t="s">
        <v>40</v>
      </c>
      <c r="D37" s="1" t="s">
        <v>24</v>
      </c>
      <c r="E37" s="1" t="s">
        <v>25</v>
      </c>
      <c r="F37" s="1" t="s">
        <v>72</v>
      </c>
      <c r="G37" s="1" t="s">
        <v>313</v>
      </c>
      <c r="H37" s="1" t="s">
        <v>253</v>
      </c>
      <c r="I37" s="1" t="s">
        <v>314</v>
      </c>
      <c r="J37" s="1" t="s">
        <v>315</v>
      </c>
      <c r="K37" s="1" t="s">
        <v>316</v>
      </c>
      <c r="L37" s="1" t="s">
        <v>317</v>
      </c>
      <c r="M37" s="1" t="s">
        <v>33</v>
      </c>
      <c r="N37" s="1" t="s">
        <v>313</v>
      </c>
      <c r="O37" s="1" t="s">
        <v>35</v>
      </c>
      <c r="P37" s="1" t="s">
        <v>314</v>
      </c>
      <c r="Q37" s="1" t="s">
        <v>143</v>
      </c>
      <c r="R37" s="1" t="s">
        <v>37</v>
      </c>
      <c r="S37" s="1" t="s">
        <v>37</v>
      </c>
      <c r="T37" s="1" t="s">
        <v>37</v>
      </c>
      <c r="U37" s="1" t="s">
        <v>37</v>
      </c>
    </row>
    <row r="38" spans="1:21">
      <c r="A38" s="1" t="s">
        <v>318</v>
      </c>
      <c r="B38" s="1" t="s">
        <v>22</v>
      </c>
      <c r="C38" s="1" t="s">
        <v>23</v>
      </c>
      <c r="D38" s="1" t="s">
        <v>24</v>
      </c>
      <c r="E38" s="1" t="s">
        <v>25</v>
      </c>
      <c r="F38" s="1" t="s">
        <v>72</v>
      </c>
      <c r="G38" s="1" t="s">
        <v>319</v>
      </c>
      <c r="H38" s="1" t="s">
        <v>44</v>
      </c>
      <c r="I38" s="1" t="s">
        <v>320</v>
      </c>
      <c r="J38" s="1" t="s">
        <v>321</v>
      </c>
      <c r="K38" s="1" t="s">
        <v>262</v>
      </c>
      <c r="L38" s="1" t="s">
        <v>322</v>
      </c>
      <c r="M38" s="1" t="s">
        <v>33</v>
      </c>
      <c r="N38" s="1" t="s">
        <v>323</v>
      </c>
      <c r="O38" s="1" t="s">
        <v>35</v>
      </c>
      <c r="P38" s="1" t="s">
        <v>320</v>
      </c>
      <c r="Q38" s="1" t="s">
        <v>28</v>
      </c>
      <c r="R38" s="1" t="s">
        <v>37</v>
      </c>
      <c r="S38" s="1" t="s">
        <v>37</v>
      </c>
      <c r="T38" s="1" t="s">
        <v>37</v>
      </c>
      <c r="U38" s="1" t="s">
        <v>37</v>
      </c>
    </row>
    <row r="39" spans="1:21">
      <c r="A39" s="1" t="s">
        <v>324</v>
      </c>
      <c r="B39" s="1" t="s">
        <v>22</v>
      </c>
      <c r="C39" s="1" t="s">
        <v>23</v>
      </c>
      <c r="D39" s="1" t="s">
        <v>24</v>
      </c>
      <c r="E39" s="1" t="s">
        <v>25</v>
      </c>
      <c r="F39" s="1" t="s">
        <v>42</v>
      </c>
      <c r="G39" s="1" t="s">
        <v>325</v>
      </c>
      <c r="H39" s="1" t="s">
        <v>275</v>
      </c>
      <c r="I39" s="1" t="s">
        <v>326</v>
      </c>
      <c r="J39" s="1" t="s">
        <v>327</v>
      </c>
      <c r="K39" s="1" t="s">
        <v>172</v>
      </c>
      <c r="L39" s="1" t="s">
        <v>328</v>
      </c>
      <c r="M39" s="1" t="s">
        <v>33</v>
      </c>
      <c r="N39" s="1" t="s">
        <v>329</v>
      </c>
      <c r="O39" s="1" t="s">
        <v>35</v>
      </c>
      <c r="P39" s="1" t="s">
        <v>326</v>
      </c>
      <c r="Q39" s="1" t="s">
        <v>330</v>
      </c>
      <c r="R39" s="1" t="s">
        <v>37</v>
      </c>
      <c r="S39" s="1" t="s">
        <v>37</v>
      </c>
      <c r="T39" s="1" t="s">
        <v>37</v>
      </c>
      <c r="U39" s="1" t="s">
        <v>37</v>
      </c>
    </row>
    <row r="40" spans="1:21">
      <c r="A40" s="1" t="s">
        <v>331</v>
      </c>
      <c r="B40" s="1" t="s">
        <v>39</v>
      </c>
      <c r="C40" s="1" t="s">
        <v>40</v>
      </c>
      <c r="D40" s="1" t="s">
        <v>24</v>
      </c>
      <c r="E40" s="1" t="s">
        <v>25</v>
      </c>
      <c r="F40" s="1" t="s">
        <v>26</v>
      </c>
      <c r="G40" s="1" t="s">
        <v>332</v>
      </c>
      <c r="H40" s="1" t="s">
        <v>64</v>
      </c>
      <c r="I40" s="1" t="s">
        <v>333</v>
      </c>
      <c r="J40" s="1" t="s">
        <v>334</v>
      </c>
      <c r="K40" s="1" t="s">
        <v>335</v>
      </c>
      <c r="L40" s="1" t="s">
        <v>336</v>
      </c>
      <c r="M40" s="1" t="s">
        <v>33</v>
      </c>
      <c r="N40" s="1" t="s">
        <v>337</v>
      </c>
      <c r="O40" s="1" t="s">
        <v>35</v>
      </c>
      <c r="P40" s="1" t="s">
        <v>333</v>
      </c>
      <c r="Q40" s="1" t="s">
        <v>338</v>
      </c>
      <c r="R40" s="1" t="s">
        <v>37</v>
      </c>
      <c r="S40" s="1" t="s">
        <v>37</v>
      </c>
      <c r="T40" s="1" t="s">
        <v>37</v>
      </c>
      <c r="U40" s="1" t="s">
        <v>37</v>
      </c>
    </row>
    <row r="41" spans="1:21">
      <c r="A41" s="1" t="s">
        <v>339</v>
      </c>
      <c r="B41" s="1" t="s">
        <v>115</v>
      </c>
      <c r="C41" s="1" t="s">
        <v>116</v>
      </c>
      <c r="D41" s="1" t="s">
        <v>24</v>
      </c>
      <c r="E41" s="1" t="s">
        <v>25</v>
      </c>
      <c r="F41" s="1" t="s">
        <v>53</v>
      </c>
      <c r="G41" s="1" t="s">
        <v>340</v>
      </c>
      <c r="H41" s="1" t="s">
        <v>64</v>
      </c>
      <c r="I41" s="1" t="s">
        <v>341</v>
      </c>
      <c r="J41" s="1" t="s">
        <v>342</v>
      </c>
      <c r="K41" s="1" t="s">
        <v>57</v>
      </c>
      <c r="L41" s="1" t="s">
        <v>343</v>
      </c>
      <c r="M41" s="1" t="s">
        <v>49</v>
      </c>
      <c r="N41" s="1" t="s">
        <v>344</v>
      </c>
      <c r="O41" s="1" t="s">
        <v>35</v>
      </c>
      <c r="P41" s="1" t="s">
        <v>341</v>
      </c>
      <c r="Q41" s="1" t="s">
        <v>265</v>
      </c>
      <c r="R41" s="1" t="s">
        <v>37</v>
      </c>
      <c r="S41" s="1" t="s">
        <v>37</v>
      </c>
      <c r="T41" s="1" t="s">
        <v>37</v>
      </c>
      <c r="U41" s="1" t="s">
        <v>37</v>
      </c>
    </row>
    <row r="42" spans="1:21">
      <c r="A42" s="1" t="s">
        <v>345</v>
      </c>
      <c r="B42" s="1" t="s">
        <v>115</v>
      </c>
      <c r="C42" s="1" t="s">
        <v>116</v>
      </c>
      <c r="D42" s="1" t="s">
        <v>24</v>
      </c>
      <c r="E42" s="1" t="s">
        <v>25</v>
      </c>
      <c r="F42" s="1" t="s">
        <v>53</v>
      </c>
      <c r="G42" s="1" t="s">
        <v>346</v>
      </c>
      <c r="H42" s="1" t="s">
        <v>253</v>
      </c>
      <c r="I42" s="1" t="s">
        <v>347</v>
      </c>
      <c r="J42" s="1" t="s">
        <v>348</v>
      </c>
      <c r="K42" s="1" t="s">
        <v>349</v>
      </c>
      <c r="L42" s="1" t="s">
        <v>350</v>
      </c>
      <c r="M42" s="1" t="s">
        <v>33</v>
      </c>
      <c r="N42" s="1" t="s">
        <v>346</v>
      </c>
      <c r="O42" s="1" t="s">
        <v>35</v>
      </c>
      <c r="P42" s="1" t="s">
        <v>347</v>
      </c>
      <c r="Q42" s="1" t="s">
        <v>351</v>
      </c>
      <c r="R42" s="1" t="s">
        <v>37</v>
      </c>
      <c r="S42" s="1" t="s">
        <v>37</v>
      </c>
      <c r="T42" s="1" t="s">
        <v>37</v>
      </c>
      <c r="U42" s="1" t="s">
        <v>37</v>
      </c>
    </row>
    <row r="43" spans="1:21">
      <c r="A43" s="1" t="s">
        <v>352</v>
      </c>
      <c r="B43" s="1" t="s">
        <v>39</v>
      </c>
      <c r="C43" s="1" t="s">
        <v>40</v>
      </c>
      <c r="D43" s="1" t="s">
        <v>24</v>
      </c>
      <c r="E43" s="1" t="s">
        <v>25</v>
      </c>
      <c r="F43" s="1" t="s">
        <v>53</v>
      </c>
      <c r="G43" s="1" t="s">
        <v>353</v>
      </c>
      <c r="H43" s="1" t="s">
        <v>107</v>
      </c>
      <c r="I43" s="1" t="s">
        <v>354</v>
      </c>
      <c r="J43" s="1" t="s">
        <v>355</v>
      </c>
      <c r="K43" s="1" t="s">
        <v>356</v>
      </c>
      <c r="L43" s="1" t="s">
        <v>357</v>
      </c>
      <c r="M43" s="1" t="s">
        <v>49</v>
      </c>
      <c r="N43" s="1" t="s">
        <v>358</v>
      </c>
      <c r="O43" s="1" t="s">
        <v>35</v>
      </c>
      <c r="P43" s="1" t="s">
        <v>354</v>
      </c>
      <c r="Q43" s="1" t="s">
        <v>359</v>
      </c>
      <c r="R43" s="1" t="s">
        <v>37</v>
      </c>
      <c r="S43" s="1" t="s">
        <v>37</v>
      </c>
      <c r="T43" s="1" t="s">
        <v>37</v>
      </c>
      <c r="U43" s="1" t="s">
        <v>37</v>
      </c>
    </row>
    <row r="44" spans="1:21">
      <c r="A44" s="1" t="s">
        <v>360</v>
      </c>
      <c r="B44" s="1" t="s">
        <v>115</v>
      </c>
      <c r="C44" s="1" t="s">
        <v>116</v>
      </c>
      <c r="D44" s="1" t="s">
        <v>24</v>
      </c>
      <c r="E44" s="1" t="s">
        <v>25</v>
      </c>
      <c r="F44" s="1" t="s">
        <v>72</v>
      </c>
      <c r="G44" s="1" t="s">
        <v>361</v>
      </c>
      <c r="H44" s="1" t="s">
        <v>90</v>
      </c>
      <c r="I44" s="1" t="s">
        <v>362</v>
      </c>
      <c r="J44" s="1" t="s">
        <v>363</v>
      </c>
      <c r="K44" s="1" t="s">
        <v>76</v>
      </c>
      <c r="L44" s="1" t="s">
        <v>364</v>
      </c>
      <c r="M44" s="1" t="s">
        <v>49</v>
      </c>
      <c r="N44" s="1" t="s">
        <v>365</v>
      </c>
      <c r="O44" s="1" t="s">
        <v>35</v>
      </c>
      <c r="P44" s="1" t="s">
        <v>362</v>
      </c>
      <c r="Q44" s="1" t="s">
        <v>366</v>
      </c>
      <c r="R44" s="1" t="s">
        <v>37</v>
      </c>
      <c r="S44" s="1" t="s">
        <v>37</v>
      </c>
      <c r="T44" s="1" t="s">
        <v>37</v>
      </c>
      <c r="U44" s="1" t="s">
        <v>37</v>
      </c>
    </row>
    <row r="45" spans="1:21">
      <c r="A45" s="1" t="s">
        <v>367</v>
      </c>
      <c r="B45" s="1" t="s">
        <v>39</v>
      </c>
      <c r="C45" s="1" t="s">
        <v>40</v>
      </c>
      <c r="D45" s="1" t="s">
        <v>24</v>
      </c>
      <c r="E45" s="1" t="s">
        <v>25</v>
      </c>
      <c r="F45" s="1" t="s">
        <v>117</v>
      </c>
      <c r="G45" s="1" t="s">
        <v>368</v>
      </c>
      <c r="H45" s="1" t="s">
        <v>64</v>
      </c>
      <c r="I45" s="1" t="s">
        <v>369</v>
      </c>
      <c r="J45" s="1" t="s">
        <v>370</v>
      </c>
      <c r="K45" s="1" t="s">
        <v>371</v>
      </c>
      <c r="L45" s="1" t="s">
        <v>372</v>
      </c>
      <c r="M45" s="1" t="s">
        <v>49</v>
      </c>
      <c r="N45" s="1" t="s">
        <v>373</v>
      </c>
      <c r="O45" s="1" t="s">
        <v>35</v>
      </c>
      <c r="P45" s="1" t="s">
        <v>369</v>
      </c>
      <c r="Q45" s="1" t="s">
        <v>338</v>
      </c>
      <c r="R45" s="1" t="s">
        <v>37</v>
      </c>
      <c r="S45" s="1" t="s">
        <v>37</v>
      </c>
      <c r="T45" s="1" t="s">
        <v>37</v>
      </c>
      <c r="U45" s="1" t="s">
        <v>37</v>
      </c>
    </row>
    <row r="46" spans="1:21">
      <c r="A46" s="1" t="s">
        <v>374</v>
      </c>
      <c r="B46" s="1" t="s">
        <v>39</v>
      </c>
      <c r="C46" s="1" t="s">
        <v>40</v>
      </c>
      <c r="D46" s="1" t="s">
        <v>24</v>
      </c>
      <c r="E46" s="1" t="s">
        <v>25</v>
      </c>
      <c r="F46" s="1" t="s">
        <v>26</v>
      </c>
      <c r="G46" s="1" t="s">
        <v>375</v>
      </c>
      <c r="H46" s="1" t="s">
        <v>107</v>
      </c>
      <c r="I46" s="1" t="s">
        <v>376</v>
      </c>
      <c r="J46" s="1" t="s">
        <v>377</v>
      </c>
      <c r="K46" s="1" t="s">
        <v>378</v>
      </c>
      <c r="L46" s="1" t="s">
        <v>379</v>
      </c>
      <c r="M46" s="1" t="s">
        <v>49</v>
      </c>
      <c r="N46" s="1" t="s">
        <v>380</v>
      </c>
      <c r="O46" s="1" t="s">
        <v>35</v>
      </c>
      <c r="P46" s="1" t="s">
        <v>376</v>
      </c>
      <c r="Q46" s="1" t="s">
        <v>113</v>
      </c>
      <c r="R46" s="1" t="s">
        <v>37</v>
      </c>
      <c r="S46" s="1" t="s">
        <v>37</v>
      </c>
      <c r="T46" s="1" t="s">
        <v>37</v>
      </c>
      <c r="U46" s="1" t="s">
        <v>37</v>
      </c>
    </row>
    <row r="47" spans="1:21">
      <c r="A47" s="1" t="s">
        <v>381</v>
      </c>
      <c r="B47" s="1" t="s">
        <v>115</v>
      </c>
      <c r="C47" s="1" t="s">
        <v>116</v>
      </c>
      <c r="D47" s="1" t="s">
        <v>24</v>
      </c>
      <c r="E47" s="1" t="s">
        <v>25</v>
      </c>
      <c r="F47" s="1" t="s">
        <v>42</v>
      </c>
      <c r="G47" s="1" t="s">
        <v>382</v>
      </c>
      <c r="H47" s="1" t="s">
        <v>129</v>
      </c>
      <c r="I47" s="1" t="s">
        <v>383</v>
      </c>
      <c r="J47" s="1" t="s">
        <v>384</v>
      </c>
      <c r="K47" s="1" t="s">
        <v>140</v>
      </c>
      <c r="L47" s="1" t="s">
        <v>196</v>
      </c>
      <c r="M47" s="1" t="s">
        <v>49</v>
      </c>
      <c r="N47" s="1" t="s">
        <v>385</v>
      </c>
      <c r="O47" s="1" t="s">
        <v>35</v>
      </c>
      <c r="P47" s="1" t="s">
        <v>383</v>
      </c>
      <c r="Q47" s="1" t="s">
        <v>386</v>
      </c>
      <c r="R47" s="1" t="s">
        <v>37</v>
      </c>
      <c r="S47" s="1" t="s">
        <v>37</v>
      </c>
      <c r="T47" s="1" t="s">
        <v>37</v>
      </c>
      <c r="U47" s="1" t="s">
        <v>37</v>
      </c>
    </row>
    <row r="48" spans="1:21">
      <c r="A48" s="1" t="s">
        <v>387</v>
      </c>
      <c r="B48" s="1" t="s">
        <v>115</v>
      </c>
      <c r="C48" s="1" t="s">
        <v>116</v>
      </c>
      <c r="D48" s="1" t="s">
        <v>24</v>
      </c>
      <c r="E48" s="1" t="s">
        <v>25</v>
      </c>
      <c r="F48" s="1" t="s">
        <v>26</v>
      </c>
      <c r="G48" s="1" t="s">
        <v>388</v>
      </c>
      <c r="H48" s="1" t="s">
        <v>275</v>
      </c>
      <c r="I48" s="1" t="s">
        <v>389</v>
      </c>
      <c r="J48" s="1" t="s">
        <v>390</v>
      </c>
      <c r="K48" s="1" t="s">
        <v>391</v>
      </c>
      <c r="L48" s="1" t="s">
        <v>392</v>
      </c>
      <c r="M48" s="1" t="s">
        <v>59</v>
      </c>
      <c r="N48" s="1" t="s">
        <v>393</v>
      </c>
      <c r="O48" s="1" t="s">
        <v>35</v>
      </c>
      <c r="P48" s="1" t="s">
        <v>389</v>
      </c>
      <c r="Q48" s="1" t="s">
        <v>70</v>
      </c>
      <c r="R48" s="1" t="s">
        <v>37</v>
      </c>
      <c r="S48" s="1" t="s">
        <v>37</v>
      </c>
      <c r="T48" s="1" t="s">
        <v>37</v>
      </c>
      <c r="U48" s="1" t="s">
        <v>37</v>
      </c>
    </row>
    <row r="49" spans="1:21">
      <c r="A49" s="1" t="s">
        <v>394</v>
      </c>
      <c r="B49" s="1" t="s">
        <v>115</v>
      </c>
      <c r="C49" s="1" t="s">
        <v>116</v>
      </c>
      <c r="D49" s="1" t="s">
        <v>24</v>
      </c>
      <c r="E49" s="1" t="s">
        <v>25</v>
      </c>
      <c r="F49" s="1" t="s">
        <v>117</v>
      </c>
      <c r="G49" s="1" t="s">
        <v>395</v>
      </c>
      <c r="H49" s="1" t="s">
        <v>275</v>
      </c>
      <c r="I49" s="1" t="s">
        <v>396</v>
      </c>
      <c r="J49" s="1" t="s">
        <v>397</v>
      </c>
      <c r="K49" s="1" t="s">
        <v>132</v>
      </c>
      <c r="L49" s="1" t="s">
        <v>398</v>
      </c>
      <c r="M49" s="1" t="s">
        <v>33</v>
      </c>
      <c r="N49" s="1" t="s">
        <v>399</v>
      </c>
      <c r="O49" s="1" t="s">
        <v>35</v>
      </c>
      <c r="P49" s="1" t="s">
        <v>396</v>
      </c>
      <c r="Q49" s="1" t="s">
        <v>87</v>
      </c>
      <c r="R49" s="1" t="s">
        <v>37</v>
      </c>
      <c r="S49" s="1" t="s">
        <v>37</v>
      </c>
      <c r="T49" s="1" t="s">
        <v>37</v>
      </c>
      <c r="U49" s="1" t="s">
        <v>37</v>
      </c>
    </row>
    <row r="50" spans="1:21">
      <c r="A50" s="1" t="s">
        <v>400</v>
      </c>
      <c r="B50" s="1" t="s">
        <v>115</v>
      </c>
      <c r="C50" s="1" t="s">
        <v>116</v>
      </c>
      <c r="D50" s="1" t="s">
        <v>24</v>
      </c>
      <c r="E50" s="1" t="s">
        <v>25</v>
      </c>
      <c r="F50" s="1" t="s">
        <v>42</v>
      </c>
      <c r="G50" s="1" t="s">
        <v>401</v>
      </c>
      <c r="H50" s="1" t="s">
        <v>90</v>
      </c>
      <c r="I50" s="1" t="s">
        <v>402</v>
      </c>
      <c r="J50" s="1" t="s">
        <v>403</v>
      </c>
      <c r="K50" s="1" t="s">
        <v>404</v>
      </c>
      <c r="L50" s="1" t="s">
        <v>405</v>
      </c>
      <c r="M50" s="1" t="s">
        <v>59</v>
      </c>
      <c r="N50" s="1" t="s">
        <v>406</v>
      </c>
      <c r="O50" s="1" t="s">
        <v>35</v>
      </c>
      <c r="P50" s="1" t="s">
        <v>402</v>
      </c>
      <c r="Q50" s="1" t="s">
        <v>407</v>
      </c>
      <c r="R50" s="1" t="s">
        <v>37</v>
      </c>
      <c r="S50" s="1" t="s">
        <v>37</v>
      </c>
      <c r="T50" s="1" t="s">
        <v>37</v>
      </c>
      <c r="U50" s="1" t="s">
        <v>37</v>
      </c>
    </row>
    <row r="51" spans="1:21">
      <c r="A51" s="1" t="s">
        <v>408</v>
      </c>
      <c r="B51" s="1" t="s">
        <v>39</v>
      </c>
      <c r="C51" s="1" t="s">
        <v>40</v>
      </c>
      <c r="D51" s="1" t="s">
        <v>24</v>
      </c>
      <c r="E51" s="1" t="s">
        <v>25</v>
      </c>
      <c r="F51" s="1" t="s">
        <v>127</v>
      </c>
      <c r="G51" s="1" t="s">
        <v>409</v>
      </c>
      <c r="H51" s="1" t="s">
        <v>99</v>
      </c>
      <c r="I51" s="1" t="s">
        <v>410</v>
      </c>
      <c r="J51" s="1" t="s">
        <v>411</v>
      </c>
      <c r="K51" s="1" t="s">
        <v>412</v>
      </c>
      <c r="L51" s="1" t="s">
        <v>413</v>
      </c>
      <c r="M51" s="1" t="s">
        <v>33</v>
      </c>
      <c r="N51" s="1" t="s">
        <v>414</v>
      </c>
      <c r="O51" s="1" t="s">
        <v>35</v>
      </c>
      <c r="P51" s="1" t="s">
        <v>410</v>
      </c>
      <c r="Q51" s="1" t="s">
        <v>351</v>
      </c>
      <c r="R51" s="1" t="s">
        <v>37</v>
      </c>
      <c r="S51" s="1" t="s">
        <v>37</v>
      </c>
      <c r="T51" s="1" t="s">
        <v>37</v>
      </c>
      <c r="U51" s="1" t="s">
        <v>37</v>
      </c>
    </row>
    <row r="52" spans="1:21">
      <c r="A52" s="1" t="s">
        <v>415</v>
      </c>
      <c r="B52" s="1" t="s">
        <v>39</v>
      </c>
      <c r="C52" s="1" t="s">
        <v>40</v>
      </c>
      <c r="D52" s="1" t="s">
        <v>24</v>
      </c>
      <c r="E52" s="1" t="s">
        <v>25</v>
      </c>
      <c r="F52" s="1" t="s">
        <v>117</v>
      </c>
      <c r="G52" s="1" t="s">
        <v>416</v>
      </c>
      <c r="H52" s="1" t="s">
        <v>28</v>
      </c>
      <c r="I52" s="1" t="s">
        <v>417</v>
      </c>
      <c r="J52" s="1" t="s">
        <v>418</v>
      </c>
      <c r="K52" s="1" t="s">
        <v>419</v>
      </c>
      <c r="L52" s="1" t="s">
        <v>420</v>
      </c>
      <c r="M52" s="1" t="s">
        <v>49</v>
      </c>
      <c r="N52" s="1" t="s">
        <v>421</v>
      </c>
      <c r="O52" s="1" t="s">
        <v>35</v>
      </c>
      <c r="P52" s="1" t="s">
        <v>417</v>
      </c>
      <c r="Q52" s="1" t="s">
        <v>386</v>
      </c>
      <c r="R52" s="1" t="s">
        <v>37</v>
      </c>
      <c r="S52" s="1" t="s">
        <v>37</v>
      </c>
      <c r="T52" s="1" t="s">
        <v>37</v>
      </c>
      <c r="U52" s="1" t="s">
        <v>37</v>
      </c>
    </row>
    <row r="53" spans="1:21">
      <c r="A53" s="1" t="s">
        <v>422</v>
      </c>
      <c r="B53" s="1" t="s">
        <v>22</v>
      </c>
      <c r="C53" s="1" t="s">
        <v>23</v>
      </c>
      <c r="D53" s="1" t="s">
        <v>24</v>
      </c>
      <c r="E53" s="1" t="s">
        <v>25</v>
      </c>
      <c r="F53" s="1" t="s">
        <v>117</v>
      </c>
      <c r="G53" s="1" t="s">
        <v>423</v>
      </c>
      <c r="H53" s="1" t="s">
        <v>44</v>
      </c>
      <c r="I53" s="1" t="s">
        <v>424</v>
      </c>
      <c r="J53" s="1" t="s">
        <v>425</v>
      </c>
      <c r="K53" s="1" t="s">
        <v>404</v>
      </c>
      <c r="L53" s="1" t="s">
        <v>426</v>
      </c>
      <c r="M53" s="1" t="s">
        <v>49</v>
      </c>
      <c r="N53" s="1" t="s">
        <v>427</v>
      </c>
      <c r="O53" s="1" t="s">
        <v>35</v>
      </c>
      <c r="P53" s="1" t="s">
        <v>424</v>
      </c>
      <c r="Q53" s="1" t="s">
        <v>250</v>
      </c>
      <c r="R53" s="1" t="s">
        <v>37</v>
      </c>
      <c r="S53" s="1" t="s">
        <v>37</v>
      </c>
      <c r="T53" s="1" t="s">
        <v>37</v>
      </c>
      <c r="U53" s="1" t="s">
        <v>37</v>
      </c>
    </row>
    <row r="54" spans="1:21">
      <c r="A54" s="1" t="s">
        <v>428</v>
      </c>
      <c r="B54" s="1" t="s">
        <v>115</v>
      </c>
      <c r="C54" s="1" t="s">
        <v>116</v>
      </c>
      <c r="D54" s="1" t="s">
        <v>24</v>
      </c>
      <c r="E54" s="1" t="s">
        <v>25</v>
      </c>
      <c r="F54" s="1" t="s">
        <v>127</v>
      </c>
      <c r="G54" s="1" t="s">
        <v>429</v>
      </c>
      <c r="H54" s="1" t="s">
        <v>129</v>
      </c>
      <c r="I54" s="1" t="s">
        <v>430</v>
      </c>
      <c r="J54" s="1" t="s">
        <v>431</v>
      </c>
      <c r="K54" s="1" t="s">
        <v>247</v>
      </c>
      <c r="L54" s="1" t="s">
        <v>432</v>
      </c>
      <c r="M54" s="1" t="s">
        <v>33</v>
      </c>
      <c r="N54" s="1" t="s">
        <v>433</v>
      </c>
      <c r="O54" s="1" t="s">
        <v>35</v>
      </c>
      <c r="P54" s="1" t="s">
        <v>430</v>
      </c>
      <c r="Q54" s="1" t="s">
        <v>434</v>
      </c>
      <c r="R54" s="1" t="s">
        <v>37</v>
      </c>
      <c r="S54" s="1" t="s">
        <v>37</v>
      </c>
      <c r="T54" s="1" t="s">
        <v>37</v>
      </c>
      <c r="U54" s="1" t="s">
        <v>37</v>
      </c>
    </row>
    <row r="55" spans="1:21">
      <c r="A55" s="1" t="s">
        <v>435</v>
      </c>
      <c r="B55" s="1" t="s">
        <v>39</v>
      </c>
      <c r="C55" s="1" t="s">
        <v>40</v>
      </c>
      <c r="D55" s="1" t="s">
        <v>24</v>
      </c>
      <c r="E55" s="1" t="s">
        <v>25</v>
      </c>
      <c r="F55" s="1" t="s">
        <v>127</v>
      </c>
      <c r="G55" s="1" t="s">
        <v>436</v>
      </c>
      <c r="H55" s="1" t="s">
        <v>253</v>
      </c>
      <c r="I55" s="1" t="s">
        <v>437</v>
      </c>
      <c r="J55" s="1" t="s">
        <v>438</v>
      </c>
      <c r="K55" s="1" t="s">
        <v>270</v>
      </c>
      <c r="L55" s="1" t="s">
        <v>439</v>
      </c>
      <c r="M55" s="1" t="s">
        <v>59</v>
      </c>
      <c r="N55" s="1" t="s">
        <v>436</v>
      </c>
      <c r="O55" s="1" t="s">
        <v>35</v>
      </c>
      <c r="P55" s="1" t="s">
        <v>437</v>
      </c>
      <c r="Q55" s="1" t="s">
        <v>440</v>
      </c>
      <c r="R55" s="1" t="s">
        <v>37</v>
      </c>
      <c r="S55" s="1" t="s">
        <v>37</v>
      </c>
      <c r="T55" s="1" t="s">
        <v>37</v>
      </c>
      <c r="U55" s="1" t="s">
        <v>37</v>
      </c>
    </row>
    <row r="56" spans="1:21">
      <c r="A56" s="1" t="s">
        <v>441</v>
      </c>
      <c r="B56" s="1" t="s">
        <v>115</v>
      </c>
      <c r="C56" s="1" t="s">
        <v>116</v>
      </c>
      <c r="D56" s="1" t="s">
        <v>24</v>
      </c>
      <c r="E56" s="1" t="s">
        <v>25</v>
      </c>
      <c r="F56" s="1" t="s">
        <v>53</v>
      </c>
      <c r="G56" s="1" t="s">
        <v>442</v>
      </c>
      <c r="H56" s="1" t="s">
        <v>107</v>
      </c>
      <c r="I56" s="1" t="s">
        <v>443</v>
      </c>
      <c r="J56" s="1" t="s">
        <v>444</v>
      </c>
      <c r="K56" s="1" t="s">
        <v>445</v>
      </c>
      <c r="L56" s="1" t="s">
        <v>446</v>
      </c>
      <c r="M56" s="1" t="s">
        <v>33</v>
      </c>
      <c r="N56" s="1" t="s">
        <v>447</v>
      </c>
      <c r="O56" s="1" t="s">
        <v>35</v>
      </c>
      <c r="P56" s="1" t="s">
        <v>443</v>
      </c>
      <c r="Q56" s="1" t="s">
        <v>434</v>
      </c>
      <c r="R56" s="1" t="s">
        <v>37</v>
      </c>
      <c r="S56" s="1" t="s">
        <v>37</v>
      </c>
      <c r="T56" s="1" t="s">
        <v>37</v>
      </c>
      <c r="U56" s="1" t="s">
        <v>37</v>
      </c>
    </row>
    <row r="57" spans="1:21">
      <c r="A57" s="1" t="s">
        <v>448</v>
      </c>
      <c r="B57" s="1" t="s">
        <v>39</v>
      </c>
      <c r="C57" s="1" t="s">
        <v>40</v>
      </c>
      <c r="D57" s="1" t="s">
        <v>24</v>
      </c>
      <c r="E57" s="1" t="s">
        <v>25</v>
      </c>
      <c r="F57" s="1" t="s">
        <v>42</v>
      </c>
      <c r="G57" s="1" t="s">
        <v>449</v>
      </c>
      <c r="H57" s="1" t="s">
        <v>64</v>
      </c>
      <c r="I57" s="1" t="s">
        <v>450</v>
      </c>
      <c r="J57" s="1" t="s">
        <v>451</v>
      </c>
      <c r="K57" s="1" t="s">
        <v>452</v>
      </c>
      <c r="L57" s="1" t="s">
        <v>453</v>
      </c>
      <c r="M57" s="1" t="s">
        <v>49</v>
      </c>
      <c r="N57" s="1" t="s">
        <v>454</v>
      </c>
      <c r="O57" s="1" t="s">
        <v>35</v>
      </c>
      <c r="P57" s="1" t="s">
        <v>450</v>
      </c>
      <c r="Q57" s="1" t="s">
        <v>159</v>
      </c>
      <c r="R57" s="1" t="s">
        <v>37</v>
      </c>
      <c r="S57" s="1" t="s">
        <v>37</v>
      </c>
      <c r="T57" s="1" t="s">
        <v>37</v>
      </c>
      <c r="U57" s="1" t="s">
        <v>37</v>
      </c>
    </row>
    <row r="58" spans="1:21">
      <c r="A58" s="1" t="s">
        <v>455</v>
      </c>
      <c r="B58" s="1" t="s">
        <v>22</v>
      </c>
      <c r="C58" s="1" t="s">
        <v>23</v>
      </c>
      <c r="D58" s="1" t="s">
        <v>24</v>
      </c>
      <c r="E58" s="1" t="s">
        <v>25</v>
      </c>
      <c r="F58" s="1" t="s">
        <v>53</v>
      </c>
      <c r="G58" s="1" t="s">
        <v>456</v>
      </c>
      <c r="H58" s="1" t="s">
        <v>107</v>
      </c>
      <c r="I58" s="1" t="s">
        <v>457</v>
      </c>
      <c r="J58" s="1" t="s">
        <v>458</v>
      </c>
      <c r="K58" s="1" t="s">
        <v>459</v>
      </c>
      <c r="L58" s="1" t="s">
        <v>460</v>
      </c>
      <c r="M58" s="1" t="s">
        <v>49</v>
      </c>
      <c r="N58" s="1" t="s">
        <v>461</v>
      </c>
      <c r="O58" s="1" t="s">
        <v>35</v>
      </c>
      <c r="P58" s="1" t="s">
        <v>457</v>
      </c>
      <c r="Q58" s="1" t="s">
        <v>96</v>
      </c>
      <c r="R58" s="1" t="s">
        <v>37</v>
      </c>
      <c r="S58" s="1" t="s">
        <v>37</v>
      </c>
      <c r="T58" s="1" t="s">
        <v>37</v>
      </c>
      <c r="U58" s="1" t="s">
        <v>37</v>
      </c>
    </row>
    <row r="59" spans="1:21">
      <c r="A59" s="1" t="s">
        <v>462</v>
      </c>
      <c r="B59" s="1" t="s">
        <v>22</v>
      </c>
      <c r="C59" s="1" t="s">
        <v>23</v>
      </c>
      <c r="D59" s="1" t="s">
        <v>24</v>
      </c>
      <c r="E59" s="1" t="s">
        <v>25</v>
      </c>
      <c r="F59" s="1" t="s">
        <v>26</v>
      </c>
      <c r="G59" s="1" t="s">
        <v>463</v>
      </c>
      <c r="H59" s="1" t="s">
        <v>64</v>
      </c>
      <c r="I59" s="1" t="s">
        <v>464</v>
      </c>
      <c r="J59" s="1" t="s">
        <v>465</v>
      </c>
      <c r="K59" s="1" t="s">
        <v>156</v>
      </c>
      <c r="L59" s="1" t="s">
        <v>466</v>
      </c>
      <c r="M59" s="1" t="s">
        <v>33</v>
      </c>
      <c r="N59" s="1" t="s">
        <v>467</v>
      </c>
      <c r="O59" s="1" t="s">
        <v>35</v>
      </c>
      <c r="P59" s="1" t="s">
        <v>464</v>
      </c>
      <c r="Q59" s="1" t="s">
        <v>468</v>
      </c>
      <c r="R59" s="1" t="s">
        <v>37</v>
      </c>
      <c r="S59" s="1" t="s">
        <v>37</v>
      </c>
      <c r="T59" s="1" t="s">
        <v>37</v>
      </c>
      <c r="U59" s="1" t="s">
        <v>37</v>
      </c>
    </row>
    <row r="60" spans="1:21">
      <c r="A60" s="1" t="s">
        <v>469</v>
      </c>
      <c r="B60" s="1" t="s">
        <v>22</v>
      </c>
      <c r="C60" s="1" t="s">
        <v>23</v>
      </c>
      <c r="D60" s="1" t="s">
        <v>24</v>
      </c>
      <c r="E60" s="1" t="s">
        <v>25</v>
      </c>
      <c r="F60" s="1" t="s">
        <v>53</v>
      </c>
      <c r="G60" s="1" t="s">
        <v>470</v>
      </c>
      <c r="H60" s="1" t="s">
        <v>99</v>
      </c>
      <c r="I60" s="1" t="s">
        <v>471</v>
      </c>
      <c r="J60" s="1" t="s">
        <v>472</v>
      </c>
      <c r="K60" s="1" t="s">
        <v>473</v>
      </c>
      <c r="L60" s="1" t="s">
        <v>474</v>
      </c>
      <c r="M60" s="1" t="s">
        <v>49</v>
      </c>
      <c r="N60" s="1" t="s">
        <v>475</v>
      </c>
      <c r="O60" s="1" t="s">
        <v>35</v>
      </c>
      <c r="P60" s="1" t="s">
        <v>471</v>
      </c>
      <c r="Q60" s="1" t="s">
        <v>476</v>
      </c>
      <c r="R60" s="1" t="s">
        <v>37</v>
      </c>
      <c r="S60" s="1" t="s">
        <v>37</v>
      </c>
      <c r="T60" s="1" t="s">
        <v>37</v>
      </c>
      <c r="U60" s="1" t="s">
        <v>37</v>
      </c>
    </row>
    <row r="61" spans="1:21">
      <c r="A61" s="1" t="s">
        <v>477</v>
      </c>
      <c r="B61" s="1" t="s">
        <v>39</v>
      </c>
      <c r="C61" s="1" t="s">
        <v>40</v>
      </c>
      <c r="D61" s="1" t="s">
        <v>24</v>
      </c>
      <c r="E61" s="1" t="s">
        <v>25</v>
      </c>
      <c r="F61" s="1" t="s">
        <v>42</v>
      </c>
      <c r="G61" s="1" t="s">
        <v>478</v>
      </c>
      <c r="H61" s="1" t="s">
        <v>90</v>
      </c>
      <c r="I61" s="1" t="s">
        <v>479</v>
      </c>
      <c r="J61" s="1" t="s">
        <v>480</v>
      </c>
      <c r="K61" s="1" t="s">
        <v>481</v>
      </c>
      <c r="L61" s="1" t="s">
        <v>482</v>
      </c>
      <c r="M61" s="1" t="s">
        <v>49</v>
      </c>
      <c r="N61" s="1" t="s">
        <v>483</v>
      </c>
      <c r="O61" s="1" t="s">
        <v>35</v>
      </c>
      <c r="P61" s="1" t="s">
        <v>479</v>
      </c>
      <c r="Q61" s="1" t="s">
        <v>484</v>
      </c>
      <c r="R61" s="1" t="s">
        <v>37</v>
      </c>
      <c r="S61" s="1" t="s">
        <v>37</v>
      </c>
      <c r="T61" s="1" t="s">
        <v>37</v>
      </c>
      <c r="U61" s="1" t="s">
        <v>37</v>
      </c>
    </row>
    <row r="62" spans="1:21">
      <c r="A62" s="1" t="s">
        <v>485</v>
      </c>
      <c r="B62" s="1" t="s">
        <v>39</v>
      </c>
      <c r="C62" s="1" t="s">
        <v>40</v>
      </c>
      <c r="D62" s="1" t="s">
        <v>24</v>
      </c>
      <c r="E62" s="1" t="s">
        <v>25</v>
      </c>
      <c r="F62" s="1" t="s">
        <v>72</v>
      </c>
      <c r="G62" s="1" t="s">
        <v>486</v>
      </c>
      <c r="H62" s="1" t="s">
        <v>119</v>
      </c>
      <c r="I62" s="1" t="s">
        <v>487</v>
      </c>
      <c r="J62" s="1" t="s">
        <v>488</v>
      </c>
      <c r="K62" s="1" t="s">
        <v>489</v>
      </c>
      <c r="L62" s="1" t="s">
        <v>490</v>
      </c>
      <c r="M62" s="1" t="s">
        <v>59</v>
      </c>
      <c r="N62" s="1" t="s">
        <v>491</v>
      </c>
      <c r="O62" s="1" t="s">
        <v>35</v>
      </c>
      <c r="P62" s="1" t="s">
        <v>487</v>
      </c>
      <c r="Q62" s="1" t="s">
        <v>99</v>
      </c>
      <c r="R62" s="1" t="s">
        <v>37</v>
      </c>
      <c r="S62" s="1" t="s">
        <v>37</v>
      </c>
      <c r="T62" s="1" t="s">
        <v>37</v>
      </c>
      <c r="U62" s="1" t="s">
        <v>37</v>
      </c>
    </row>
    <row r="63" spans="1:21">
      <c r="A63" s="1" t="s">
        <v>492</v>
      </c>
      <c r="B63" s="1" t="s">
        <v>39</v>
      </c>
      <c r="C63" s="1" t="s">
        <v>40</v>
      </c>
      <c r="D63" s="1" t="s">
        <v>24</v>
      </c>
      <c r="E63" s="1" t="s">
        <v>25</v>
      </c>
      <c r="F63" s="1" t="s">
        <v>53</v>
      </c>
      <c r="G63" s="1" t="s">
        <v>493</v>
      </c>
      <c r="H63" s="1" t="s">
        <v>90</v>
      </c>
      <c r="I63" s="1" t="s">
        <v>494</v>
      </c>
      <c r="J63" s="1" t="s">
        <v>495</v>
      </c>
      <c r="K63" s="1" t="s">
        <v>102</v>
      </c>
      <c r="L63" s="1" t="s">
        <v>496</v>
      </c>
      <c r="M63" s="1" t="s">
        <v>33</v>
      </c>
      <c r="N63" s="1" t="s">
        <v>497</v>
      </c>
      <c r="O63" s="1" t="s">
        <v>35</v>
      </c>
      <c r="P63" s="1" t="s">
        <v>494</v>
      </c>
      <c r="Q63" s="1" t="s">
        <v>28</v>
      </c>
      <c r="R63" s="1" t="s">
        <v>37</v>
      </c>
      <c r="S63" s="1" t="s">
        <v>37</v>
      </c>
      <c r="T63" s="1" t="s">
        <v>37</v>
      </c>
      <c r="U63" s="1" t="s">
        <v>37</v>
      </c>
    </row>
    <row r="64" spans="1:21">
      <c r="A64" s="1" t="s">
        <v>498</v>
      </c>
      <c r="B64" s="1" t="s">
        <v>115</v>
      </c>
      <c r="C64" s="1" t="s">
        <v>116</v>
      </c>
      <c r="D64" s="1" t="s">
        <v>24</v>
      </c>
      <c r="E64" s="1" t="s">
        <v>25</v>
      </c>
      <c r="F64" s="1" t="s">
        <v>72</v>
      </c>
      <c r="G64" s="1" t="s">
        <v>499</v>
      </c>
      <c r="H64" s="1" t="s">
        <v>275</v>
      </c>
      <c r="I64" s="1" t="s">
        <v>500</v>
      </c>
      <c r="J64" s="1" t="s">
        <v>501</v>
      </c>
      <c r="K64" s="1" t="s">
        <v>419</v>
      </c>
      <c r="L64" s="1" t="s">
        <v>502</v>
      </c>
      <c r="M64" s="1" t="s">
        <v>33</v>
      </c>
      <c r="N64" s="1" t="s">
        <v>503</v>
      </c>
      <c r="O64" s="1" t="s">
        <v>35</v>
      </c>
      <c r="P64" s="1" t="s">
        <v>500</v>
      </c>
      <c r="Q64" s="1" t="s">
        <v>99</v>
      </c>
      <c r="R64" s="1" t="s">
        <v>37</v>
      </c>
      <c r="S64" s="1" t="s">
        <v>37</v>
      </c>
      <c r="T64" s="1" t="s">
        <v>37</v>
      </c>
      <c r="U64" s="1" t="s">
        <v>37</v>
      </c>
    </row>
    <row r="65" spans="1:21">
      <c r="A65" s="1" t="s">
        <v>504</v>
      </c>
      <c r="B65" s="1" t="s">
        <v>22</v>
      </c>
      <c r="C65" s="1" t="s">
        <v>23</v>
      </c>
      <c r="D65" s="1" t="s">
        <v>24</v>
      </c>
      <c r="E65" s="1" t="s">
        <v>25</v>
      </c>
      <c r="F65" s="1" t="s">
        <v>72</v>
      </c>
      <c r="G65" s="1" t="s">
        <v>505</v>
      </c>
      <c r="H65" s="1" t="s">
        <v>99</v>
      </c>
      <c r="I65" s="1" t="s">
        <v>506</v>
      </c>
      <c r="J65" s="1" t="s">
        <v>507</v>
      </c>
      <c r="K65" s="1" t="s">
        <v>508</v>
      </c>
      <c r="L65" s="1" t="s">
        <v>509</v>
      </c>
      <c r="M65" s="1" t="s">
        <v>59</v>
      </c>
      <c r="N65" s="1" t="s">
        <v>510</v>
      </c>
      <c r="O65" s="1" t="s">
        <v>35</v>
      </c>
      <c r="P65" s="1" t="s">
        <v>506</v>
      </c>
      <c r="Q65" s="1" t="s">
        <v>198</v>
      </c>
      <c r="R65" s="1" t="s">
        <v>37</v>
      </c>
      <c r="S65" s="1" t="s">
        <v>37</v>
      </c>
      <c r="T65" s="1" t="s">
        <v>37</v>
      </c>
      <c r="U65" s="1" t="s">
        <v>37</v>
      </c>
    </row>
    <row r="66" spans="1:21">
      <c r="A66" s="1" t="s">
        <v>511</v>
      </c>
      <c r="B66" s="1" t="s">
        <v>115</v>
      </c>
      <c r="C66" s="1" t="s">
        <v>116</v>
      </c>
      <c r="D66" s="1" t="s">
        <v>24</v>
      </c>
      <c r="E66" s="1" t="s">
        <v>25</v>
      </c>
      <c r="F66" s="1" t="s">
        <v>26</v>
      </c>
      <c r="G66" s="1" t="s">
        <v>512</v>
      </c>
      <c r="H66" s="1" t="s">
        <v>129</v>
      </c>
      <c r="I66" s="1" t="s">
        <v>513</v>
      </c>
      <c r="J66" s="1" t="s">
        <v>514</v>
      </c>
      <c r="K66" s="1" t="s">
        <v>515</v>
      </c>
      <c r="L66" s="1" t="s">
        <v>516</v>
      </c>
      <c r="M66" s="1" t="s">
        <v>49</v>
      </c>
      <c r="N66" s="1" t="s">
        <v>517</v>
      </c>
      <c r="O66" s="1" t="s">
        <v>35</v>
      </c>
      <c r="P66" s="1" t="s">
        <v>513</v>
      </c>
      <c r="Q66" s="1" t="s">
        <v>338</v>
      </c>
      <c r="R66" s="1" t="s">
        <v>37</v>
      </c>
      <c r="S66" s="1" t="s">
        <v>37</v>
      </c>
      <c r="T66" s="1" t="s">
        <v>37</v>
      </c>
      <c r="U66" s="1" t="s">
        <v>37</v>
      </c>
    </row>
    <row r="67" spans="1:21">
      <c r="A67" s="1" t="s">
        <v>518</v>
      </c>
      <c r="B67" s="1" t="s">
        <v>22</v>
      </c>
      <c r="C67" s="1" t="s">
        <v>23</v>
      </c>
      <c r="D67" s="1" t="s">
        <v>24</v>
      </c>
      <c r="E67" s="1" t="s">
        <v>25</v>
      </c>
      <c r="F67" s="1" t="s">
        <v>26</v>
      </c>
      <c r="G67" s="1" t="s">
        <v>519</v>
      </c>
      <c r="H67" s="1" t="s">
        <v>99</v>
      </c>
      <c r="I67" s="1" t="s">
        <v>520</v>
      </c>
      <c r="J67" s="1" t="s">
        <v>521</v>
      </c>
      <c r="K67" s="1" t="s">
        <v>522</v>
      </c>
      <c r="L67" s="1" t="s">
        <v>523</v>
      </c>
      <c r="M67" s="1" t="s">
        <v>49</v>
      </c>
      <c r="N67" s="1" t="s">
        <v>524</v>
      </c>
      <c r="O67" s="1" t="s">
        <v>35</v>
      </c>
      <c r="P67" s="1" t="s">
        <v>520</v>
      </c>
      <c r="Q67" s="1" t="s">
        <v>96</v>
      </c>
      <c r="R67" s="1" t="s">
        <v>37</v>
      </c>
      <c r="S67" s="1" t="s">
        <v>37</v>
      </c>
      <c r="T67" s="1" t="s">
        <v>37</v>
      </c>
      <c r="U67" s="1" t="s">
        <v>37</v>
      </c>
    </row>
    <row r="68" spans="1:21">
      <c r="A68" s="1" t="s">
        <v>525</v>
      </c>
      <c r="B68" s="1" t="s">
        <v>39</v>
      </c>
      <c r="C68" s="1" t="s">
        <v>40</v>
      </c>
      <c r="D68" s="1" t="s">
        <v>24</v>
      </c>
      <c r="E68" s="1" t="s">
        <v>25</v>
      </c>
      <c r="F68" s="1" t="s">
        <v>26</v>
      </c>
      <c r="G68" s="1" t="s">
        <v>526</v>
      </c>
      <c r="H68" s="1" t="s">
        <v>107</v>
      </c>
      <c r="I68" s="1" t="s">
        <v>527</v>
      </c>
      <c r="J68" s="1" t="s">
        <v>528</v>
      </c>
      <c r="K68" s="1" t="s">
        <v>404</v>
      </c>
      <c r="L68" s="1" t="s">
        <v>529</v>
      </c>
      <c r="M68" s="1" t="s">
        <v>33</v>
      </c>
      <c r="N68" s="1" t="s">
        <v>530</v>
      </c>
      <c r="O68" s="1" t="s">
        <v>35</v>
      </c>
      <c r="P68" s="1" t="s">
        <v>527</v>
      </c>
      <c r="Q68" s="1" t="s">
        <v>257</v>
      </c>
      <c r="R68" s="1" t="s">
        <v>37</v>
      </c>
      <c r="S68" s="1" t="s">
        <v>37</v>
      </c>
      <c r="T68" s="1" t="s">
        <v>37</v>
      </c>
      <c r="U68" s="1" t="s">
        <v>37</v>
      </c>
    </row>
    <row r="69" spans="1:21">
      <c r="A69" s="1" t="s">
        <v>531</v>
      </c>
      <c r="B69" s="1" t="s">
        <v>115</v>
      </c>
      <c r="C69" s="1" t="s">
        <v>116</v>
      </c>
      <c r="D69" s="1" t="s">
        <v>24</v>
      </c>
      <c r="E69" s="1" t="s">
        <v>25</v>
      </c>
      <c r="F69" s="1" t="s">
        <v>127</v>
      </c>
      <c r="G69" s="1" t="s">
        <v>532</v>
      </c>
      <c r="H69" s="1" t="s">
        <v>90</v>
      </c>
      <c r="I69" s="1" t="s">
        <v>533</v>
      </c>
      <c r="J69" s="1" t="s">
        <v>534</v>
      </c>
      <c r="K69" s="1" t="s">
        <v>316</v>
      </c>
      <c r="L69" s="1" t="s">
        <v>535</v>
      </c>
      <c r="M69" s="1" t="s">
        <v>33</v>
      </c>
      <c r="N69" s="1" t="s">
        <v>536</v>
      </c>
      <c r="O69" s="1" t="s">
        <v>35</v>
      </c>
      <c r="P69" s="1" t="s">
        <v>533</v>
      </c>
      <c r="Q69" s="1" t="s">
        <v>235</v>
      </c>
      <c r="R69" s="1" t="s">
        <v>37</v>
      </c>
      <c r="S69" s="1" t="s">
        <v>37</v>
      </c>
      <c r="T69" s="1" t="s">
        <v>37</v>
      </c>
      <c r="U69" s="1" t="s">
        <v>37</v>
      </c>
    </row>
    <row r="70" spans="1:21">
      <c r="A70" s="1" t="s">
        <v>537</v>
      </c>
      <c r="B70" s="1" t="s">
        <v>22</v>
      </c>
      <c r="C70" s="1" t="s">
        <v>23</v>
      </c>
      <c r="D70" s="1" t="s">
        <v>24</v>
      </c>
      <c r="E70" s="1" t="s">
        <v>25</v>
      </c>
      <c r="F70" s="1" t="s">
        <v>72</v>
      </c>
      <c r="G70" s="1" t="s">
        <v>538</v>
      </c>
      <c r="H70" s="1" t="s">
        <v>99</v>
      </c>
      <c r="I70" s="1" t="s">
        <v>539</v>
      </c>
      <c r="J70" s="1" t="s">
        <v>540</v>
      </c>
      <c r="K70" s="1" t="s">
        <v>541</v>
      </c>
      <c r="L70" s="1" t="s">
        <v>542</v>
      </c>
      <c r="M70" s="1" t="s">
        <v>49</v>
      </c>
      <c r="N70" s="1" t="s">
        <v>543</v>
      </c>
      <c r="O70" s="1" t="s">
        <v>35</v>
      </c>
      <c r="P70" s="1" t="s">
        <v>539</v>
      </c>
      <c r="Q70" s="1" t="s">
        <v>544</v>
      </c>
      <c r="R70" s="1" t="s">
        <v>37</v>
      </c>
      <c r="S70" s="1" t="s">
        <v>37</v>
      </c>
      <c r="T70" s="1" t="s">
        <v>37</v>
      </c>
      <c r="U70" s="1" t="s">
        <v>37</v>
      </c>
    </row>
    <row r="71" spans="1:21">
      <c r="A71" s="1" t="s">
        <v>545</v>
      </c>
      <c r="B71" s="1" t="s">
        <v>22</v>
      </c>
      <c r="C71" s="1" t="s">
        <v>23</v>
      </c>
      <c r="D71" s="1" t="s">
        <v>24</v>
      </c>
      <c r="E71" s="1" t="s">
        <v>25</v>
      </c>
      <c r="F71" s="1" t="s">
        <v>26</v>
      </c>
      <c r="G71" s="1" t="s">
        <v>546</v>
      </c>
      <c r="H71" s="1" t="s">
        <v>253</v>
      </c>
      <c r="I71" s="1" t="s">
        <v>547</v>
      </c>
      <c r="J71" s="1" t="s">
        <v>548</v>
      </c>
      <c r="K71" s="1" t="s">
        <v>356</v>
      </c>
      <c r="L71" s="1" t="s">
        <v>549</v>
      </c>
      <c r="M71" s="1" t="s">
        <v>49</v>
      </c>
      <c r="N71" s="1" t="s">
        <v>546</v>
      </c>
      <c r="O71" s="1" t="s">
        <v>35</v>
      </c>
      <c r="P71" s="1" t="s">
        <v>547</v>
      </c>
      <c r="Q71" s="1" t="s">
        <v>550</v>
      </c>
      <c r="R71" s="1" t="s">
        <v>37</v>
      </c>
      <c r="S71" s="1" t="s">
        <v>37</v>
      </c>
      <c r="T71" s="1" t="s">
        <v>37</v>
      </c>
      <c r="U71" s="1" t="s">
        <v>37</v>
      </c>
    </row>
    <row r="72" spans="1:21">
      <c r="A72" s="1" t="s">
        <v>551</v>
      </c>
      <c r="B72" s="1" t="s">
        <v>39</v>
      </c>
      <c r="C72" s="1" t="s">
        <v>40</v>
      </c>
      <c r="D72" s="1" t="s">
        <v>24</v>
      </c>
      <c r="E72" s="1" t="s">
        <v>25</v>
      </c>
      <c r="F72" s="1" t="s">
        <v>117</v>
      </c>
      <c r="G72" s="1" t="s">
        <v>552</v>
      </c>
      <c r="H72" s="1" t="s">
        <v>99</v>
      </c>
      <c r="I72" s="1" t="s">
        <v>553</v>
      </c>
      <c r="J72" s="1" t="s">
        <v>554</v>
      </c>
      <c r="K72" s="1" t="s">
        <v>555</v>
      </c>
      <c r="L72" s="1" t="s">
        <v>556</v>
      </c>
      <c r="M72" s="1" t="s">
        <v>59</v>
      </c>
      <c r="N72" s="1" t="s">
        <v>557</v>
      </c>
      <c r="O72" s="1" t="s">
        <v>35</v>
      </c>
      <c r="P72" s="1" t="s">
        <v>553</v>
      </c>
      <c r="Q72" s="1" t="s">
        <v>51</v>
      </c>
      <c r="R72" s="1" t="s">
        <v>37</v>
      </c>
      <c r="S72" s="1" t="s">
        <v>37</v>
      </c>
      <c r="T72" s="1" t="s">
        <v>37</v>
      </c>
      <c r="U72" s="1" t="s">
        <v>37</v>
      </c>
    </row>
    <row r="73" spans="1:21">
      <c r="A73" s="1" t="s">
        <v>558</v>
      </c>
      <c r="B73" s="1" t="s">
        <v>39</v>
      </c>
      <c r="C73" s="1" t="s">
        <v>40</v>
      </c>
      <c r="D73" s="1" t="s">
        <v>24</v>
      </c>
      <c r="E73" s="1" t="s">
        <v>25</v>
      </c>
      <c r="F73" s="1" t="s">
        <v>127</v>
      </c>
      <c r="G73" s="1" t="s">
        <v>559</v>
      </c>
      <c r="H73" s="1" t="s">
        <v>99</v>
      </c>
      <c r="I73" s="1" t="s">
        <v>560</v>
      </c>
      <c r="J73" s="1" t="s">
        <v>561</v>
      </c>
      <c r="K73" s="1" t="s">
        <v>562</v>
      </c>
      <c r="L73" s="1" t="s">
        <v>173</v>
      </c>
      <c r="M73" s="1" t="s">
        <v>49</v>
      </c>
      <c r="N73" s="1" t="s">
        <v>563</v>
      </c>
      <c r="O73" s="1" t="s">
        <v>35</v>
      </c>
      <c r="P73" s="1" t="s">
        <v>560</v>
      </c>
      <c r="Q73" s="1" t="s">
        <v>125</v>
      </c>
      <c r="R73" s="1" t="s">
        <v>37</v>
      </c>
      <c r="S73" s="1" t="s">
        <v>37</v>
      </c>
      <c r="T73" s="1" t="s">
        <v>37</v>
      </c>
      <c r="U73" s="1" t="s">
        <v>37</v>
      </c>
    </row>
    <row r="74" spans="1:21">
      <c r="A74" s="1" t="s">
        <v>564</v>
      </c>
      <c r="B74" s="1" t="s">
        <v>115</v>
      </c>
      <c r="C74" s="1" t="s">
        <v>116</v>
      </c>
      <c r="D74" s="1" t="s">
        <v>24</v>
      </c>
      <c r="E74" s="1" t="s">
        <v>25</v>
      </c>
      <c r="F74" s="1" t="s">
        <v>117</v>
      </c>
      <c r="G74" s="1" t="s">
        <v>565</v>
      </c>
      <c r="H74" s="1" t="s">
        <v>119</v>
      </c>
      <c r="I74" s="1" t="s">
        <v>566</v>
      </c>
      <c r="J74" s="1" t="s">
        <v>567</v>
      </c>
      <c r="K74" s="1" t="s">
        <v>217</v>
      </c>
      <c r="L74" s="1" t="s">
        <v>568</v>
      </c>
      <c r="M74" s="1" t="s">
        <v>33</v>
      </c>
      <c r="N74" s="1" t="s">
        <v>569</v>
      </c>
      <c r="O74" s="1" t="s">
        <v>35</v>
      </c>
      <c r="P74" s="1" t="s">
        <v>566</v>
      </c>
      <c r="Q74" s="1" t="s">
        <v>129</v>
      </c>
      <c r="R74" s="1" t="s">
        <v>37</v>
      </c>
      <c r="S74" s="1" t="s">
        <v>37</v>
      </c>
      <c r="T74" s="1" t="s">
        <v>37</v>
      </c>
      <c r="U74" s="1" t="s">
        <v>37</v>
      </c>
    </row>
    <row r="75" spans="1:21">
      <c r="A75" s="1" t="s">
        <v>570</v>
      </c>
      <c r="B75" s="1" t="s">
        <v>39</v>
      </c>
      <c r="C75" s="1" t="s">
        <v>40</v>
      </c>
      <c r="D75" s="1" t="s">
        <v>24</v>
      </c>
      <c r="E75" s="1" t="s">
        <v>25</v>
      </c>
      <c r="F75" s="1" t="s">
        <v>42</v>
      </c>
      <c r="G75" s="1" t="s">
        <v>571</v>
      </c>
      <c r="H75" s="1" t="s">
        <v>90</v>
      </c>
      <c r="I75" s="1" t="s">
        <v>572</v>
      </c>
      <c r="J75" s="1" t="s">
        <v>573</v>
      </c>
      <c r="K75" s="1" t="s">
        <v>140</v>
      </c>
      <c r="L75" s="1" t="s">
        <v>574</v>
      </c>
      <c r="M75" s="1" t="s">
        <v>49</v>
      </c>
      <c r="N75" s="1" t="s">
        <v>575</v>
      </c>
      <c r="O75" s="1" t="s">
        <v>35</v>
      </c>
      <c r="P75" s="1" t="s">
        <v>572</v>
      </c>
      <c r="Q75" s="1" t="s">
        <v>576</v>
      </c>
      <c r="R75" s="1" t="s">
        <v>37</v>
      </c>
      <c r="S75" s="1" t="s">
        <v>37</v>
      </c>
      <c r="T75" s="1" t="s">
        <v>37</v>
      </c>
      <c r="U75" s="1" t="s">
        <v>37</v>
      </c>
    </row>
    <row r="76" spans="1:21">
      <c r="A76" s="1" t="s">
        <v>577</v>
      </c>
      <c r="B76" s="1" t="s">
        <v>22</v>
      </c>
      <c r="C76" s="1" t="s">
        <v>23</v>
      </c>
      <c r="D76" s="1" t="s">
        <v>24</v>
      </c>
      <c r="E76" s="1" t="s">
        <v>25</v>
      </c>
      <c r="F76" s="1" t="s">
        <v>53</v>
      </c>
      <c r="G76" s="1" t="s">
        <v>578</v>
      </c>
      <c r="H76" s="1" t="s">
        <v>275</v>
      </c>
      <c r="I76" s="1" t="s">
        <v>579</v>
      </c>
      <c r="J76" s="1" t="s">
        <v>580</v>
      </c>
      <c r="K76" s="1" t="s">
        <v>581</v>
      </c>
      <c r="L76" s="1" t="s">
        <v>496</v>
      </c>
      <c r="M76" s="1" t="s">
        <v>33</v>
      </c>
      <c r="N76" s="1" t="s">
        <v>582</v>
      </c>
      <c r="O76" s="1" t="s">
        <v>35</v>
      </c>
      <c r="P76" s="1" t="s">
        <v>579</v>
      </c>
      <c r="Q76" s="1" t="s">
        <v>583</v>
      </c>
      <c r="R76" s="1" t="s">
        <v>37</v>
      </c>
      <c r="S76" s="1" t="s">
        <v>37</v>
      </c>
      <c r="T76" s="1" t="s">
        <v>37</v>
      </c>
      <c r="U76" s="1" t="s">
        <v>37</v>
      </c>
    </row>
    <row r="77" spans="1:21">
      <c r="A77" s="1" t="s">
        <v>584</v>
      </c>
      <c r="B77" s="1" t="s">
        <v>39</v>
      </c>
      <c r="C77" s="1" t="s">
        <v>40</v>
      </c>
      <c r="D77" s="1" t="s">
        <v>24</v>
      </c>
      <c r="E77" s="1" t="s">
        <v>25</v>
      </c>
      <c r="F77" s="1" t="s">
        <v>42</v>
      </c>
      <c r="G77" s="1" t="s">
        <v>585</v>
      </c>
      <c r="H77" s="1" t="s">
        <v>99</v>
      </c>
      <c r="I77" s="1" t="s">
        <v>586</v>
      </c>
      <c r="J77" s="1" t="s">
        <v>587</v>
      </c>
      <c r="K77" s="1" t="s">
        <v>588</v>
      </c>
      <c r="L77" s="1" t="s">
        <v>589</v>
      </c>
      <c r="M77" s="1" t="s">
        <v>59</v>
      </c>
      <c r="N77" s="1" t="s">
        <v>590</v>
      </c>
      <c r="O77" s="1" t="s">
        <v>35</v>
      </c>
      <c r="P77" s="1" t="s">
        <v>586</v>
      </c>
      <c r="Q77" s="1" t="s">
        <v>476</v>
      </c>
      <c r="R77" s="1" t="s">
        <v>37</v>
      </c>
      <c r="S77" s="1" t="s">
        <v>37</v>
      </c>
      <c r="T77" s="1" t="s">
        <v>37</v>
      </c>
      <c r="U77" s="1" t="s">
        <v>37</v>
      </c>
    </row>
    <row r="78" spans="1:21">
      <c r="A78" s="1" t="s">
        <v>591</v>
      </c>
      <c r="B78" s="1" t="s">
        <v>39</v>
      </c>
      <c r="C78" s="1" t="s">
        <v>40</v>
      </c>
      <c r="D78" s="1" t="s">
        <v>24</v>
      </c>
      <c r="E78" s="1" t="s">
        <v>25</v>
      </c>
      <c r="F78" s="1" t="s">
        <v>127</v>
      </c>
      <c r="G78" s="1" t="s">
        <v>592</v>
      </c>
      <c r="H78" s="1" t="s">
        <v>275</v>
      </c>
      <c r="I78" s="1" t="s">
        <v>593</v>
      </c>
      <c r="J78" s="1" t="s">
        <v>594</v>
      </c>
      <c r="K78" s="1" t="s">
        <v>595</v>
      </c>
      <c r="L78" s="1" t="s">
        <v>596</v>
      </c>
      <c r="M78" s="1" t="s">
        <v>59</v>
      </c>
      <c r="N78" s="1" t="s">
        <v>597</v>
      </c>
      <c r="O78" s="1" t="s">
        <v>35</v>
      </c>
      <c r="P78" s="1" t="s">
        <v>593</v>
      </c>
      <c r="Q78" s="1" t="s">
        <v>198</v>
      </c>
      <c r="R78" s="1" t="s">
        <v>37</v>
      </c>
      <c r="S78" s="1" t="s">
        <v>37</v>
      </c>
      <c r="T78" s="1" t="s">
        <v>37</v>
      </c>
      <c r="U78" s="1" t="s">
        <v>37</v>
      </c>
    </row>
    <row r="79" spans="1:21">
      <c r="A79" s="1" t="s">
        <v>598</v>
      </c>
      <c r="B79" s="1" t="s">
        <v>22</v>
      </c>
      <c r="C79" s="1" t="s">
        <v>23</v>
      </c>
      <c r="D79" s="1" t="s">
        <v>24</v>
      </c>
      <c r="E79" s="1" t="s">
        <v>25</v>
      </c>
      <c r="F79" s="1" t="s">
        <v>127</v>
      </c>
      <c r="G79" s="1" t="s">
        <v>395</v>
      </c>
      <c r="H79" s="1" t="s">
        <v>275</v>
      </c>
      <c r="I79" s="1" t="s">
        <v>396</v>
      </c>
      <c r="J79" s="1" t="s">
        <v>397</v>
      </c>
      <c r="K79" s="1" t="s">
        <v>599</v>
      </c>
      <c r="L79" s="1" t="s">
        <v>600</v>
      </c>
      <c r="M79" s="1" t="s">
        <v>59</v>
      </c>
      <c r="N79" s="1" t="s">
        <v>399</v>
      </c>
      <c r="O79" s="1" t="s">
        <v>35</v>
      </c>
      <c r="P79" s="1" t="s">
        <v>396</v>
      </c>
      <c r="Q79" s="1" t="s">
        <v>167</v>
      </c>
      <c r="R79" s="1" t="s">
        <v>37</v>
      </c>
      <c r="S79" s="1" t="s">
        <v>37</v>
      </c>
      <c r="T79" s="1" t="s">
        <v>37</v>
      </c>
      <c r="U79" s="1" t="s">
        <v>37</v>
      </c>
    </row>
    <row r="80" spans="1:21">
      <c r="A80" s="1" t="s">
        <v>601</v>
      </c>
      <c r="B80" s="1" t="s">
        <v>39</v>
      </c>
      <c r="C80" s="1" t="s">
        <v>40</v>
      </c>
      <c r="D80" s="1" t="s">
        <v>24</v>
      </c>
      <c r="E80" s="1" t="s">
        <v>25</v>
      </c>
      <c r="F80" s="1" t="s">
        <v>117</v>
      </c>
      <c r="G80" s="1" t="s">
        <v>602</v>
      </c>
      <c r="H80" s="1" t="s">
        <v>99</v>
      </c>
      <c r="I80" s="1" t="s">
        <v>603</v>
      </c>
      <c r="J80" s="1" t="s">
        <v>604</v>
      </c>
      <c r="K80" s="1" t="s">
        <v>217</v>
      </c>
      <c r="L80" s="1" t="s">
        <v>605</v>
      </c>
      <c r="M80" s="1" t="s">
        <v>33</v>
      </c>
      <c r="N80" s="1" t="s">
        <v>606</v>
      </c>
      <c r="O80" s="1" t="s">
        <v>35</v>
      </c>
      <c r="P80" s="1" t="s">
        <v>603</v>
      </c>
      <c r="Q80" s="1" t="s">
        <v>468</v>
      </c>
      <c r="R80" s="1" t="s">
        <v>37</v>
      </c>
      <c r="S80" s="1" t="s">
        <v>37</v>
      </c>
      <c r="T80" s="1" t="s">
        <v>37</v>
      </c>
      <c r="U80" s="1" t="s">
        <v>37</v>
      </c>
    </row>
    <row r="81" spans="1:21">
      <c r="A81" s="1" t="s">
        <v>607</v>
      </c>
      <c r="B81" s="1" t="s">
        <v>39</v>
      </c>
      <c r="C81" s="1" t="s">
        <v>40</v>
      </c>
      <c r="D81" s="1" t="s">
        <v>24</v>
      </c>
      <c r="E81" s="1" t="s">
        <v>25</v>
      </c>
      <c r="F81" s="1" t="s">
        <v>26</v>
      </c>
      <c r="G81" s="1" t="s">
        <v>608</v>
      </c>
      <c r="H81" s="1" t="s">
        <v>44</v>
      </c>
      <c r="I81" s="1" t="s">
        <v>609</v>
      </c>
      <c r="J81" s="1" t="s">
        <v>610</v>
      </c>
      <c r="K81" s="1" t="s">
        <v>581</v>
      </c>
      <c r="L81" s="1" t="s">
        <v>611</v>
      </c>
      <c r="M81" s="1" t="s">
        <v>49</v>
      </c>
      <c r="N81" s="1" t="s">
        <v>612</v>
      </c>
      <c r="O81" s="1" t="s">
        <v>35</v>
      </c>
      <c r="P81" s="1" t="s">
        <v>609</v>
      </c>
      <c r="Q81" s="1" t="s">
        <v>90</v>
      </c>
      <c r="R81" s="1" t="s">
        <v>37</v>
      </c>
      <c r="S81" s="1" t="s">
        <v>37</v>
      </c>
      <c r="T81" s="1" t="s">
        <v>37</v>
      </c>
      <c r="U81" s="1" t="s">
        <v>37</v>
      </c>
    </row>
    <row r="82" spans="1:21">
      <c r="A82" s="1" t="s">
        <v>613</v>
      </c>
      <c r="B82" s="1" t="s">
        <v>39</v>
      </c>
      <c r="C82" s="1" t="s">
        <v>40</v>
      </c>
      <c r="D82" s="1" t="s">
        <v>24</v>
      </c>
      <c r="E82" s="1" t="s">
        <v>25</v>
      </c>
      <c r="F82" s="1" t="s">
        <v>26</v>
      </c>
      <c r="G82" s="1" t="s">
        <v>614</v>
      </c>
      <c r="H82" s="1" t="s">
        <v>90</v>
      </c>
      <c r="I82" s="1" t="s">
        <v>615</v>
      </c>
      <c r="J82" s="1" t="s">
        <v>616</v>
      </c>
      <c r="K82" s="1" t="s">
        <v>195</v>
      </c>
      <c r="L82" s="1" t="s">
        <v>432</v>
      </c>
      <c r="M82" s="1" t="s">
        <v>59</v>
      </c>
      <c r="N82" s="1" t="s">
        <v>617</v>
      </c>
      <c r="O82" s="1" t="s">
        <v>35</v>
      </c>
      <c r="P82" s="1" t="s">
        <v>615</v>
      </c>
      <c r="Q82" s="1" t="s">
        <v>618</v>
      </c>
      <c r="R82" s="1" t="s">
        <v>37</v>
      </c>
      <c r="S82" s="1" t="s">
        <v>37</v>
      </c>
      <c r="T82" s="1" t="s">
        <v>37</v>
      </c>
      <c r="U82" s="1" t="s">
        <v>37</v>
      </c>
    </row>
    <row r="83" spans="1:21">
      <c r="A83" s="1" t="s">
        <v>619</v>
      </c>
      <c r="B83" s="1" t="s">
        <v>115</v>
      </c>
      <c r="C83" s="1" t="s">
        <v>116</v>
      </c>
      <c r="D83" s="1" t="s">
        <v>24</v>
      </c>
      <c r="E83" s="1" t="s">
        <v>25</v>
      </c>
      <c r="F83" s="1" t="s">
        <v>117</v>
      </c>
      <c r="G83" s="1" t="s">
        <v>620</v>
      </c>
      <c r="H83" s="1" t="s">
        <v>119</v>
      </c>
      <c r="I83" s="1" t="s">
        <v>621</v>
      </c>
      <c r="J83" s="1" t="s">
        <v>622</v>
      </c>
      <c r="K83" s="1" t="s">
        <v>623</v>
      </c>
      <c r="L83" s="1" t="s">
        <v>624</v>
      </c>
      <c r="M83" s="1" t="s">
        <v>33</v>
      </c>
      <c r="N83" s="1" t="s">
        <v>625</v>
      </c>
      <c r="O83" s="1" t="s">
        <v>35</v>
      </c>
      <c r="P83" s="1" t="s">
        <v>621</v>
      </c>
      <c r="Q83" s="1" t="s">
        <v>544</v>
      </c>
      <c r="R83" s="1" t="s">
        <v>37</v>
      </c>
      <c r="S83" s="1" t="s">
        <v>37</v>
      </c>
      <c r="T83" s="1" t="s">
        <v>37</v>
      </c>
      <c r="U83" s="1" t="s">
        <v>37</v>
      </c>
    </row>
    <row r="84" spans="1:21">
      <c r="A84" s="1" t="s">
        <v>626</v>
      </c>
      <c r="B84" s="1" t="s">
        <v>39</v>
      </c>
      <c r="C84" s="1" t="s">
        <v>40</v>
      </c>
      <c r="D84" s="1" t="s">
        <v>24</v>
      </c>
      <c r="E84" s="1" t="s">
        <v>25</v>
      </c>
      <c r="F84" s="1" t="s">
        <v>117</v>
      </c>
      <c r="G84" s="1" t="s">
        <v>627</v>
      </c>
      <c r="H84" s="1" t="s">
        <v>64</v>
      </c>
      <c r="I84" s="1" t="s">
        <v>265</v>
      </c>
      <c r="J84" s="1" t="s">
        <v>628</v>
      </c>
      <c r="K84" s="1" t="s">
        <v>629</v>
      </c>
      <c r="L84" s="1" t="s">
        <v>630</v>
      </c>
      <c r="M84" s="1" t="s">
        <v>33</v>
      </c>
      <c r="N84" s="1" t="s">
        <v>631</v>
      </c>
      <c r="O84" s="1" t="s">
        <v>35</v>
      </c>
      <c r="P84" s="1" t="s">
        <v>265</v>
      </c>
      <c r="Q84" s="1" t="s">
        <v>468</v>
      </c>
      <c r="R84" s="1" t="s">
        <v>37</v>
      </c>
      <c r="S84" s="1" t="s">
        <v>37</v>
      </c>
      <c r="T84" s="1" t="s">
        <v>37</v>
      </c>
      <c r="U84" s="1" t="s">
        <v>37</v>
      </c>
    </row>
    <row r="85" spans="1:21">
      <c r="A85" s="1" t="s">
        <v>632</v>
      </c>
      <c r="B85" s="1" t="s">
        <v>39</v>
      </c>
      <c r="C85" s="1" t="s">
        <v>40</v>
      </c>
      <c r="D85" s="1" t="s">
        <v>24</v>
      </c>
      <c r="E85" s="1" t="s">
        <v>25</v>
      </c>
      <c r="F85" s="1" t="s">
        <v>117</v>
      </c>
      <c r="G85" s="1" t="s">
        <v>633</v>
      </c>
      <c r="H85" s="1" t="s">
        <v>129</v>
      </c>
      <c r="I85" s="1" t="s">
        <v>634</v>
      </c>
      <c r="J85" s="1" t="s">
        <v>635</v>
      </c>
      <c r="K85" s="1" t="s">
        <v>636</v>
      </c>
      <c r="L85" s="1" t="s">
        <v>350</v>
      </c>
      <c r="M85" s="1" t="s">
        <v>59</v>
      </c>
      <c r="N85" s="1" t="s">
        <v>637</v>
      </c>
      <c r="O85" s="1" t="s">
        <v>35</v>
      </c>
      <c r="P85" s="1" t="s">
        <v>634</v>
      </c>
      <c r="Q85" s="1" t="s">
        <v>638</v>
      </c>
      <c r="R85" s="1" t="s">
        <v>37</v>
      </c>
      <c r="S85" s="1" t="s">
        <v>37</v>
      </c>
      <c r="T85" s="1" t="s">
        <v>37</v>
      </c>
      <c r="U85" s="1" t="s">
        <v>37</v>
      </c>
    </row>
    <row r="86" spans="1:21">
      <c r="A86" s="1" t="s">
        <v>639</v>
      </c>
      <c r="B86" s="1" t="s">
        <v>39</v>
      </c>
      <c r="C86" s="1" t="s">
        <v>40</v>
      </c>
      <c r="D86" s="1" t="s">
        <v>24</v>
      </c>
      <c r="E86" s="1" t="s">
        <v>25</v>
      </c>
      <c r="F86" s="1" t="s">
        <v>72</v>
      </c>
      <c r="G86" s="1" t="s">
        <v>640</v>
      </c>
      <c r="H86" s="1" t="s">
        <v>44</v>
      </c>
      <c r="I86" s="1" t="s">
        <v>641</v>
      </c>
      <c r="J86" s="1" t="s">
        <v>642</v>
      </c>
      <c r="K86" s="1" t="s">
        <v>140</v>
      </c>
      <c r="L86" s="1" t="s">
        <v>643</v>
      </c>
      <c r="M86" s="1" t="s">
        <v>49</v>
      </c>
      <c r="N86" s="1" t="s">
        <v>644</v>
      </c>
      <c r="O86" s="1" t="s">
        <v>35</v>
      </c>
      <c r="P86" s="1" t="s">
        <v>641</v>
      </c>
      <c r="Q86" s="1" t="s">
        <v>468</v>
      </c>
      <c r="R86" s="1" t="s">
        <v>37</v>
      </c>
      <c r="S86" s="1" t="s">
        <v>37</v>
      </c>
      <c r="T86" s="1" t="s">
        <v>37</v>
      </c>
      <c r="U86" s="1" t="s">
        <v>37</v>
      </c>
    </row>
    <row r="87" spans="1:21">
      <c r="A87" s="1" t="s">
        <v>645</v>
      </c>
      <c r="B87" s="1" t="s">
        <v>39</v>
      </c>
      <c r="C87" s="1" t="s">
        <v>40</v>
      </c>
      <c r="D87" s="1" t="s">
        <v>24</v>
      </c>
      <c r="E87" s="1" t="s">
        <v>25</v>
      </c>
      <c r="F87" s="1" t="s">
        <v>72</v>
      </c>
      <c r="G87" s="1" t="s">
        <v>646</v>
      </c>
      <c r="H87" s="1" t="s">
        <v>28</v>
      </c>
      <c r="I87" s="1" t="s">
        <v>647</v>
      </c>
      <c r="J87" s="1" t="s">
        <v>648</v>
      </c>
      <c r="K87" s="1" t="s">
        <v>217</v>
      </c>
      <c r="L87" s="1" t="s">
        <v>649</v>
      </c>
      <c r="M87" s="1" t="s">
        <v>33</v>
      </c>
      <c r="N87" s="1" t="s">
        <v>650</v>
      </c>
      <c r="O87" s="1" t="s">
        <v>35</v>
      </c>
      <c r="P87" s="1" t="s">
        <v>647</v>
      </c>
      <c r="Q87" s="1" t="s">
        <v>129</v>
      </c>
      <c r="R87" s="1" t="s">
        <v>37</v>
      </c>
      <c r="S87" s="1" t="s">
        <v>37</v>
      </c>
      <c r="T87" s="1" t="s">
        <v>37</v>
      </c>
      <c r="U87" s="1" t="s">
        <v>37</v>
      </c>
    </row>
    <row r="88" spans="1:21">
      <c r="A88" s="1" t="s">
        <v>651</v>
      </c>
      <c r="B88" s="1" t="s">
        <v>39</v>
      </c>
      <c r="C88" s="1" t="s">
        <v>40</v>
      </c>
      <c r="D88" s="1" t="s">
        <v>24</v>
      </c>
      <c r="E88" s="1" t="s">
        <v>25</v>
      </c>
      <c r="F88" s="1" t="s">
        <v>127</v>
      </c>
      <c r="G88" s="1" t="s">
        <v>652</v>
      </c>
      <c r="H88" s="1" t="s">
        <v>44</v>
      </c>
      <c r="I88" s="1" t="s">
        <v>653</v>
      </c>
      <c r="J88" s="1" t="s">
        <v>654</v>
      </c>
      <c r="K88" s="1" t="s">
        <v>84</v>
      </c>
      <c r="L88" s="1" t="s">
        <v>655</v>
      </c>
      <c r="M88" s="1" t="s">
        <v>49</v>
      </c>
      <c r="N88" s="1" t="s">
        <v>656</v>
      </c>
      <c r="O88" s="1" t="s">
        <v>35</v>
      </c>
      <c r="P88" s="1" t="s">
        <v>653</v>
      </c>
      <c r="Q88" s="1" t="s">
        <v>235</v>
      </c>
      <c r="R88" s="1" t="s">
        <v>37</v>
      </c>
      <c r="S88" s="1" t="s">
        <v>37</v>
      </c>
      <c r="T88" s="1" t="s">
        <v>37</v>
      </c>
      <c r="U88" s="1" t="s">
        <v>37</v>
      </c>
    </row>
    <row r="89" spans="1:21">
      <c r="A89" s="1" t="s">
        <v>657</v>
      </c>
      <c r="B89" s="1" t="s">
        <v>22</v>
      </c>
      <c r="C89" s="1" t="s">
        <v>23</v>
      </c>
      <c r="D89" s="1" t="s">
        <v>24</v>
      </c>
      <c r="E89" s="1" t="s">
        <v>25</v>
      </c>
      <c r="F89" s="1" t="s">
        <v>117</v>
      </c>
      <c r="G89" s="1" t="s">
        <v>658</v>
      </c>
      <c r="H89" s="1" t="s">
        <v>28</v>
      </c>
      <c r="I89" s="1" t="s">
        <v>659</v>
      </c>
      <c r="J89" s="1" t="s">
        <v>660</v>
      </c>
      <c r="K89" s="1" t="s">
        <v>459</v>
      </c>
      <c r="L89" s="1" t="s">
        <v>661</v>
      </c>
      <c r="M89" s="1" t="s">
        <v>59</v>
      </c>
      <c r="N89" s="1" t="s">
        <v>662</v>
      </c>
      <c r="O89" s="1" t="s">
        <v>35</v>
      </c>
      <c r="P89" s="1" t="s">
        <v>659</v>
      </c>
      <c r="Q89" s="1" t="s">
        <v>663</v>
      </c>
      <c r="R89" s="1" t="s">
        <v>37</v>
      </c>
      <c r="S89" s="1" t="s">
        <v>37</v>
      </c>
      <c r="T89" s="1" t="s">
        <v>37</v>
      </c>
      <c r="U89" s="1" t="s">
        <v>37</v>
      </c>
    </row>
    <row r="90" spans="1:21">
      <c r="A90" s="1" t="s">
        <v>664</v>
      </c>
      <c r="B90" s="1" t="s">
        <v>22</v>
      </c>
      <c r="C90" s="1" t="s">
        <v>23</v>
      </c>
      <c r="D90" s="1" t="s">
        <v>24</v>
      </c>
      <c r="E90" s="1" t="s">
        <v>25</v>
      </c>
      <c r="F90" s="1" t="s">
        <v>72</v>
      </c>
      <c r="G90" s="1" t="s">
        <v>665</v>
      </c>
      <c r="H90" s="1" t="s">
        <v>253</v>
      </c>
      <c r="I90" s="1" t="s">
        <v>666</v>
      </c>
      <c r="J90" s="1" t="s">
        <v>667</v>
      </c>
      <c r="K90" s="1" t="s">
        <v>668</v>
      </c>
      <c r="L90" s="1" t="s">
        <v>669</v>
      </c>
      <c r="M90" s="1" t="s">
        <v>49</v>
      </c>
      <c r="N90" s="1" t="s">
        <v>665</v>
      </c>
      <c r="O90" s="1" t="s">
        <v>35</v>
      </c>
      <c r="P90" s="1" t="s">
        <v>666</v>
      </c>
      <c r="Q90" s="1" t="s">
        <v>167</v>
      </c>
      <c r="R90" s="1" t="s">
        <v>37</v>
      </c>
      <c r="S90" s="1" t="s">
        <v>37</v>
      </c>
      <c r="T90" s="1" t="s">
        <v>37</v>
      </c>
      <c r="U90" s="1" t="s">
        <v>37</v>
      </c>
    </row>
    <row r="91" spans="1:21">
      <c r="A91" s="1" t="s">
        <v>670</v>
      </c>
      <c r="B91" s="1" t="s">
        <v>115</v>
      </c>
      <c r="C91" s="1" t="s">
        <v>116</v>
      </c>
      <c r="D91" s="1" t="s">
        <v>24</v>
      </c>
      <c r="E91" s="1" t="s">
        <v>25</v>
      </c>
      <c r="F91" s="1" t="s">
        <v>26</v>
      </c>
      <c r="G91" s="1" t="s">
        <v>671</v>
      </c>
      <c r="H91" s="1" t="s">
        <v>90</v>
      </c>
      <c r="I91" s="1" t="s">
        <v>672</v>
      </c>
      <c r="J91" s="1" t="s">
        <v>673</v>
      </c>
      <c r="K91" s="1" t="s">
        <v>391</v>
      </c>
      <c r="L91" s="1" t="s">
        <v>674</v>
      </c>
      <c r="M91" s="1" t="s">
        <v>49</v>
      </c>
      <c r="N91" s="1" t="s">
        <v>675</v>
      </c>
      <c r="O91" s="1" t="s">
        <v>35</v>
      </c>
      <c r="P91" s="1" t="s">
        <v>672</v>
      </c>
      <c r="Q91" s="1" t="s">
        <v>440</v>
      </c>
      <c r="R91" s="1" t="s">
        <v>37</v>
      </c>
      <c r="S91" s="1" t="s">
        <v>37</v>
      </c>
      <c r="T91" s="1" t="s">
        <v>37</v>
      </c>
      <c r="U91" s="1" t="s">
        <v>37</v>
      </c>
    </row>
    <row r="92" spans="1:21">
      <c r="A92" s="1" t="s">
        <v>676</v>
      </c>
      <c r="B92" s="1" t="s">
        <v>39</v>
      </c>
      <c r="C92" s="1" t="s">
        <v>40</v>
      </c>
      <c r="D92" s="1" t="s">
        <v>24</v>
      </c>
      <c r="E92" s="1" t="s">
        <v>25</v>
      </c>
      <c r="F92" s="1" t="s">
        <v>53</v>
      </c>
      <c r="G92" s="1" t="s">
        <v>677</v>
      </c>
      <c r="H92" s="1" t="s">
        <v>129</v>
      </c>
      <c r="I92" s="1" t="s">
        <v>678</v>
      </c>
      <c r="J92" s="1" t="s">
        <v>679</v>
      </c>
      <c r="K92" s="1" t="s">
        <v>629</v>
      </c>
      <c r="L92" s="1" t="s">
        <v>149</v>
      </c>
      <c r="M92" s="1" t="s">
        <v>49</v>
      </c>
      <c r="N92" s="1" t="s">
        <v>680</v>
      </c>
      <c r="O92" s="1" t="s">
        <v>35</v>
      </c>
      <c r="P92" s="1" t="s">
        <v>678</v>
      </c>
      <c r="Q92" s="1" t="s">
        <v>151</v>
      </c>
      <c r="R92" s="1" t="s">
        <v>37</v>
      </c>
      <c r="S92" s="1" t="s">
        <v>37</v>
      </c>
      <c r="T92" s="1" t="s">
        <v>37</v>
      </c>
      <c r="U92" s="1" t="s">
        <v>37</v>
      </c>
    </row>
    <row r="93" spans="1:21">
      <c r="A93" s="1" t="s">
        <v>681</v>
      </c>
      <c r="B93" s="1" t="s">
        <v>39</v>
      </c>
      <c r="C93" s="1" t="s">
        <v>40</v>
      </c>
      <c r="D93" s="1" t="s">
        <v>24</v>
      </c>
      <c r="E93" s="1" t="s">
        <v>25</v>
      </c>
      <c r="F93" s="1" t="s">
        <v>72</v>
      </c>
      <c r="G93" s="1" t="s">
        <v>682</v>
      </c>
      <c r="H93" s="1" t="s">
        <v>99</v>
      </c>
      <c r="I93" s="1" t="s">
        <v>683</v>
      </c>
      <c r="J93" s="1" t="s">
        <v>684</v>
      </c>
      <c r="K93" s="1" t="s">
        <v>623</v>
      </c>
      <c r="L93" s="1" t="s">
        <v>685</v>
      </c>
      <c r="M93" s="1" t="s">
        <v>33</v>
      </c>
      <c r="N93" s="1" t="s">
        <v>686</v>
      </c>
      <c r="O93" s="1" t="s">
        <v>35</v>
      </c>
      <c r="P93" s="1" t="s">
        <v>683</v>
      </c>
      <c r="Q93" s="1" t="s">
        <v>159</v>
      </c>
      <c r="R93" s="1" t="s">
        <v>37</v>
      </c>
      <c r="S93" s="1" t="s">
        <v>37</v>
      </c>
      <c r="T93" s="1" t="s">
        <v>37</v>
      </c>
      <c r="U93" s="1" t="s">
        <v>37</v>
      </c>
    </row>
    <row r="94" spans="1:21">
      <c r="A94" s="1" t="s">
        <v>687</v>
      </c>
      <c r="B94" s="1" t="s">
        <v>22</v>
      </c>
      <c r="C94" s="1" t="s">
        <v>23</v>
      </c>
      <c r="D94" s="1" t="s">
        <v>24</v>
      </c>
      <c r="E94" s="1" t="s">
        <v>25</v>
      </c>
      <c r="F94" s="1" t="s">
        <v>72</v>
      </c>
      <c r="G94" s="1" t="s">
        <v>688</v>
      </c>
      <c r="H94" s="1" t="s">
        <v>28</v>
      </c>
      <c r="I94" s="1" t="s">
        <v>689</v>
      </c>
      <c r="J94" s="1" t="s">
        <v>690</v>
      </c>
      <c r="K94" s="1" t="s">
        <v>110</v>
      </c>
      <c r="L94" s="1" t="s">
        <v>691</v>
      </c>
      <c r="M94" s="1" t="s">
        <v>33</v>
      </c>
      <c r="N94" s="1" t="s">
        <v>692</v>
      </c>
      <c r="O94" s="1" t="s">
        <v>35</v>
      </c>
      <c r="P94" s="1" t="s">
        <v>689</v>
      </c>
      <c r="Q94" s="1" t="s">
        <v>220</v>
      </c>
      <c r="R94" s="1" t="s">
        <v>37</v>
      </c>
      <c r="S94" s="1" t="s">
        <v>37</v>
      </c>
      <c r="T94" s="1" t="s">
        <v>37</v>
      </c>
      <c r="U94" s="1" t="s">
        <v>37</v>
      </c>
    </row>
    <row r="95" spans="1:21">
      <c r="A95" s="1" t="s">
        <v>693</v>
      </c>
      <c r="B95" s="1" t="s">
        <v>115</v>
      </c>
      <c r="C95" s="1" t="s">
        <v>116</v>
      </c>
      <c r="D95" s="1" t="s">
        <v>24</v>
      </c>
      <c r="E95" s="1" t="s">
        <v>25</v>
      </c>
      <c r="F95" s="1" t="s">
        <v>26</v>
      </c>
      <c r="G95" s="1" t="s">
        <v>694</v>
      </c>
      <c r="H95" s="1" t="s">
        <v>275</v>
      </c>
      <c r="I95" s="1" t="s">
        <v>695</v>
      </c>
      <c r="J95" s="1" t="s">
        <v>696</v>
      </c>
      <c r="K95" s="1" t="s">
        <v>481</v>
      </c>
      <c r="L95" s="1" t="s">
        <v>697</v>
      </c>
      <c r="M95" s="1" t="s">
        <v>59</v>
      </c>
      <c r="N95" s="1" t="s">
        <v>698</v>
      </c>
      <c r="O95" s="1" t="s">
        <v>35</v>
      </c>
      <c r="P95" s="1" t="s">
        <v>695</v>
      </c>
      <c r="Q95" s="1" t="s">
        <v>198</v>
      </c>
      <c r="R95" s="1" t="s">
        <v>37</v>
      </c>
      <c r="S95" s="1" t="s">
        <v>37</v>
      </c>
      <c r="T95" s="1" t="s">
        <v>37</v>
      </c>
      <c r="U95" s="1" t="s">
        <v>37</v>
      </c>
    </row>
    <row r="96" spans="1:21">
      <c r="A96" s="1" t="s">
        <v>699</v>
      </c>
      <c r="B96" s="1" t="s">
        <v>39</v>
      </c>
      <c r="C96" s="1" t="s">
        <v>40</v>
      </c>
      <c r="D96" s="1" t="s">
        <v>24</v>
      </c>
      <c r="E96" s="1" t="s">
        <v>25</v>
      </c>
      <c r="F96" s="1" t="s">
        <v>26</v>
      </c>
      <c r="G96" s="1" t="s">
        <v>700</v>
      </c>
      <c r="H96" s="1" t="s">
        <v>253</v>
      </c>
      <c r="I96" s="1" t="s">
        <v>701</v>
      </c>
      <c r="J96" s="1" t="s">
        <v>702</v>
      </c>
      <c r="K96" s="1" t="s">
        <v>132</v>
      </c>
      <c r="L96" s="1" t="s">
        <v>703</v>
      </c>
      <c r="M96" s="1" t="s">
        <v>59</v>
      </c>
      <c r="N96" s="1" t="s">
        <v>700</v>
      </c>
      <c r="O96" s="1" t="s">
        <v>35</v>
      </c>
      <c r="P96" s="1" t="s">
        <v>701</v>
      </c>
      <c r="Q96" s="1" t="s">
        <v>468</v>
      </c>
      <c r="R96" s="1" t="s">
        <v>37</v>
      </c>
      <c r="S96" s="1" t="s">
        <v>37</v>
      </c>
      <c r="T96" s="1" t="s">
        <v>37</v>
      </c>
      <c r="U96" s="1" t="s">
        <v>37</v>
      </c>
    </row>
    <row r="97" spans="1:21">
      <c r="A97" s="1" t="s">
        <v>704</v>
      </c>
      <c r="B97" s="1" t="s">
        <v>22</v>
      </c>
      <c r="C97" s="1" t="s">
        <v>23</v>
      </c>
      <c r="D97" s="1" t="s">
        <v>24</v>
      </c>
      <c r="E97" s="1" t="s">
        <v>25</v>
      </c>
      <c r="F97" s="1" t="s">
        <v>42</v>
      </c>
      <c r="G97" s="1" t="s">
        <v>705</v>
      </c>
      <c r="H97" s="1" t="s">
        <v>253</v>
      </c>
      <c r="I97" s="1" t="s">
        <v>706</v>
      </c>
      <c r="J97" s="1" t="s">
        <v>707</v>
      </c>
      <c r="K97" s="1" t="s">
        <v>47</v>
      </c>
      <c r="L97" s="1" t="s">
        <v>708</v>
      </c>
      <c r="M97" s="1" t="s">
        <v>33</v>
      </c>
      <c r="N97" s="1" t="s">
        <v>705</v>
      </c>
      <c r="O97" s="1" t="s">
        <v>35</v>
      </c>
      <c r="P97" s="1" t="s">
        <v>706</v>
      </c>
      <c r="Q97" s="1" t="s">
        <v>113</v>
      </c>
      <c r="R97" s="1" t="s">
        <v>37</v>
      </c>
      <c r="S97" s="1" t="s">
        <v>37</v>
      </c>
      <c r="T97" s="1" t="s">
        <v>37</v>
      </c>
      <c r="U97" s="1" t="s">
        <v>37</v>
      </c>
    </row>
    <row r="98" spans="1:21">
      <c r="A98" s="1" t="s">
        <v>709</v>
      </c>
      <c r="B98" s="1" t="s">
        <v>115</v>
      </c>
      <c r="C98" s="1" t="s">
        <v>116</v>
      </c>
      <c r="D98" s="1" t="s">
        <v>24</v>
      </c>
      <c r="E98" s="1" t="s">
        <v>25</v>
      </c>
      <c r="F98" s="1" t="s">
        <v>26</v>
      </c>
      <c r="G98" s="1" t="s">
        <v>710</v>
      </c>
      <c r="H98" s="1" t="s">
        <v>99</v>
      </c>
      <c r="I98" s="1" t="s">
        <v>711</v>
      </c>
      <c r="J98" s="1" t="s">
        <v>712</v>
      </c>
      <c r="K98" s="1" t="s">
        <v>164</v>
      </c>
      <c r="L98" s="1" t="s">
        <v>149</v>
      </c>
      <c r="M98" s="1" t="s">
        <v>33</v>
      </c>
      <c r="N98" s="1" t="s">
        <v>713</v>
      </c>
      <c r="O98" s="1" t="s">
        <v>35</v>
      </c>
      <c r="P98" s="1" t="s">
        <v>711</v>
      </c>
      <c r="Q98" s="1" t="s">
        <v>220</v>
      </c>
      <c r="R98" s="1" t="s">
        <v>37</v>
      </c>
      <c r="S98" s="1" t="s">
        <v>37</v>
      </c>
      <c r="T98" s="1" t="s">
        <v>37</v>
      </c>
      <c r="U98" s="1" t="s">
        <v>37</v>
      </c>
    </row>
    <row r="99" spans="1:21">
      <c r="A99" s="1" t="s">
        <v>714</v>
      </c>
      <c r="B99" s="1" t="s">
        <v>39</v>
      </c>
      <c r="C99" s="1" t="s">
        <v>40</v>
      </c>
      <c r="D99" s="1" t="s">
        <v>24</v>
      </c>
      <c r="E99" s="1" t="s">
        <v>25</v>
      </c>
      <c r="F99" s="1" t="s">
        <v>42</v>
      </c>
      <c r="G99" s="1" t="s">
        <v>715</v>
      </c>
      <c r="H99" s="1" t="s">
        <v>90</v>
      </c>
      <c r="I99" s="1" t="s">
        <v>716</v>
      </c>
      <c r="J99" s="1" t="s">
        <v>717</v>
      </c>
      <c r="K99" s="1" t="s">
        <v>718</v>
      </c>
      <c r="L99" s="1" t="s">
        <v>719</v>
      </c>
      <c r="M99" s="1" t="s">
        <v>49</v>
      </c>
      <c r="N99" s="1" t="s">
        <v>720</v>
      </c>
      <c r="O99" s="1" t="s">
        <v>35</v>
      </c>
      <c r="P99" s="1" t="s">
        <v>716</v>
      </c>
      <c r="Q99" s="1" t="s">
        <v>87</v>
      </c>
      <c r="R99" s="1" t="s">
        <v>37</v>
      </c>
      <c r="S99" s="1" t="s">
        <v>37</v>
      </c>
      <c r="T99" s="1" t="s">
        <v>37</v>
      </c>
      <c r="U99" s="1" t="s">
        <v>37</v>
      </c>
    </row>
    <row r="100" spans="1:21">
      <c r="A100" s="1" t="s">
        <v>721</v>
      </c>
      <c r="B100" s="1" t="s">
        <v>22</v>
      </c>
      <c r="C100" s="1" t="s">
        <v>23</v>
      </c>
      <c r="D100" s="1" t="s">
        <v>24</v>
      </c>
      <c r="E100" s="1" t="s">
        <v>25</v>
      </c>
      <c r="F100" s="1" t="s">
        <v>117</v>
      </c>
      <c r="G100" s="1" t="s">
        <v>722</v>
      </c>
      <c r="H100" s="1" t="s">
        <v>119</v>
      </c>
      <c r="I100" s="1" t="s">
        <v>723</v>
      </c>
      <c r="J100" s="1" t="s">
        <v>724</v>
      </c>
      <c r="K100" s="1" t="s">
        <v>335</v>
      </c>
      <c r="L100" s="1" t="s">
        <v>725</v>
      </c>
      <c r="M100" s="1" t="s">
        <v>33</v>
      </c>
      <c r="N100" s="1" t="s">
        <v>726</v>
      </c>
      <c r="O100" s="1" t="s">
        <v>35</v>
      </c>
      <c r="P100" s="1" t="s">
        <v>723</v>
      </c>
      <c r="Q100" s="1" t="s">
        <v>484</v>
      </c>
      <c r="R100" s="1" t="s">
        <v>37</v>
      </c>
      <c r="S100" s="1" t="s">
        <v>37</v>
      </c>
      <c r="T100" s="1" t="s">
        <v>37</v>
      </c>
      <c r="U100" s="1" t="s">
        <v>37</v>
      </c>
    </row>
    <row r="101" spans="1:21">
      <c r="A101" s="1" t="s">
        <v>727</v>
      </c>
      <c r="B101" s="1" t="s">
        <v>115</v>
      </c>
      <c r="C101" s="1" t="s">
        <v>116</v>
      </c>
      <c r="D101" s="1" t="s">
        <v>24</v>
      </c>
      <c r="E101" s="1" t="s">
        <v>25</v>
      </c>
      <c r="F101" s="1" t="s">
        <v>53</v>
      </c>
      <c r="G101" s="1" t="s">
        <v>728</v>
      </c>
      <c r="H101" s="1" t="s">
        <v>90</v>
      </c>
      <c r="I101" s="1" t="s">
        <v>729</v>
      </c>
      <c r="J101" s="1" t="s">
        <v>730</v>
      </c>
      <c r="K101" s="1" t="s">
        <v>217</v>
      </c>
      <c r="L101" s="1" t="s">
        <v>731</v>
      </c>
      <c r="M101" s="1" t="s">
        <v>49</v>
      </c>
      <c r="N101" s="1" t="s">
        <v>732</v>
      </c>
      <c r="O101" s="1" t="s">
        <v>35</v>
      </c>
      <c r="P101" s="1" t="s">
        <v>729</v>
      </c>
      <c r="Q101" s="1" t="s">
        <v>61</v>
      </c>
      <c r="R101" s="1" t="s">
        <v>37</v>
      </c>
      <c r="S101" s="1" t="s">
        <v>37</v>
      </c>
      <c r="T101" s="1" t="s">
        <v>37</v>
      </c>
      <c r="U101" s="1" t="s">
        <v>37</v>
      </c>
    </row>
    <row r="102" spans="1:21">
      <c r="A102" s="1" t="s">
        <v>733</v>
      </c>
      <c r="B102" s="1" t="s">
        <v>39</v>
      </c>
      <c r="C102" s="1" t="s">
        <v>40</v>
      </c>
      <c r="D102" s="1" t="s">
        <v>24</v>
      </c>
      <c r="E102" s="1" t="s">
        <v>25</v>
      </c>
      <c r="F102" s="1" t="s">
        <v>127</v>
      </c>
      <c r="G102" s="1" t="s">
        <v>734</v>
      </c>
      <c r="H102" s="1" t="s">
        <v>253</v>
      </c>
      <c r="I102" s="1" t="s">
        <v>735</v>
      </c>
      <c r="J102" s="1" t="s">
        <v>736</v>
      </c>
      <c r="K102" s="1" t="s">
        <v>737</v>
      </c>
      <c r="L102" s="1" t="s">
        <v>248</v>
      </c>
      <c r="M102" s="1" t="s">
        <v>49</v>
      </c>
      <c r="N102" s="1" t="s">
        <v>734</v>
      </c>
      <c r="O102" s="1" t="s">
        <v>35</v>
      </c>
      <c r="P102" s="1" t="s">
        <v>735</v>
      </c>
      <c r="Q102" s="1" t="s">
        <v>87</v>
      </c>
      <c r="R102" s="1" t="s">
        <v>37</v>
      </c>
      <c r="S102" s="1" t="s">
        <v>37</v>
      </c>
      <c r="T102" s="1" t="s">
        <v>37</v>
      </c>
      <c r="U102" s="1" t="s">
        <v>37</v>
      </c>
    </row>
    <row r="103" spans="1:21">
      <c r="A103" s="1" t="s">
        <v>738</v>
      </c>
      <c r="B103" s="1" t="s">
        <v>39</v>
      </c>
      <c r="C103" s="1" t="s">
        <v>40</v>
      </c>
      <c r="D103" s="1" t="s">
        <v>24</v>
      </c>
      <c r="E103" s="1" t="s">
        <v>25</v>
      </c>
      <c r="F103" s="1" t="s">
        <v>127</v>
      </c>
      <c r="G103" s="1" t="s">
        <v>739</v>
      </c>
      <c r="H103" s="1" t="s">
        <v>275</v>
      </c>
      <c r="I103" s="1" t="s">
        <v>740</v>
      </c>
      <c r="J103" s="1" t="s">
        <v>741</v>
      </c>
      <c r="K103" s="1" t="s">
        <v>742</v>
      </c>
      <c r="L103" s="1" t="s">
        <v>743</v>
      </c>
      <c r="M103" s="1" t="s">
        <v>49</v>
      </c>
      <c r="N103" s="1" t="s">
        <v>744</v>
      </c>
      <c r="O103" s="1" t="s">
        <v>35</v>
      </c>
      <c r="P103" s="1" t="s">
        <v>740</v>
      </c>
      <c r="Q103" s="1" t="s">
        <v>113</v>
      </c>
      <c r="R103" s="1" t="s">
        <v>37</v>
      </c>
      <c r="S103" s="1" t="s">
        <v>37</v>
      </c>
      <c r="T103" s="1" t="s">
        <v>37</v>
      </c>
      <c r="U103" s="1" t="s">
        <v>37</v>
      </c>
    </row>
    <row r="104" spans="1:21">
      <c r="A104" s="1" t="s">
        <v>745</v>
      </c>
      <c r="B104" s="1" t="s">
        <v>39</v>
      </c>
      <c r="C104" s="1" t="s">
        <v>40</v>
      </c>
      <c r="D104" s="1" t="s">
        <v>24</v>
      </c>
      <c r="E104" s="1" t="s">
        <v>25</v>
      </c>
      <c r="F104" s="1" t="s">
        <v>42</v>
      </c>
      <c r="G104" s="1" t="s">
        <v>746</v>
      </c>
      <c r="H104" s="1" t="s">
        <v>275</v>
      </c>
      <c r="I104" s="1" t="s">
        <v>747</v>
      </c>
      <c r="J104" s="1" t="s">
        <v>748</v>
      </c>
      <c r="K104" s="1" t="s">
        <v>749</v>
      </c>
      <c r="L104" s="1" t="s">
        <v>750</v>
      </c>
      <c r="M104" s="1" t="s">
        <v>49</v>
      </c>
      <c r="N104" s="1" t="s">
        <v>751</v>
      </c>
      <c r="O104" s="1" t="s">
        <v>35</v>
      </c>
      <c r="P104" s="1" t="s">
        <v>747</v>
      </c>
      <c r="Q104" s="1" t="s">
        <v>752</v>
      </c>
      <c r="R104" s="1" t="s">
        <v>37</v>
      </c>
      <c r="S104" s="1" t="s">
        <v>37</v>
      </c>
      <c r="T104" s="1" t="s">
        <v>37</v>
      </c>
      <c r="U104" s="1" t="s">
        <v>37</v>
      </c>
    </row>
    <row r="105" spans="1:21">
      <c r="A105" s="1" t="s">
        <v>753</v>
      </c>
      <c r="B105" s="1" t="s">
        <v>22</v>
      </c>
      <c r="C105" s="1" t="s">
        <v>23</v>
      </c>
      <c r="D105" s="1" t="s">
        <v>24</v>
      </c>
      <c r="E105" s="1" t="s">
        <v>25</v>
      </c>
      <c r="F105" s="1" t="s">
        <v>117</v>
      </c>
      <c r="G105" s="1" t="s">
        <v>754</v>
      </c>
      <c r="H105" s="1" t="s">
        <v>90</v>
      </c>
      <c r="I105" s="1" t="s">
        <v>755</v>
      </c>
      <c r="J105" s="1" t="s">
        <v>756</v>
      </c>
      <c r="K105" s="1" t="s">
        <v>757</v>
      </c>
      <c r="L105" s="1" t="s">
        <v>758</v>
      </c>
      <c r="M105" s="1" t="s">
        <v>49</v>
      </c>
      <c r="N105" s="1" t="s">
        <v>759</v>
      </c>
      <c r="O105" s="1" t="s">
        <v>35</v>
      </c>
      <c r="P105" s="1" t="s">
        <v>755</v>
      </c>
      <c r="Q105" s="1" t="s">
        <v>235</v>
      </c>
      <c r="R105" s="1" t="s">
        <v>37</v>
      </c>
      <c r="S105" s="1" t="s">
        <v>37</v>
      </c>
      <c r="T105" s="1" t="s">
        <v>37</v>
      </c>
      <c r="U105" s="1" t="s">
        <v>37</v>
      </c>
    </row>
    <row r="106" spans="1:21">
      <c r="A106" s="1" t="s">
        <v>760</v>
      </c>
      <c r="B106" s="1" t="s">
        <v>115</v>
      </c>
      <c r="C106" s="1" t="s">
        <v>116</v>
      </c>
      <c r="D106" s="1" t="s">
        <v>24</v>
      </c>
      <c r="E106" s="1" t="s">
        <v>25</v>
      </c>
      <c r="F106" s="1" t="s">
        <v>26</v>
      </c>
      <c r="G106" s="1" t="s">
        <v>761</v>
      </c>
      <c r="H106" s="1" t="s">
        <v>28</v>
      </c>
      <c r="I106" s="1" t="s">
        <v>762</v>
      </c>
      <c r="J106" s="1" t="s">
        <v>763</v>
      </c>
      <c r="K106" s="1" t="s">
        <v>412</v>
      </c>
      <c r="L106" s="1" t="s">
        <v>764</v>
      </c>
      <c r="M106" s="1" t="s">
        <v>49</v>
      </c>
      <c r="N106" s="1" t="s">
        <v>765</v>
      </c>
      <c r="O106" s="1" t="s">
        <v>35</v>
      </c>
      <c r="P106" s="1" t="s">
        <v>762</v>
      </c>
      <c r="Q106" s="1" t="s">
        <v>64</v>
      </c>
      <c r="R106" s="1" t="s">
        <v>37</v>
      </c>
      <c r="S106" s="1" t="s">
        <v>37</v>
      </c>
      <c r="T106" s="1" t="s">
        <v>37</v>
      </c>
      <c r="U106" s="1" t="s">
        <v>37</v>
      </c>
    </row>
    <row r="107" spans="1:21">
      <c r="A107" s="1" t="s">
        <v>766</v>
      </c>
      <c r="B107" s="1" t="s">
        <v>22</v>
      </c>
      <c r="C107" s="1" t="s">
        <v>23</v>
      </c>
      <c r="D107" s="1" t="s">
        <v>24</v>
      </c>
      <c r="E107" s="1" t="s">
        <v>25</v>
      </c>
      <c r="F107" s="1" t="s">
        <v>42</v>
      </c>
      <c r="G107" s="1" t="s">
        <v>767</v>
      </c>
      <c r="H107" s="1" t="s">
        <v>99</v>
      </c>
      <c r="I107" s="1" t="s">
        <v>768</v>
      </c>
      <c r="J107" s="1" t="s">
        <v>769</v>
      </c>
      <c r="K107" s="1" t="s">
        <v>599</v>
      </c>
      <c r="L107" s="1" t="s">
        <v>770</v>
      </c>
      <c r="M107" s="1" t="s">
        <v>33</v>
      </c>
      <c r="N107" s="1" t="s">
        <v>771</v>
      </c>
      <c r="O107" s="1" t="s">
        <v>35</v>
      </c>
      <c r="P107" s="1" t="s">
        <v>768</v>
      </c>
      <c r="Q107" s="1" t="s">
        <v>663</v>
      </c>
      <c r="R107" s="1" t="s">
        <v>37</v>
      </c>
      <c r="S107" s="1" t="s">
        <v>37</v>
      </c>
      <c r="T107" s="1" t="s">
        <v>37</v>
      </c>
      <c r="U107" s="1" t="s">
        <v>37</v>
      </c>
    </row>
    <row r="108" spans="1:21">
      <c r="A108" s="1" t="s">
        <v>772</v>
      </c>
      <c r="B108" s="1" t="s">
        <v>39</v>
      </c>
      <c r="C108" s="1" t="s">
        <v>40</v>
      </c>
      <c r="D108" s="1" t="s">
        <v>24</v>
      </c>
      <c r="E108" s="1" t="s">
        <v>25</v>
      </c>
      <c r="F108" s="1" t="s">
        <v>127</v>
      </c>
      <c r="G108" s="1" t="s">
        <v>773</v>
      </c>
      <c r="H108" s="1" t="s">
        <v>90</v>
      </c>
      <c r="I108" s="1" t="s">
        <v>774</v>
      </c>
      <c r="J108" s="1" t="s">
        <v>775</v>
      </c>
      <c r="K108" s="1" t="s">
        <v>31</v>
      </c>
      <c r="L108" s="1" t="s">
        <v>776</v>
      </c>
      <c r="M108" s="1" t="s">
        <v>59</v>
      </c>
      <c r="N108" s="1" t="s">
        <v>777</v>
      </c>
      <c r="O108" s="1" t="s">
        <v>35</v>
      </c>
      <c r="P108" s="1" t="s">
        <v>774</v>
      </c>
      <c r="Q108" s="1" t="s">
        <v>351</v>
      </c>
      <c r="R108" s="1" t="s">
        <v>37</v>
      </c>
      <c r="S108" s="1" t="s">
        <v>37</v>
      </c>
      <c r="T108" s="1" t="s">
        <v>37</v>
      </c>
      <c r="U108" s="1" t="s">
        <v>37</v>
      </c>
    </row>
    <row r="109" spans="1:21">
      <c r="A109" s="1" t="s">
        <v>778</v>
      </c>
      <c r="B109" s="1" t="s">
        <v>22</v>
      </c>
      <c r="C109" s="1" t="s">
        <v>23</v>
      </c>
      <c r="D109" s="1" t="s">
        <v>24</v>
      </c>
      <c r="E109" s="1" t="s">
        <v>25</v>
      </c>
      <c r="F109" s="1" t="s">
        <v>72</v>
      </c>
      <c r="G109" s="1" t="s">
        <v>779</v>
      </c>
      <c r="H109" s="1" t="s">
        <v>90</v>
      </c>
      <c r="I109" s="1" t="s">
        <v>780</v>
      </c>
      <c r="J109" s="1" t="s">
        <v>781</v>
      </c>
      <c r="K109" s="1" t="s">
        <v>247</v>
      </c>
      <c r="L109" s="1" t="s">
        <v>782</v>
      </c>
      <c r="M109" s="1" t="s">
        <v>49</v>
      </c>
      <c r="N109" s="1" t="s">
        <v>783</v>
      </c>
      <c r="O109" s="1" t="s">
        <v>35</v>
      </c>
      <c r="P109" s="1" t="s">
        <v>780</v>
      </c>
      <c r="Q109" s="1" t="s">
        <v>61</v>
      </c>
      <c r="R109" s="1" t="s">
        <v>37</v>
      </c>
      <c r="S109" s="1" t="s">
        <v>37</v>
      </c>
      <c r="T109" s="1" t="s">
        <v>37</v>
      </c>
      <c r="U109" s="1" t="s">
        <v>37</v>
      </c>
    </row>
    <row r="110" spans="1:21">
      <c r="A110" s="1" t="s">
        <v>784</v>
      </c>
      <c r="B110" s="1" t="s">
        <v>39</v>
      </c>
      <c r="C110" s="1" t="s">
        <v>40</v>
      </c>
      <c r="D110" s="1" t="s">
        <v>24</v>
      </c>
      <c r="E110" s="1" t="s">
        <v>25</v>
      </c>
      <c r="F110" s="1" t="s">
        <v>117</v>
      </c>
      <c r="G110" s="1" t="s">
        <v>785</v>
      </c>
      <c r="H110" s="1" t="s">
        <v>275</v>
      </c>
      <c r="I110" s="1" t="s">
        <v>786</v>
      </c>
      <c r="J110" s="1" t="s">
        <v>787</v>
      </c>
      <c r="K110" s="1" t="s">
        <v>788</v>
      </c>
      <c r="L110" s="1" t="s">
        <v>789</v>
      </c>
      <c r="M110" s="1" t="s">
        <v>49</v>
      </c>
      <c r="N110" s="1" t="s">
        <v>790</v>
      </c>
      <c r="O110" s="1" t="s">
        <v>35</v>
      </c>
      <c r="P110" s="1" t="s">
        <v>786</v>
      </c>
      <c r="Q110" s="1" t="s">
        <v>791</v>
      </c>
      <c r="R110" s="1" t="s">
        <v>37</v>
      </c>
      <c r="S110" s="1" t="s">
        <v>37</v>
      </c>
      <c r="T110" s="1" t="s">
        <v>37</v>
      </c>
      <c r="U110" s="1" t="s">
        <v>37</v>
      </c>
    </row>
    <row r="111" spans="1:21">
      <c r="A111" s="1" t="s">
        <v>792</v>
      </c>
      <c r="B111" s="1" t="s">
        <v>39</v>
      </c>
      <c r="C111" s="1" t="s">
        <v>40</v>
      </c>
      <c r="D111" s="1" t="s">
        <v>24</v>
      </c>
      <c r="E111" s="1" t="s">
        <v>25</v>
      </c>
      <c r="F111" s="1" t="s">
        <v>42</v>
      </c>
      <c r="G111" s="1" t="s">
        <v>793</v>
      </c>
      <c r="H111" s="1" t="s">
        <v>99</v>
      </c>
      <c r="I111" s="1" t="s">
        <v>794</v>
      </c>
      <c r="J111" s="1" t="s">
        <v>795</v>
      </c>
      <c r="K111" s="1" t="s">
        <v>57</v>
      </c>
      <c r="L111" s="1" t="s">
        <v>796</v>
      </c>
      <c r="M111" s="1" t="s">
        <v>49</v>
      </c>
      <c r="N111" s="1" t="s">
        <v>797</v>
      </c>
      <c r="O111" s="1" t="s">
        <v>35</v>
      </c>
      <c r="P111" s="1" t="s">
        <v>794</v>
      </c>
      <c r="Q111" s="1" t="s">
        <v>798</v>
      </c>
      <c r="R111" s="1" t="s">
        <v>37</v>
      </c>
      <c r="S111" s="1" t="s">
        <v>37</v>
      </c>
      <c r="T111" s="1" t="s">
        <v>37</v>
      </c>
      <c r="U111" s="1" t="s">
        <v>37</v>
      </c>
    </row>
    <row r="112" spans="1:21">
      <c r="A112" s="1" t="s">
        <v>799</v>
      </c>
      <c r="B112" s="1" t="s">
        <v>115</v>
      </c>
      <c r="C112" s="1" t="s">
        <v>116</v>
      </c>
      <c r="D112" s="1" t="s">
        <v>24</v>
      </c>
      <c r="E112" s="1" t="s">
        <v>25</v>
      </c>
      <c r="F112" s="1" t="s">
        <v>72</v>
      </c>
      <c r="G112" s="1" t="s">
        <v>800</v>
      </c>
      <c r="H112" s="1" t="s">
        <v>107</v>
      </c>
      <c r="I112" s="1" t="s">
        <v>801</v>
      </c>
      <c r="J112" s="1" t="s">
        <v>802</v>
      </c>
      <c r="K112" s="1" t="s">
        <v>803</v>
      </c>
      <c r="L112" s="1" t="s">
        <v>804</v>
      </c>
      <c r="M112" s="1" t="s">
        <v>33</v>
      </c>
      <c r="N112" s="1" t="s">
        <v>805</v>
      </c>
      <c r="O112" s="1" t="s">
        <v>35</v>
      </c>
      <c r="P112" s="1" t="s">
        <v>801</v>
      </c>
      <c r="Q112" s="1" t="s">
        <v>182</v>
      </c>
      <c r="R112" s="1" t="s">
        <v>37</v>
      </c>
      <c r="S112" s="1" t="s">
        <v>37</v>
      </c>
      <c r="T112" s="1" t="s">
        <v>37</v>
      </c>
      <c r="U112" s="1" t="s">
        <v>37</v>
      </c>
    </row>
    <row r="113" spans="1:21">
      <c r="A113" s="1" t="s">
        <v>806</v>
      </c>
      <c r="B113" s="1" t="s">
        <v>39</v>
      </c>
      <c r="C113" s="1" t="s">
        <v>40</v>
      </c>
      <c r="D113" s="1" t="s">
        <v>24</v>
      </c>
      <c r="E113" s="1" t="s">
        <v>25</v>
      </c>
      <c r="F113" s="1" t="s">
        <v>26</v>
      </c>
      <c r="G113" s="1" t="s">
        <v>807</v>
      </c>
      <c r="H113" s="1" t="s">
        <v>119</v>
      </c>
      <c r="I113" s="1" t="s">
        <v>808</v>
      </c>
      <c r="J113" s="1" t="s">
        <v>809</v>
      </c>
      <c r="K113" s="1" t="s">
        <v>803</v>
      </c>
      <c r="L113" s="1" t="s">
        <v>810</v>
      </c>
      <c r="M113" s="1" t="s">
        <v>59</v>
      </c>
      <c r="N113" s="1" t="s">
        <v>811</v>
      </c>
      <c r="O113" s="1" t="s">
        <v>35</v>
      </c>
      <c r="P113" s="1" t="s">
        <v>808</v>
      </c>
      <c r="Q113" s="1" t="s">
        <v>812</v>
      </c>
      <c r="R113" s="1" t="s">
        <v>37</v>
      </c>
      <c r="S113" s="1" t="s">
        <v>37</v>
      </c>
      <c r="T113" s="1" t="s">
        <v>37</v>
      </c>
      <c r="U113" s="1" t="s">
        <v>37</v>
      </c>
    </row>
    <row r="114" spans="1:21">
      <c r="A114" s="1" t="s">
        <v>813</v>
      </c>
      <c r="B114" s="1" t="s">
        <v>115</v>
      </c>
      <c r="C114" s="1" t="s">
        <v>116</v>
      </c>
      <c r="D114" s="1" t="s">
        <v>24</v>
      </c>
      <c r="E114" s="1" t="s">
        <v>25</v>
      </c>
      <c r="F114" s="1" t="s">
        <v>127</v>
      </c>
      <c r="G114" s="1" t="s">
        <v>814</v>
      </c>
      <c r="H114" s="1" t="s">
        <v>28</v>
      </c>
      <c r="I114" s="1" t="s">
        <v>815</v>
      </c>
      <c r="J114" s="1" t="s">
        <v>816</v>
      </c>
      <c r="K114" s="1" t="s">
        <v>489</v>
      </c>
      <c r="L114" s="1" t="s">
        <v>817</v>
      </c>
      <c r="M114" s="1" t="s">
        <v>49</v>
      </c>
      <c r="N114" s="1" t="s">
        <v>818</v>
      </c>
      <c r="O114" s="1" t="s">
        <v>35</v>
      </c>
      <c r="P114" s="1" t="s">
        <v>815</v>
      </c>
      <c r="Q114" s="1" t="s">
        <v>70</v>
      </c>
      <c r="R114" s="1" t="s">
        <v>37</v>
      </c>
      <c r="S114" s="1" t="s">
        <v>37</v>
      </c>
      <c r="T114" s="1" t="s">
        <v>37</v>
      </c>
      <c r="U114" s="1" t="s">
        <v>37</v>
      </c>
    </row>
    <row r="115" spans="1:21">
      <c r="A115" s="1" t="s">
        <v>819</v>
      </c>
      <c r="B115" s="1" t="s">
        <v>22</v>
      </c>
      <c r="C115" s="1" t="s">
        <v>23</v>
      </c>
      <c r="D115" s="1" t="s">
        <v>24</v>
      </c>
      <c r="E115" s="1" t="s">
        <v>25</v>
      </c>
      <c r="F115" s="1" t="s">
        <v>53</v>
      </c>
      <c r="G115" s="1" t="s">
        <v>820</v>
      </c>
      <c r="H115" s="1" t="s">
        <v>275</v>
      </c>
      <c r="I115" s="1" t="s">
        <v>821</v>
      </c>
      <c r="J115" s="1" t="s">
        <v>822</v>
      </c>
      <c r="K115" s="1" t="s">
        <v>823</v>
      </c>
      <c r="L115" s="1" t="s">
        <v>824</v>
      </c>
      <c r="M115" s="1" t="s">
        <v>33</v>
      </c>
      <c r="N115" s="1" t="s">
        <v>825</v>
      </c>
      <c r="O115" s="1" t="s">
        <v>35</v>
      </c>
      <c r="P115" s="1" t="s">
        <v>821</v>
      </c>
      <c r="Q115" s="1" t="s">
        <v>550</v>
      </c>
      <c r="R115" s="1" t="s">
        <v>37</v>
      </c>
      <c r="S115" s="1" t="s">
        <v>37</v>
      </c>
      <c r="T115" s="1" t="s">
        <v>37</v>
      </c>
      <c r="U115" s="1" t="s">
        <v>37</v>
      </c>
    </row>
    <row r="116" spans="1:21">
      <c r="A116" s="1" t="s">
        <v>826</v>
      </c>
      <c r="B116" s="1" t="s">
        <v>39</v>
      </c>
      <c r="C116" s="1" t="s">
        <v>40</v>
      </c>
      <c r="D116" s="1" t="s">
        <v>24</v>
      </c>
      <c r="E116" s="1" t="s">
        <v>25</v>
      </c>
      <c r="F116" s="1" t="s">
        <v>53</v>
      </c>
      <c r="G116" s="1" t="s">
        <v>827</v>
      </c>
      <c r="H116" s="1" t="s">
        <v>275</v>
      </c>
      <c r="I116" s="1" t="s">
        <v>828</v>
      </c>
      <c r="J116" s="1" t="s">
        <v>829</v>
      </c>
      <c r="K116" s="1" t="s">
        <v>749</v>
      </c>
      <c r="L116" s="1" t="s">
        <v>830</v>
      </c>
      <c r="M116" s="1" t="s">
        <v>59</v>
      </c>
      <c r="N116" s="1" t="s">
        <v>831</v>
      </c>
      <c r="O116" s="1" t="s">
        <v>35</v>
      </c>
      <c r="P116" s="1" t="s">
        <v>828</v>
      </c>
      <c r="Q116" s="1" t="s">
        <v>386</v>
      </c>
      <c r="R116" s="1" t="s">
        <v>37</v>
      </c>
      <c r="S116" s="1" t="s">
        <v>37</v>
      </c>
      <c r="T116" s="1" t="s">
        <v>37</v>
      </c>
      <c r="U116" s="1" t="s">
        <v>37</v>
      </c>
    </row>
    <row r="117" spans="1:21">
      <c r="A117" s="1" t="s">
        <v>832</v>
      </c>
      <c r="B117" s="1" t="s">
        <v>39</v>
      </c>
      <c r="C117" s="1" t="s">
        <v>40</v>
      </c>
      <c r="D117" s="1" t="s">
        <v>24</v>
      </c>
      <c r="E117" s="1" t="s">
        <v>25</v>
      </c>
      <c r="F117" s="1" t="s">
        <v>127</v>
      </c>
      <c r="G117" s="1" t="s">
        <v>833</v>
      </c>
      <c r="H117" s="1" t="s">
        <v>119</v>
      </c>
      <c r="I117" s="1" t="s">
        <v>834</v>
      </c>
      <c r="J117" s="1" t="s">
        <v>835</v>
      </c>
      <c r="K117" s="1" t="s">
        <v>240</v>
      </c>
      <c r="L117" s="1" t="s">
        <v>343</v>
      </c>
      <c r="M117" s="1" t="s">
        <v>59</v>
      </c>
      <c r="N117" s="1" t="s">
        <v>836</v>
      </c>
      <c r="O117" s="1" t="s">
        <v>35</v>
      </c>
      <c r="P117" s="1" t="s">
        <v>834</v>
      </c>
      <c r="Q117" s="1" t="s">
        <v>151</v>
      </c>
      <c r="R117" s="1" t="s">
        <v>37</v>
      </c>
      <c r="S117" s="1" t="s">
        <v>37</v>
      </c>
      <c r="T117" s="1" t="s">
        <v>37</v>
      </c>
      <c r="U117" s="1" t="s">
        <v>37</v>
      </c>
    </row>
    <row r="118" spans="1:21">
      <c r="A118" s="1" t="s">
        <v>837</v>
      </c>
      <c r="B118" s="1" t="s">
        <v>115</v>
      </c>
      <c r="C118" s="1" t="s">
        <v>116</v>
      </c>
      <c r="D118" s="1" t="s">
        <v>24</v>
      </c>
      <c r="E118" s="1" t="s">
        <v>25</v>
      </c>
      <c r="F118" s="1" t="s">
        <v>127</v>
      </c>
      <c r="G118" s="1" t="s">
        <v>838</v>
      </c>
      <c r="H118" s="1" t="s">
        <v>44</v>
      </c>
      <c r="I118" s="1" t="s">
        <v>839</v>
      </c>
      <c r="J118" s="1" t="s">
        <v>840</v>
      </c>
      <c r="K118" s="1" t="s">
        <v>217</v>
      </c>
      <c r="L118" s="1" t="s">
        <v>841</v>
      </c>
      <c r="M118" s="1" t="s">
        <v>33</v>
      </c>
      <c r="N118" s="1" t="s">
        <v>842</v>
      </c>
      <c r="O118" s="1" t="s">
        <v>35</v>
      </c>
      <c r="P118" s="1" t="s">
        <v>839</v>
      </c>
      <c r="Q118" s="1" t="s">
        <v>79</v>
      </c>
      <c r="R118" s="1" t="s">
        <v>37</v>
      </c>
      <c r="S118" s="1" t="s">
        <v>37</v>
      </c>
      <c r="T118" s="1" t="s">
        <v>37</v>
      </c>
      <c r="U118" s="1" t="s">
        <v>37</v>
      </c>
    </row>
    <row r="119" spans="1:21">
      <c r="A119" s="1" t="s">
        <v>843</v>
      </c>
      <c r="B119" s="1" t="s">
        <v>115</v>
      </c>
      <c r="C119" s="1" t="s">
        <v>116</v>
      </c>
      <c r="D119" s="1" t="s">
        <v>24</v>
      </c>
      <c r="E119" s="1" t="s">
        <v>25</v>
      </c>
      <c r="F119" s="1" t="s">
        <v>127</v>
      </c>
      <c r="G119" s="1" t="s">
        <v>844</v>
      </c>
      <c r="H119" s="1" t="s">
        <v>253</v>
      </c>
      <c r="I119" s="1" t="s">
        <v>845</v>
      </c>
      <c r="J119" s="1" t="s">
        <v>846</v>
      </c>
      <c r="K119" s="1" t="s">
        <v>847</v>
      </c>
      <c r="L119" s="1" t="s">
        <v>848</v>
      </c>
      <c r="M119" s="1" t="s">
        <v>33</v>
      </c>
      <c r="N119" s="1" t="s">
        <v>844</v>
      </c>
      <c r="O119" s="1" t="s">
        <v>35</v>
      </c>
      <c r="P119" s="1" t="s">
        <v>845</v>
      </c>
      <c r="Q119" s="1" t="s">
        <v>849</v>
      </c>
      <c r="R119" s="1" t="s">
        <v>37</v>
      </c>
      <c r="S119" s="1" t="s">
        <v>37</v>
      </c>
      <c r="T119" s="1" t="s">
        <v>37</v>
      </c>
      <c r="U119" s="1" t="s">
        <v>37</v>
      </c>
    </row>
    <row r="120" spans="1:21">
      <c r="A120" s="1" t="s">
        <v>850</v>
      </c>
      <c r="B120" s="1" t="s">
        <v>22</v>
      </c>
      <c r="C120" s="1" t="s">
        <v>23</v>
      </c>
      <c r="D120" s="1" t="s">
        <v>24</v>
      </c>
      <c r="E120" s="1" t="s">
        <v>25</v>
      </c>
      <c r="F120" s="1" t="s">
        <v>117</v>
      </c>
      <c r="G120" s="1" t="s">
        <v>851</v>
      </c>
      <c r="H120" s="1" t="s">
        <v>99</v>
      </c>
      <c r="I120" s="1" t="s">
        <v>852</v>
      </c>
      <c r="J120" s="1" t="s">
        <v>853</v>
      </c>
      <c r="K120" s="1" t="s">
        <v>356</v>
      </c>
      <c r="L120" s="1" t="s">
        <v>854</v>
      </c>
      <c r="M120" s="1" t="s">
        <v>33</v>
      </c>
      <c r="N120" s="1" t="s">
        <v>855</v>
      </c>
      <c r="O120" s="1" t="s">
        <v>35</v>
      </c>
      <c r="P120" s="1" t="s">
        <v>852</v>
      </c>
      <c r="Q120" s="1" t="s">
        <v>90</v>
      </c>
      <c r="R120" s="1" t="s">
        <v>37</v>
      </c>
      <c r="S120" s="1" t="s">
        <v>37</v>
      </c>
      <c r="T120" s="1" t="s">
        <v>37</v>
      </c>
      <c r="U120" s="1" t="s">
        <v>37</v>
      </c>
    </row>
    <row r="121" spans="1:21">
      <c r="A121" s="1" t="s">
        <v>856</v>
      </c>
      <c r="B121" s="1" t="s">
        <v>115</v>
      </c>
      <c r="C121" s="1" t="s">
        <v>116</v>
      </c>
      <c r="D121" s="1" t="s">
        <v>24</v>
      </c>
      <c r="E121" s="1" t="s">
        <v>25</v>
      </c>
      <c r="F121" s="1" t="s">
        <v>53</v>
      </c>
      <c r="G121" s="1" t="s">
        <v>857</v>
      </c>
      <c r="H121" s="1" t="s">
        <v>107</v>
      </c>
      <c r="I121" s="1" t="s">
        <v>858</v>
      </c>
      <c r="J121" s="1" t="s">
        <v>859</v>
      </c>
      <c r="K121" s="1" t="s">
        <v>473</v>
      </c>
      <c r="L121" s="1" t="s">
        <v>708</v>
      </c>
      <c r="M121" s="1" t="s">
        <v>33</v>
      </c>
      <c r="N121" s="1" t="s">
        <v>860</v>
      </c>
      <c r="O121" s="1" t="s">
        <v>35</v>
      </c>
      <c r="P121" s="1" t="s">
        <v>858</v>
      </c>
      <c r="Q121" s="1" t="s">
        <v>87</v>
      </c>
      <c r="R121" s="1" t="s">
        <v>37</v>
      </c>
      <c r="S121" s="1" t="s">
        <v>37</v>
      </c>
      <c r="T121" s="1" t="s">
        <v>37</v>
      </c>
      <c r="U121" s="1" t="s">
        <v>37</v>
      </c>
    </row>
    <row r="122" spans="1:21">
      <c r="A122" s="1" t="s">
        <v>861</v>
      </c>
      <c r="B122" s="1" t="s">
        <v>22</v>
      </c>
      <c r="C122" s="1" t="s">
        <v>23</v>
      </c>
      <c r="D122" s="1" t="s">
        <v>24</v>
      </c>
      <c r="E122" s="1" t="s">
        <v>25</v>
      </c>
      <c r="F122" s="1" t="s">
        <v>42</v>
      </c>
      <c r="G122" s="1" t="s">
        <v>862</v>
      </c>
      <c r="H122" s="1" t="s">
        <v>64</v>
      </c>
      <c r="I122" s="1" t="s">
        <v>863</v>
      </c>
      <c r="J122" s="1" t="s">
        <v>864</v>
      </c>
      <c r="K122" s="1" t="s">
        <v>515</v>
      </c>
      <c r="L122" s="1" t="s">
        <v>141</v>
      </c>
      <c r="M122" s="1" t="s">
        <v>59</v>
      </c>
      <c r="N122" s="1" t="s">
        <v>865</v>
      </c>
      <c r="O122" s="1" t="s">
        <v>35</v>
      </c>
      <c r="P122" s="1" t="s">
        <v>863</v>
      </c>
      <c r="Q122" s="1" t="s">
        <v>849</v>
      </c>
      <c r="R122" s="1" t="s">
        <v>37</v>
      </c>
      <c r="S122" s="1" t="s">
        <v>37</v>
      </c>
      <c r="T122" s="1" t="s">
        <v>37</v>
      </c>
      <c r="U122" s="1" t="s">
        <v>37</v>
      </c>
    </row>
    <row r="123" spans="1:21">
      <c r="A123" s="1" t="s">
        <v>866</v>
      </c>
      <c r="B123" s="1" t="s">
        <v>39</v>
      </c>
      <c r="C123" s="1" t="s">
        <v>40</v>
      </c>
      <c r="D123" s="1" t="s">
        <v>24</v>
      </c>
      <c r="E123" s="1" t="s">
        <v>25</v>
      </c>
      <c r="F123" s="1" t="s">
        <v>72</v>
      </c>
      <c r="G123" s="1" t="s">
        <v>867</v>
      </c>
      <c r="H123" s="1" t="s">
        <v>28</v>
      </c>
      <c r="I123" s="1" t="s">
        <v>868</v>
      </c>
      <c r="J123" s="1" t="s">
        <v>869</v>
      </c>
      <c r="K123" s="1" t="s">
        <v>599</v>
      </c>
      <c r="L123" s="1" t="s">
        <v>870</v>
      </c>
      <c r="M123" s="1" t="s">
        <v>59</v>
      </c>
      <c r="N123" s="1" t="s">
        <v>871</v>
      </c>
      <c r="O123" s="1" t="s">
        <v>35</v>
      </c>
      <c r="P123" s="1" t="s">
        <v>868</v>
      </c>
      <c r="Q123" s="1" t="s">
        <v>434</v>
      </c>
      <c r="R123" s="1" t="s">
        <v>37</v>
      </c>
      <c r="S123" s="1" t="s">
        <v>37</v>
      </c>
      <c r="T123" s="1" t="s">
        <v>37</v>
      </c>
      <c r="U123" s="1" t="s">
        <v>37</v>
      </c>
    </row>
    <row r="124" spans="1:21">
      <c r="A124" s="1" t="s">
        <v>872</v>
      </c>
      <c r="B124" s="1" t="s">
        <v>115</v>
      </c>
      <c r="C124" s="1" t="s">
        <v>116</v>
      </c>
      <c r="D124" s="1" t="s">
        <v>24</v>
      </c>
      <c r="E124" s="1" t="s">
        <v>25</v>
      </c>
      <c r="F124" s="1" t="s">
        <v>72</v>
      </c>
      <c r="G124" s="1" t="s">
        <v>873</v>
      </c>
      <c r="H124" s="1" t="s">
        <v>275</v>
      </c>
      <c r="I124" s="1" t="s">
        <v>874</v>
      </c>
      <c r="J124" s="1" t="s">
        <v>875</v>
      </c>
      <c r="K124" s="1" t="s">
        <v>140</v>
      </c>
      <c r="L124" s="1" t="s">
        <v>876</v>
      </c>
      <c r="M124" s="1" t="s">
        <v>59</v>
      </c>
      <c r="N124" s="1" t="s">
        <v>877</v>
      </c>
      <c r="O124" s="1" t="s">
        <v>35</v>
      </c>
      <c r="P124" s="1" t="s">
        <v>874</v>
      </c>
      <c r="Q124" s="1" t="s">
        <v>791</v>
      </c>
      <c r="R124" s="1" t="s">
        <v>37</v>
      </c>
      <c r="S124" s="1" t="s">
        <v>37</v>
      </c>
      <c r="T124" s="1" t="s">
        <v>37</v>
      </c>
      <c r="U124" s="1" t="s">
        <v>37</v>
      </c>
    </row>
    <row r="125" spans="1:21">
      <c r="A125" s="1" t="s">
        <v>878</v>
      </c>
      <c r="B125" s="1" t="s">
        <v>39</v>
      </c>
      <c r="C125" s="1" t="s">
        <v>40</v>
      </c>
      <c r="D125" s="1" t="s">
        <v>24</v>
      </c>
      <c r="E125" s="1" t="s">
        <v>25</v>
      </c>
      <c r="F125" s="1" t="s">
        <v>53</v>
      </c>
      <c r="G125" s="1" t="s">
        <v>879</v>
      </c>
      <c r="H125" s="1" t="s">
        <v>64</v>
      </c>
      <c r="I125" s="1" t="s">
        <v>880</v>
      </c>
      <c r="J125" s="1" t="s">
        <v>881</v>
      </c>
      <c r="K125" s="1" t="s">
        <v>522</v>
      </c>
      <c r="L125" s="1" t="s">
        <v>882</v>
      </c>
      <c r="M125" s="1" t="s">
        <v>59</v>
      </c>
      <c r="N125" s="1" t="s">
        <v>883</v>
      </c>
      <c r="O125" s="1" t="s">
        <v>35</v>
      </c>
      <c r="P125" s="1" t="s">
        <v>880</v>
      </c>
      <c r="Q125" s="1" t="s">
        <v>182</v>
      </c>
      <c r="R125" s="1" t="s">
        <v>37</v>
      </c>
      <c r="S125" s="1" t="s">
        <v>37</v>
      </c>
      <c r="T125" s="1" t="s">
        <v>37</v>
      </c>
      <c r="U125" s="1" t="s">
        <v>37</v>
      </c>
    </row>
    <row r="126" spans="1:21">
      <c r="A126" s="1" t="s">
        <v>884</v>
      </c>
      <c r="B126" s="1" t="s">
        <v>115</v>
      </c>
      <c r="C126" s="1" t="s">
        <v>116</v>
      </c>
      <c r="D126" s="1" t="s">
        <v>24</v>
      </c>
      <c r="E126" s="1" t="s">
        <v>25</v>
      </c>
      <c r="F126" s="1" t="s">
        <v>127</v>
      </c>
      <c r="G126" s="1" t="s">
        <v>885</v>
      </c>
      <c r="H126" s="1" t="s">
        <v>64</v>
      </c>
      <c r="I126" s="1" t="s">
        <v>886</v>
      </c>
      <c r="J126" s="1" t="s">
        <v>887</v>
      </c>
      <c r="K126" s="1" t="s">
        <v>140</v>
      </c>
      <c r="L126" s="1" t="s">
        <v>888</v>
      </c>
      <c r="M126" s="1" t="s">
        <v>33</v>
      </c>
      <c r="N126" s="1" t="s">
        <v>889</v>
      </c>
      <c r="O126" s="1" t="s">
        <v>35</v>
      </c>
      <c r="P126" s="1" t="s">
        <v>886</v>
      </c>
      <c r="Q126" s="1" t="s">
        <v>663</v>
      </c>
      <c r="R126" s="1" t="s">
        <v>37</v>
      </c>
      <c r="S126" s="1" t="s">
        <v>37</v>
      </c>
      <c r="T126" s="1" t="s">
        <v>37</v>
      </c>
      <c r="U126" s="1" t="s">
        <v>37</v>
      </c>
    </row>
    <row r="127" spans="1:21">
      <c r="A127" s="1" t="s">
        <v>890</v>
      </c>
      <c r="B127" s="1" t="s">
        <v>22</v>
      </c>
      <c r="C127" s="1" t="s">
        <v>23</v>
      </c>
      <c r="D127" s="1" t="s">
        <v>24</v>
      </c>
      <c r="E127" s="1" t="s">
        <v>25</v>
      </c>
      <c r="F127" s="1" t="s">
        <v>53</v>
      </c>
      <c r="G127" s="1" t="s">
        <v>891</v>
      </c>
      <c r="H127" s="1" t="s">
        <v>28</v>
      </c>
      <c r="I127" s="1" t="s">
        <v>892</v>
      </c>
      <c r="J127" s="1" t="s">
        <v>893</v>
      </c>
      <c r="K127" s="1" t="s">
        <v>262</v>
      </c>
      <c r="L127" s="1" t="s">
        <v>894</v>
      </c>
      <c r="M127" s="1" t="s">
        <v>59</v>
      </c>
      <c r="N127" s="1" t="s">
        <v>895</v>
      </c>
      <c r="O127" s="1" t="s">
        <v>35</v>
      </c>
      <c r="P127" s="1" t="s">
        <v>892</v>
      </c>
      <c r="Q127" s="1" t="s">
        <v>135</v>
      </c>
      <c r="R127" s="1" t="s">
        <v>37</v>
      </c>
      <c r="S127" s="1" t="s">
        <v>37</v>
      </c>
      <c r="T127" s="1" t="s">
        <v>37</v>
      </c>
      <c r="U127" s="1" t="s">
        <v>37</v>
      </c>
    </row>
    <row r="128" spans="1:21">
      <c r="A128" s="1" t="s">
        <v>896</v>
      </c>
      <c r="B128" s="1" t="s">
        <v>22</v>
      </c>
      <c r="C128" s="1" t="s">
        <v>23</v>
      </c>
      <c r="D128" s="1" t="s">
        <v>24</v>
      </c>
      <c r="E128" s="1" t="s">
        <v>25</v>
      </c>
      <c r="F128" s="1" t="s">
        <v>72</v>
      </c>
      <c r="G128" s="1" t="s">
        <v>897</v>
      </c>
      <c r="H128" s="1" t="s">
        <v>44</v>
      </c>
      <c r="I128" s="1" t="s">
        <v>898</v>
      </c>
      <c r="J128" s="1" t="s">
        <v>899</v>
      </c>
      <c r="K128" s="1" t="s">
        <v>67</v>
      </c>
      <c r="L128" s="1" t="s">
        <v>900</v>
      </c>
      <c r="M128" s="1" t="s">
        <v>49</v>
      </c>
      <c r="N128" s="1" t="s">
        <v>901</v>
      </c>
      <c r="O128" s="1" t="s">
        <v>35</v>
      </c>
      <c r="P128" s="1" t="s">
        <v>898</v>
      </c>
      <c r="Q128" s="1" t="s">
        <v>275</v>
      </c>
      <c r="R128" s="1" t="s">
        <v>37</v>
      </c>
      <c r="S128" s="1" t="s">
        <v>37</v>
      </c>
      <c r="T128" s="1" t="s">
        <v>37</v>
      </c>
      <c r="U128" s="1" t="s">
        <v>37</v>
      </c>
    </row>
    <row r="129" spans="1:21">
      <c r="A129" s="1" t="s">
        <v>902</v>
      </c>
      <c r="B129" s="1" t="s">
        <v>39</v>
      </c>
      <c r="C129" s="1" t="s">
        <v>40</v>
      </c>
      <c r="D129" s="1" t="s">
        <v>24</v>
      </c>
      <c r="E129" s="1" t="s">
        <v>25</v>
      </c>
      <c r="F129" s="1" t="s">
        <v>127</v>
      </c>
      <c r="G129" s="1" t="s">
        <v>903</v>
      </c>
      <c r="H129" s="1" t="s">
        <v>275</v>
      </c>
      <c r="I129" s="1" t="s">
        <v>904</v>
      </c>
      <c r="J129" s="1" t="s">
        <v>905</v>
      </c>
      <c r="K129" s="1" t="s">
        <v>906</v>
      </c>
      <c r="L129" s="1" t="s">
        <v>907</v>
      </c>
      <c r="M129" s="1" t="s">
        <v>59</v>
      </c>
      <c r="N129" s="1" t="s">
        <v>908</v>
      </c>
      <c r="O129" s="1" t="s">
        <v>35</v>
      </c>
      <c r="P129" s="1" t="s">
        <v>904</v>
      </c>
      <c r="Q129" s="1" t="s">
        <v>125</v>
      </c>
      <c r="R129" s="1" t="s">
        <v>37</v>
      </c>
      <c r="S129" s="1" t="s">
        <v>37</v>
      </c>
      <c r="T129" s="1" t="s">
        <v>37</v>
      </c>
      <c r="U129" s="1" t="s">
        <v>37</v>
      </c>
    </row>
    <row r="130" spans="1:21">
      <c r="A130" s="1" t="s">
        <v>909</v>
      </c>
      <c r="B130" s="1" t="s">
        <v>39</v>
      </c>
      <c r="C130" s="1" t="s">
        <v>40</v>
      </c>
      <c r="D130" s="1" t="s">
        <v>24</v>
      </c>
      <c r="E130" s="1" t="s">
        <v>25</v>
      </c>
      <c r="F130" s="1" t="s">
        <v>117</v>
      </c>
      <c r="G130" s="1" t="s">
        <v>910</v>
      </c>
      <c r="H130" s="1" t="s">
        <v>64</v>
      </c>
      <c r="I130" s="1" t="s">
        <v>911</v>
      </c>
      <c r="J130" s="1" t="s">
        <v>912</v>
      </c>
      <c r="K130" s="1" t="s">
        <v>906</v>
      </c>
      <c r="L130" s="1" t="s">
        <v>913</v>
      </c>
      <c r="M130" s="1" t="s">
        <v>33</v>
      </c>
      <c r="N130" s="1" t="s">
        <v>914</v>
      </c>
      <c r="O130" s="1" t="s">
        <v>35</v>
      </c>
      <c r="P130" s="1" t="s">
        <v>911</v>
      </c>
      <c r="Q130" s="1" t="s">
        <v>250</v>
      </c>
      <c r="R130" s="1" t="s">
        <v>37</v>
      </c>
      <c r="S130" s="1" t="s">
        <v>37</v>
      </c>
      <c r="T130" s="1" t="s">
        <v>37</v>
      </c>
      <c r="U130" s="1" t="s">
        <v>37</v>
      </c>
    </row>
    <row r="131" spans="1:21">
      <c r="A131" s="1" t="s">
        <v>915</v>
      </c>
      <c r="B131" s="1" t="s">
        <v>115</v>
      </c>
      <c r="C131" s="1" t="s">
        <v>116</v>
      </c>
      <c r="D131" s="1" t="s">
        <v>24</v>
      </c>
      <c r="E131" s="1" t="s">
        <v>25</v>
      </c>
      <c r="F131" s="1" t="s">
        <v>72</v>
      </c>
      <c r="G131" s="1" t="s">
        <v>916</v>
      </c>
      <c r="H131" s="1" t="s">
        <v>275</v>
      </c>
      <c r="I131" s="1" t="s">
        <v>917</v>
      </c>
      <c r="J131" s="1" t="s">
        <v>918</v>
      </c>
      <c r="K131" s="1" t="s">
        <v>76</v>
      </c>
      <c r="L131" s="1" t="s">
        <v>233</v>
      </c>
      <c r="M131" s="1" t="s">
        <v>33</v>
      </c>
      <c r="N131" s="1" t="s">
        <v>919</v>
      </c>
      <c r="O131" s="1" t="s">
        <v>35</v>
      </c>
      <c r="P131" s="1" t="s">
        <v>917</v>
      </c>
      <c r="Q131" s="1" t="s">
        <v>113</v>
      </c>
      <c r="R131" s="1" t="s">
        <v>37</v>
      </c>
      <c r="S131" s="1" t="s">
        <v>37</v>
      </c>
      <c r="T131" s="1" t="s">
        <v>37</v>
      </c>
      <c r="U131" s="1" t="s">
        <v>37</v>
      </c>
    </row>
    <row r="132" spans="1:21">
      <c r="A132" s="1" t="s">
        <v>920</v>
      </c>
      <c r="B132" s="1" t="s">
        <v>115</v>
      </c>
      <c r="C132" s="1" t="s">
        <v>116</v>
      </c>
      <c r="D132" s="1" t="s">
        <v>41</v>
      </c>
      <c r="E132" s="1" t="s">
        <v>25</v>
      </c>
      <c r="F132" s="1" t="s">
        <v>127</v>
      </c>
      <c r="G132" s="1" t="s">
        <v>921</v>
      </c>
      <c r="H132" s="1" t="s">
        <v>28</v>
      </c>
      <c r="I132" s="1" t="s">
        <v>922</v>
      </c>
      <c r="J132" s="1" t="s">
        <v>923</v>
      </c>
      <c r="K132" s="1" t="s">
        <v>270</v>
      </c>
      <c r="L132" s="1" t="s">
        <v>924</v>
      </c>
      <c r="M132" s="1" t="s">
        <v>49</v>
      </c>
      <c r="N132" s="1" t="s">
        <v>925</v>
      </c>
      <c r="O132" s="1" t="s">
        <v>35</v>
      </c>
      <c r="P132" s="1" t="s">
        <v>922</v>
      </c>
      <c r="Q132" s="1" t="s">
        <v>311</v>
      </c>
      <c r="R132" s="1" t="s">
        <v>37</v>
      </c>
      <c r="S132" s="1" t="s">
        <v>37</v>
      </c>
      <c r="T132" s="1" t="s">
        <v>37</v>
      </c>
      <c r="U132" s="1" t="s">
        <v>37</v>
      </c>
    </row>
    <row r="133" spans="1:21">
      <c r="A133" s="1" t="s">
        <v>926</v>
      </c>
      <c r="B133" s="1" t="s">
        <v>22</v>
      </c>
      <c r="C133" s="1" t="s">
        <v>23</v>
      </c>
      <c r="D133" s="1" t="s">
        <v>24</v>
      </c>
      <c r="E133" s="1" t="s">
        <v>25</v>
      </c>
      <c r="F133" s="1" t="s">
        <v>72</v>
      </c>
      <c r="G133" s="1" t="s">
        <v>927</v>
      </c>
      <c r="H133" s="1" t="s">
        <v>90</v>
      </c>
      <c r="I133" s="1" t="s">
        <v>928</v>
      </c>
      <c r="J133" s="1" t="s">
        <v>929</v>
      </c>
      <c r="K133" s="1" t="s">
        <v>508</v>
      </c>
      <c r="L133" s="1" t="s">
        <v>930</v>
      </c>
      <c r="M133" s="1" t="s">
        <v>49</v>
      </c>
      <c r="N133" s="1" t="s">
        <v>931</v>
      </c>
      <c r="O133" s="1" t="s">
        <v>35</v>
      </c>
      <c r="P133" s="1" t="s">
        <v>928</v>
      </c>
      <c r="Q133" s="1" t="s">
        <v>638</v>
      </c>
      <c r="R133" s="1" t="s">
        <v>37</v>
      </c>
      <c r="S133" s="1" t="s">
        <v>37</v>
      </c>
      <c r="T133" s="1" t="s">
        <v>37</v>
      </c>
      <c r="U133" s="1" t="s">
        <v>37</v>
      </c>
    </row>
    <row r="134" spans="1:21">
      <c r="A134" s="1" t="s">
        <v>932</v>
      </c>
      <c r="B134" s="1" t="s">
        <v>115</v>
      </c>
      <c r="C134" s="1" t="s">
        <v>116</v>
      </c>
      <c r="D134" s="1" t="s">
        <v>41</v>
      </c>
      <c r="E134" s="1" t="s">
        <v>25</v>
      </c>
      <c r="F134" s="1" t="s">
        <v>72</v>
      </c>
      <c r="G134" s="1" t="s">
        <v>933</v>
      </c>
      <c r="H134" s="1" t="s">
        <v>129</v>
      </c>
      <c r="I134" s="1" t="s">
        <v>934</v>
      </c>
      <c r="J134" s="1" t="s">
        <v>935</v>
      </c>
      <c r="K134" s="1" t="s">
        <v>404</v>
      </c>
      <c r="L134" s="1" t="s">
        <v>936</v>
      </c>
      <c r="M134" s="1" t="s">
        <v>49</v>
      </c>
      <c r="N134" s="1" t="s">
        <v>937</v>
      </c>
      <c r="O134" s="1" t="s">
        <v>35</v>
      </c>
      <c r="P134" s="1" t="s">
        <v>934</v>
      </c>
      <c r="Q134" s="1" t="s">
        <v>61</v>
      </c>
      <c r="R134" s="1" t="s">
        <v>37</v>
      </c>
      <c r="S134" s="1" t="s">
        <v>37</v>
      </c>
      <c r="T134" s="1" t="s">
        <v>37</v>
      </c>
      <c r="U134" s="1" t="s">
        <v>37</v>
      </c>
    </row>
    <row r="135" spans="1:21">
      <c r="A135" s="1" t="s">
        <v>938</v>
      </c>
      <c r="B135" s="1" t="s">
        <v>115</v>
      </c>
      <c r="C135" s="1" t="s">
        <v>116</v>
      </c>
      <c r="D135" s="1" t="s">
        <v>24</v>
      </c>
      <c r="E135" s="1" t="s">
        <v>25</v>
      </c>
      <c r="F135" s="1" t="s">
        <v>42</v>
      </c>
      <c r="G135" s="1" t="s">
        <v>939</v>
      </c>
      <c r="H135" s="1" t="s">
        <v>90</v>
      </c>
      <c r="I135" s="1" t="s">
        <v>940</v>
      </c>
      <c r="J135" s="1" t="s">
        <v>941</v>
      </c>
      <c r="K135" s="1" t="s">
        <v>232</v>
      </c>
      <c r="L135" s="1" t="s">
        <v>942</v>
      </c>
      <c r="M135" s="1" t="s">
        <v>59</v>
      </c>
      <c r="N135" s="1" t="s">
        <v>943</v>
      </c>
      <c r="O135" s="1" t="s">
        <v>35</v>
      </c>
      <c r="P135" s="1" t="s">
        <v>940</v>
      </c>
      <c r="Q135" s="1" t="s">
        <v>944</v>
      </c>
      <c r="R135" s="1" t="s">
        <v>37</v>
      </c>
      <c r="S135" s="1" t="s">
        <v>37</v>
      </c>
      <c r="T135" s="1" t="s">
        <v>37</v>
      </c>
      <c r="U135" s="1" t="s">
        <v>37</v>
      </c>
    </row>
    <row r="136" spans="1:21">
      <c r="A136" s="1" t="s">
        <v>945</v>
      </c>
      <c r="B136" s="1" t="s">
        <v>39</v>
      </c>
      <c r="C136" s="1" t="s">
        <v>40</v>
      </c>
      <c r="D136" s="1" t="s">
        <v>41</v>
      </c>
      <c r="E136" s="1" t="s">
        <v>25</v>
      </c>
      <c r="F136" s="1" t="s">
        <v>26</v>
      </c>
      <c r="G136" s="1" t="s">
        <v>946</v>
      </c>
      <c r="H136" s="1" t="s">
        <v>90</v>
      </c>
      <c r="I136" s="1" t="s">
        <v>947</v>
      </c>
      <c r="J136" s="1" t="s">
        <v>948</v>
      </c>
      <c r="K136" s="1" t="s">
        <v>47</v>
      </c>
      <c r="L136" s="1" t="s">
        <v>949</v>
      </c>
      <c r="M136" s="1" t="s">
        <v>33</v>
      </c>
      <c r="N136" s="1" t="s">
        <v>950</v>
      </c>
      <c r="O136" s="1" t="s">
        <v>35</v>
      </c>
      <c r="P136" s="1" t="s">
        <v>947</v>
      </c>
      <c r="Q136" s="1" t="s">
        <v>79</v>
      </c>
      <c r="R136" s="1" t="s">
        <v>37</v>
      </c>
      <c r="S136" s="1" t="s">
        <v>37</v>
      </c>
      <c r="T136" s="1" t="s">
        <v>37</v>
      </c>
      <c r="U136" s="1" t="s">
        <v>37</v>
      </c>
    </row>
    <row r="137" spans="1:21">
      <c r="A137" s="1" t="s">
        <v>951</v>
      </c>
      <c r="B137" s="1" t="s">
        <v>39</v>
      </c>
      <c r="C137" s="1" t="s">
        <v>40</v>
      </c>
      <c r="D137" s="1" t="s">
        <v>41</v>
      </c>
      <c r="E137" s="1" t="s">
        <v>25</v>
      </c>
      <c r="F137" s="1" t="s">
        <v>127</v>
      </c>
      <c r="G137" s="1" t="s">
        <v>952</v>
      </c>
      <c r="H137" s="1" t="s">
        <v>119</v>
      </c>
      <c r="I137" s="1" t="s">
        <v>953</v>
      </c>
      <c r="J137" s="1" t="s">
        <v>954</v>
      </c>
      <c r="K137" s="1" t="s">
        <v>955</v>
      </c>
      <c r="L137" s="1" t="s">
        <v>284</v>
      </c>
      <c r="M137" s="1" t="s">
        <v>49</v>
      </c>
      <c r="N137" s="1" t="s">
        <v>956</v>
      </c>
      <c r="O137" s="1" t="s">
        <v>35</v>
      </c>
      <c r="P137" s="1" t="s">
        <v>953</v>
      </c>
      <c r="Q137" s="1" t="s">
        <v>957</v>
      </c>
      <c r="R137" s="1" t="s">
        <v>37</v>
      </c>
      <c r="S137" s="1" t="s">
        <v>37</v>
      </c>
      <c r="T137" s="1" t="s">
        <v>37</v>
      </c>
      <c r="U137" s="1" t="s">
        <v>37</v>
      </c>
    </row>
    <row r="138" spans="1:21">
      <c r="A138" s="1" t="s">
        <v>958</v>
      </c>
      <c r="B138" s="1" t="s">
        <v>22</v>
      </c>
      <c r="C138" s="1" t="s">
        <v>23</v>
      </c>
      <c r="D138" s="1" t="s">
        <v>41</v>
      </c>
      <c r="E138" s="1" t="s">
        <v>25</v>
      </c>
      <c r="F138" s="1" t="s">
        <v>42</v>
      </c>
      <c r="G138" s="1" t="s">
        <v>959</v>
      </c>
      <c r="H138" s="1" t="s">
        <v>44</v>
      </c>
      <c r="I138" s="1" t="s">
        <v>960</v>
      </c>
      <c r="J138" s="1" t="s">
        <v>961</v>
      </c>
      <c r="K138" s="1" t="s">
        <v>962</v>
      </c>
      <c r="L138" s="1" t="s">
        <v>963</v>
      </c>
      <c r="M138" s="1" t="s">
        <v>59</v>
      </c>
      <c r="N138" s="1" t="s">
        <v>964</v>
      </c>
      <c r="O138" s="1" t="s">
        <v>35</v>
      </c>
      <c r="P138" s="1" t="s">
        <v>960</v>
      </c>
      <c r="Q138" s="1" t="s">
        <v>944</v>
      </c>
      <c r="R138" s="1" t="s">
        <v>37</v>
      </c>
      <c r="S138" s="1" t="s">
        <v>37</v>
      </c>
      <c r="T138" s="1" t="s">
        <v>37</v>
      </c>
      <c r="U138" s="1" t="s">
        <v>37</v>
      </c>
    </row>
    <row r="139" spans="1:21">
      <c r="A139" s="1" t="s">
        <v>965</v>
      </c>
      <c r="B139" s="1" t="s">
        <v>22</v>
      </c>
      <c r="C139" s="1" t="s">
        <v>23</v>
      </c>
      <c r="D139" s="1" t="s">
        <v>24</v>
      </c>
      <c r="E139" s="1" t="s">
        <v>25</v>
      </c>
      <c r="F139" s="1" t="s">
        <v>53</v>
      </c>
      <c r="G139" s="1" t="s">
        <v>966</v>
      </c>
      <c r="H139" s="1" t="s">
        <v>90</v>
      </c>
      <c r="I139" s="1" t="s">
        <v>967</v>
      </c>
      <c r="J139" s="1" t="s">
        <v>968</v>
      </c>
      <c r="K139" s="1" t="s">
        <v>955</v>
      </c>
      <c r="L139" s="1" t="s">
        <v>969</v>
      </c>
      <c r="M139" s="1" t="s">
        <v>49</v>
      </c>
      <c r="N139" s="1" t="s">
        <v>970</v>
      </c>
      <c r="O139" s="1" t="s">
        <v>35</v>
      </c>
      <c r="P139" s="1" t="s">
        <v>967</v>
      </c>
      <c r="Q139" s="1" t="s">
        <v>971</v>
      </c>
      <c r="R139" s="1" t="s">
        <v>37</v>
      </c>
      <c r="S139" s="1" t="s">
        <v>37</v>
      </c>
      <c r="T139" s="1" t="s">
        <v>37</v>
      </c>
      <c r="U139" s="1" t="s">
        <v>37</v>
      </c>
    </row>
    <row r="140" spans="1:21">
      <c r="A140" s="1" t="s">
        <v>972</v>
      </c>
      <c r="B140" s="1" t="s">
        <v>115</v>
      </c>
      <c r="C140" s="1" t="s">
        <v>116</v>
      </c>
      <c r="D140" s="1" t="s">
        <v>41</v>
      </c>
      <c r="E140" s="1" t="s">
        <v>25</v>
      </c>
      <c r="F140" s="1" t="s">
        <v>72</v>
      </c>
      <c r="G140" s="1" t="s">
        <v>973</v>
      </c>
      <c r="H140" s="1" t="s">
        <v>99</v>
      </c>
      <c r="I140" s="1" t="s">
        <v>974</v>
      </c>
      <c r="J140" s="1" t="s">
        <v>975</v>
      </c>
      <c r="K140" s="1" t="s">
        <v>976</v>
      </c>
      <c r="L140" s="1" t="s">
        <v>977</v>
      </c>
      <c r="M140" s="1" t="s">
        <v>49</v>
      </c>
      <c r="N140" s="1" t="s">
        <v>978</v>
      </c>
      <c r="O140" s="1" t="s">
        <v>35</v>
      </c>
      <c r="P140" s="1" t="s">
        <v>974</v>
      </c>
      <c r="Q140" s="1" t="s">
        <v>159</v>
      </c>
      <c r="R140" s="1" t="s">
        <v>37</v>
      </c>
      <c r="S140" s="1" t="s">
        <v>37</v>
      </c>
      <c r="T140" s="1" t="s">
        <v>37</v>
      </c>
      <c r="U140" s="1" t="s">
        <v>37</v>
      </c>
    </row>
    <row r="141" spans="1:21">
      <c r="A141" s="1" t="s">
        <v>979</v>
      </c>
      <c r="B141" s="1" t="s">
        <v>22</v>
      </c>
      <c r="C141" s="1" t="s">
        <v>23</v>
      </c>
      <c r="D141" s="1" t="s">
        <v>41</v>
      </c>
      <c r="E141" s="1" t="s">
        <v>25</v>
      </c>
      <c r="F141" s="1" t="s">
        <v>72</v>
      </c>
      <c r="G141" s="1" t="s">
        <v>980</v>
      </c>
      <c r="H141" s="1" t="s">
        <v>64</v>
      </c>
      <c r="I141" s="1" t="s">
        <v>981</v>
      </c>
      <c r="J141" s="1" t="s">
        <v>982</v>
      </c>
      <c r="K141" s="1" t="s">
        <v>378</v>
      </c>
      <c r="L141" s="1" t="s">
        <v>983</v>
      </c>
      <c r="M141" s="1" t="s">
        <v>33</v>
      </c>
      <c r="N141" s="1" t="s">
        <v>984</v>
      </c>
      <c r="O141" s="1" t="s">
        <v>35</v>
      </c>
      <c r="P141" s="1" t="s">
        <v>981</v>
      </c>
      <c r="Q141" s="1" t="s">
        <v>798</v>
      </c>
      <c r="R141" s="1" t="s">
        <v>37</v>
      </c>
      <c r="S141" s="1" t="s">
        <v>37</v>
      </c>
      <c r="T141" s="1" t="s">
        <v>37</v>
      </c>
      <c r="U141" s="1" t="s">
        <v>37</v>
      </c>
    </row>
    <row r="142" spans="1:21">
      <c r="A142" s="1" t="s">
        <v>985</v>
      </c>
      <c r="B142" s="1" t="s">
        <v>39</v>
      </c>
      <c r="C142" s="1" t="s">
        <v>40</v>
      </c>
      <c r="D142" s="1" t="s">
        <v>24</v>
      </c>
      <c r="E142" s="1" t="s">
        <v>25</v>
      </c>
      <c r="F142" s="1" t="s">
        <v>72</v>
      </c>
      <c r="G142" s="1" t="s">
        <v>986</v>
      </c>
      <c r="H142" s="1" t="s">
        <v>99</v>
      </c>
      <c r="I142" s="1" t="s">
        <v>987</v>
      </c>
      <c r="J142" s="1" t="s">
        <v>988</v>
      </c>
      <c r="K142" s="1" t="s">
        <v>629</v>
      </c>
      <c r="L142" s="1" t="s">
        <v>989</v>
      </c>
      <c r="M142" s="1" t="s">
        <v>59</v>
      </c>
      <c r="N142" s="1" t="s">
        <v>990</v>
      </c>
      <c r="O142" s="1" t="s">
        <v>35</v>
      </c>
      <c r="P142" s="1" t="s">
        <v>987</v>
      </c>
      <c r="Q142" s="1" t="s">
        <v>476</v>
      </c>
      <c r="R142" s="1" t="s">
        <v>37</v>
      </c>
      <c r="S142" s="1" t="s">
        <v>37</v>
      </c>
      <c r="T142" s="1" t="s">
        <v>37</v>
      </c>
      <c r="U142" s="1" t="s">
        <v>37</v>
      </c>
    </row>
    <row r="143" spans="1:21">
      <c r="A143" s="1" t="s">
        <v>991</v>
      </c>
      <c r="B143" s="1" t="s">
        <v>39</v>
      </c>
      <c r="C143" s="1" t="s">
        <v>40</v>
      </c>
      <c r="D143" s="1" t="s">
        <v>24</v>
      </c>
      <c r="E143" s="1" t="s">
        <v>992</v>
      </c>
      <c r="F143" s="1" t="s">
        <v>26</v>
      </c>
      <c r="G143" s="1" t="s">
        <v>993</v>
      </c>
      <c r="H143" s="1" t="s">
        <v>99</v>
      </c>
      <c r="I143" s="1" t="s">
        <v>994</v>
      </c>
      <c r="J143" s="1" t="s">
        <v>995</v>
      </c>
      <c r="K143" s="1" t="s">
        <v>270</v>
      </c>
      <c r="L143" s="1" t="s">
        <v>996</v>
      </c>
      <c r="M143" s="1" t="s">
        <v>49</v>
      </c>
      <c r="N143" s="1" t="s">
        <v>997</v>
      </c>
      <c r="O143" s="1" t="s">
        <v>35</v>
      </c>
      <c r="P143" s="1" t="s">
        <v>994</v>
      </c>
      <c r="Q143" s="1" t="s">
        <v>407</v>
      </c>
      <c r="R143" s="1" t="s">
        <v>37</v>
      </c>
      <c r="S143" s="1" t="s">
        <v>37</v>
      </c>
      <c r="T143" s="1" t="s">
        <v>37</v>
      </c>
      <c r="U143" s="1" t="s">
        <v>37</v>
      </c>
    </row>
    <row r="144" spans="1:21">
      <c r="A144" s="1" t="s">
        <v>998</v>
      </c>
      <c r="B144" s="1" t="s">
        <v>39</v>
      </c>
      <c r="C144" s="1" t="s">
        <v>40</v>
      </c>
      <c r="D144" s="1" t="s">
        <v>24</v>
      </c>
      <c r="E144" s="1" t="s">
        <v>25</v>
      </c>
      <c r="F144" s="1" t="s">
        <v>26</v>
      </c>
      <c r="G144" s="1" t="s">
        <v>999</v>
      </c>
      <c r="H144" s="1" t="s">
        <v>99</v>
      </c>
      <c r="I144" s="1" t="s">
        <v>1000</v>
      </c>
      <c r="J144" s="1" t="s">
        <v>1001</v>
      </c>
      <c r="K144" s="1" t="s">
        <v>803</v>
      </c>
      <c r="L144" s="1" t="s">
        <v>1002</v>
      </c>
      <c r="M144" s="1" t="s">
        <v>49</v>
      </c>
      <c r="N144" s="1" t="s">
        <v>1003</v>
      </c>
      <c r="O144" s="1" t="s">
        <v>35</v>
      </c>
      <c r="P144" s="1" t="s">
        <v>1000</v>
      </c>
      <c r="Q144" s="1" t="s">
        <v>36</v>
      </c>
      <c r="R144" s="1" t="s">
        <v>37</v>
      </c>
      <c r="S144" s="1" t="s">
        <v>37</v>
      </c>
      <c r="T144" s="1" t="s">
        <v>37</v>
      </c>
      <c r="U144" s="1" t="s">
        <v>37</v>
      </c>
    </row>
    <row r="145" spans="1:21">
      <c r="A145" s="1" t="s">
        <v>1004</v>
      </c>
      <c r="B145" s="1" t="s">
        <v>39</v>
      </c>
      <c r="C145" s="1" t="s">
        <v>40</v>
      </c>
      <c r="D145" s="1" t="s">
        <v>24</v>
      </c>
      <c r="E145" s="1" t="s">
        <v>25</v>
      </c>
      <c r="F145" s="1" t="s">
        <v>117</v>
      </c>
      <c r="G145" s="1" t="s">
        <v>1005</v>
      </c>
      <c r="H145" s="1" t="s">
        <v>253</v>
      </c>
      <c r="I145" s="1" t="s">
        <v>1006</v>
      </c>
      <c r="J145" s="1" t="s">
        <v>1007</v>
      </c>
      <c r="K145" s="1" t="s">
        <v>1008</v>
      </c>
      <c r="L145" s="1" t="s">
        <v>1009</v>
      </c>
      <c r="M145" s="1" t="s">
        <v>59</v>
      </c>
      <c r="N145" s="1" t="s">
        <v>1005</v>
      </c>
      <c r="O145" s="1" t="s">
        <v>35</v>
      </c>
      <c r="P145" s="1" t="s">
        <v>1006</v>
      </c>
      <c r="Q145" s="1" t="s">
        <v>70</v>
      </c>
      <c r="R145" s="1" t="s">
        <v>37</v>
      </c>
      <c r="S145" s="1" t="s">
        <v>37</v>
      </c>
      <c r="T145" s="1" t="s">
        <v>37</v>
      </c>
      <c r="U145" s="1" t="s">
        <v>37</v>
      </c>
    </row>
    <row r="146" spans="1:21">
      <c r="A146" s="1" t="s">
        <v>1010</v>
      </c>
      <c r="B146" s="1" t="s">
        <v>22</v>
      </c>
      <c r="C146" s="1" t="s">
        <v>23</v>
      </c>
      <c r="D146" s="1" t="s">
        <v>41</v>
      </c>
      <c r="E146" s="1" t="s">
        <v>25</v>
      </c>
      <c r="F146" s="1" t="s">
        <v>53</v>
      </c>
      <c r="G146" s="1" t="s">
        <v>1011</v>
      </c>
      <c r="H146" s="1" t="s">
        <v>90</v>
      </c>
      <c r="I146" s="1" t="s">
        <v>1012</v>
      </c>
      <c r="J146" s="1" t="s">
        <v>1013</v>
      </c>
      <c r="K146" s="1" t="s">
        <v>195</v>
      </c>
      <c r="L146" s="1" t="s">
        <v>1014</v>
      </c>
      <c r="M146" s="1" t="s">
        <v>33</v>
      </c>
      <c r="N146" s="1" t="s">
        <v>1015</v>
      </c>
      <c r="O146" s="1" t="s">
        <v>35</v>
      </c>
      <c r="P146" s="1" t="s">
        <v>1012</v>
      </c>
      <c r="Q146" s="1" t="s">
        <v>64</v>
      </c>
      <c r="R146" s="1" t="s">
        <v>37</v>
      </c>
      <c r="S146" s="1" t="s">
        <v>37</v>
      </c>
      <c r="T146" s="1" t="s">
        <v>37</v>
      </c>
      <c r="U146" s="1" t="s">
        <v>37</v>
      </c>
    </row>
    <row r="147" spans="1:21">
      <c r="A147" s="1" t="s">
        <v>1016</v>
      </c>
      <c r="B147" s="1" t="s">
        <v>39</v>
      </c>
      <c r="C147" s="1" t="s">
        <v>40</v>
      </c>
      <c r="D147" s="1" t="s">
        <v>41</v>
      </c>
      <c r="E147" s="1" t="s">
        <v>25</v>
      </c>
      <c r="F147" s="1" t="s">
        <v>26</v>
      </c>
      <c r="G147" s="1" t="s">
        <v>1017</v>
      </c>
      <c r="H147" s="1" t="s">
        <v>90</v>
      </c>
      <c r="I147" s="1" t="s">
        <v>1018</v>
      </c>
      <c r="J147" s="1" t="s">
        <v>1019</v>
      </c>
      <c r="K147" s="1" t="s">
        <v>47</v>
      </c>
      <c r="L147" s="1" t="s">
        <v>1020</v>
      </c>
      <c r="M147" s="1" t="s">
        <v>59</v>
      </c>
      <c r="N147" s="1" t="s">
        <v>1021</v>
      </c>
      <c r="O147" s="1" t="s">
        <v>35</v>
      </c>
      <c r="P147" s="1" t="s">
        <v>1018</v>
      </c>
      <c r="Q147" s="1" t="s">
        <v>386</v>
      </c>
      <c r="R147" s="1" t="s">
        <v>37</v>
      </c>
      <c r="S147" s="1" t="s">
        <v>37</v>
      </c>
      <c r="T147" s="1" t="s">
        <v>37</v>
      </c>
      <c r="U147" s="1" t="s">
        <v>37</v>
      </c>
    </row>
    <row r="148" spans="1:21">
      <c r="A148" s="1" t="s">
        <v>1022</v>
      </c>
      <c r="B148" s="1" t="s">
        <v>22</v>
      </c>
      <c r="C148" s="1" t="s">
        <v>23</v>
      </c>
      <c r="D148" s="1" t="s">
        <v>24</v>
      </c>
      <c r="E148" s="1" t="s">
        <v>25</v>
      </c>
      <c r="F148" s="1" t="s">
        <v>127</v>
      </c>
      <c r="G148" s="1" t="s">
        <v>1023</v>
      </c>
      <c r="H148" s="1" t="s">
        <v>99</v>
      </c>
      <c r="I148" s="1" t="s">
        <v>1024</v>
      </c>
      <c r="J148" s="1" t="s">
        <v>1025</v>
      </c>
      <c r="K148" s="1" t="s">
        <v>404</v>
      </c>
      <c r="L148" s="1" t="s">
        <v>317</v>
      </c>
      <c r="M148" s="1" t="s">
        <v>33</v>
      </c>
      <c r="N148" s="1" t="s">
        <v>1026</v>
      </c>
      <c r="O148" s="1" t="s">
        <v>35</v>
      </c>
      <c r="P148" s="1" t="s">
        <v>1024</v>
      </c>
      <c r="Q148" s="1" t="s">
        <v>798</v>
      </c>
      <c r="R148" s="1" t="s">
        <v>37</v>
      </c>
      <c r="S148" s="1" t="s">
        <v>37</v>
      </c>
      <c r="T148" s="1" t="s">
        <v>37</v>
      </c>
      <c r="U148" s="1" t="s">
        <v>37</v>
      </c>
    </row>
    <row r="149" spans="1:21">
      <c r="A149" s="1" t="s">
        <v>1027</v>
      </c>
      <c r="B149" s="1" t="s">
        <v>39</v>
      </c>
      <c r="C149" s="1" t="s">
        <v>40</v>
      </c>
      <c r="D149" s="1" t="s">
        <v>41</v>
      </c>
      <c r="E149" s="1" t="s">
        <v>992</v>
      </c>
      <c r="F149" s="1" t="s">
        <v>26</v>
      </c>
      <c r="G149" s="1" t="s">
        <v>1028</v>
      </c>
      <c r="H149" s="1" t="s">
        <v>129</v>
      </c>
      <c r="I149" s="1" t="s">
        <v>1029</v>
      </c>
      <c r="J149" s="1" t="s">
        <v>1030</v>
      </c>
      <c r="K149" s="1" t="s">
        <v>412</v>
      </c>
      <c r="L149" s="1" t="s">
        <v>556</v>
      </c>
      <c r="M149" s="1" t="s">
        <v>59</v>
      </c>
      <c r="N149" s="1" t="s">
        <v>1031</v>
      </c>
      <c r="O149" s="1" t="s">
        <v>35</v>
      </c>
      <c r="P149" s="1" t="s">
        <v>1029</v>
      </c>
      <c r="Q149" s="1" t="s">
        <v>366</v>
      </c>
      <c r="R149" s="1" t="s">
        <v>37</v>
      </c>
      <c r="S149" s="1" t="s">
        <v>37</v>
      </c>
      <c r="T149" s="1" t="s">
        <v>37</v>
      </c>
      <c r="U149" s="1" t="s">
        <v>37</v>
      </c>
    </row>
    <row r="150" spans="1:21">
      <c r="A150" s="1" t="s">
        <v>1032</v>
      </c>
      <c r="B150" s="1" t="s">
        <v>115</v>
      </c>
      <c r="C150" s="1" t="s">
        <v>116</v>
      </c>
      <c r="D150" s="1" t="s">
        <v>24</v>
      </c>
      <c r="E150" s="1" t="s">
        <v>992</v>
      </c>
      <c r="F150" s="1" t="s">
        <v>53</v>
      </c>
      <c r="G150" s="1" t="s">
        <v>1033</v>
      </c>
      <c r="H150" s="1" t="s">
        <v>64</v>
      </c>
      <c r="I150" s="1" t="s">
        <v>1034</v>
      </c>
      <c r="J150" s="1" t="s">
        <v>1035</v>
      </c>
      <c r="K150" s="1" t="s">
        <v>508</v>
      </c>
      <c r="L150" s="1" t="s">
        <v>1036</v>
      </c>
      <c r="M150" s="1" t="s">
        <v>59</v>
      </c>
      <c r="N150" s="1" t="s">
        <v>1037</v>
      </c>
      <c r="O150" s="1" t="s">
        <v>35</v>
      </c>
      <c r="P150" s="1" t="s">
        <v>1034</v>
      </c>
      <c r="Q150" s="1" t="s">
        <v>957</v>
      </c>
      <c r="R150" s="1" t="s">
        <v>37</v>
      </c>
      <c r="S150" s="1" t="s">
        <v>37</v>
      </c>
      <c r="T150" s="1" t="s">
        <v>37</v>
      </c>
      <c r="U150" s="1" t="s">
        <v>37</v>
      </c>
    </row>
    <row r="151" spans="1:21">
      <c r="A151" s="1" t="s">
        <v>1038</v>
      </c>
      <c r="B151" s="1" t="s">
        <v>22</v>
      </c>
      <c r="C151" s="1" t="s">
        <v>23</v>
      </c>
      <c r="D151" s="1" t="s">
        <v>41</v>
      </c>
      <c r="E151" s="1" t="s">
        <v>992</v>
      </c>
      <c r="F151" s="1" t="s">
        <v>26</v>
      </c>
      <c r="G151" s="1" t="s">
        <v>1039</v>
      </c>
      <c r="H151" s="1" t="s">
        <v>64</v>
      </c>
      <c r="I151" s="1" t="s">
        <v>1040</v>
      </c>
      <c r="J151" s="1" t="s">
        <v>1041</v>
      </c>
      <c r="K151" s="1" t="s">
        <v>459</v>
      </c>
      <c r="L151" s="1" t="s">
        <v>996</v>
      </c>
      <c r="M151" s="1" t="s">
        <v>59</v>
      </c>
      <c r="N151" s="1" t="s">
        <v>1042</v>
      </c>
      <c r="O151" s="1" t="s">
        <v>35</v>
      </c>
      <c r="P151" s="1" t="s">
        <v>1040</v>
      </c>
      <c r="Q151" s="1" t="s">
        <v>752</v>
      </c>
      <c r="R151" s="1" t="s">
        <v>37</v>
      </c>
      <c r="S151" s="1" t="s">
        <v>37</v>
      </c>
      <c r="T151" s="1" t="s">
        <v>37</v>
      </c>
      <c r="U151" s="1" t="s">
        <v>37</v>
      </c>
    </row>
    <row r="152" spans="1:21">
      <c r="A152" s="1" t="s">
        <v>1043</v>
      </c>
      <c r="B152" s="1" t="s">
        <v>115</v>
      </c>
      <c r="C152" s="1" t="s">
        <v>116</v>
      </c>
      <c r="D152" s="1" t="s">
        <v>24</v>
      </c>
      <c r="E152" s="1" t="s">
        <v>25</v>
      </c>
      <c r="F152" s="1" t="s">
        <v>127</v>
      </c>
      <c r="G152" s="1" t="s">
        <v>1044</v>
      </c>
      <c r="H152" s="1" t="s">
        <v>129</v>
      </c>
      <c r="I152" s="1" t="s">
        <v>1045</v>
      </c>
      <c r="J152" s="1" t="s">
        <v>1046</v>
      </c>
      <c r="K152" s="1" t="s">
        <v>335</v>
      </c>
      <c r="L152" s="1" t="s">
        <v>248</v>
      </c>
      <c r="M152" s="1" t="s">
        <v>59</v>
      </c>
      <c r="N152" s="1" t="s">
        <v>1047</v>
      </c>
      <c r="O152" s="1" t="s">
        <v>35</v>
      </c>
      <c r="P152" s="1" t="s">
        <v>1045</v>
      </c>
      <c r="Q152" s="1" t="s">
        <v>212</v>
      </c>
      <c r="R152" s="1" t="s">
        <v>37</v>
      </c>
      <c r="S152" s="1" t="s">
        <v>37</v>
      </c>
      <c r="T152" s="1" t="s">
        <v>37</v>
      </c>
      <c r="U152" s="1" t="s">
        <v>37</v>
      </c>
    </row>
    <row r="153" spans="1:21">
      <c r="A153" s="1" t="s">
        <v>1048</v>
      </c>
      <c r="B153" s="1" t="s">
        <v>39</v>
      </c>
      <c r="C153" s="1" t="s">
        <v>40</v>
      </c>
      <c r="D153" s="1" t="s">
        <v>24</v>
      </c>
      <c r="E153" s="1" t="s">
        <v>992</v>
      </c>
      <c r="F153" s="1" t="s">
        <v>72</v>
      </c>
      <c r="G153" s="1" t="s">
        <v>229</v>
      </c>
      <c r="H153" s="1" t="s">
        <v>28</v>
      </c>
      <c r="I153" s="1" t="s">
        <v>1049</v>
      </c>
      <c r="J153" s="1" t="s">
        <v>1050</v>
      </c>
      <c r="K153" s="1" t="s">
        <v>179</v>
      </c>
      <c r="L153" s="1" t="s">
        <v>1051</v>
      </c>
      <c r="M153" s="1" t="s">
        <v>59</v>
      </c>
      <c r="N153" s="1" t="s">
        <v>1052</v>
      </c>
      <c r="O153" s="1" t="s">
        <v>35</v>
      </c>
      <c r="P153" s="1" t="s">
        <v>1049</v>
      </c>
      <c r="Q153" s="1" t="s">
        <v>663</v>
      </c>
      <c r="R153" s="1" t="s">
        <v>37</v>
      </c>
      <c r="S153" s="1" t="s">
        <v>37</v>
      </c>
      <c r="T153" s="1" t="s">
        <v>37</v>
      </c>
      <c r="U153" s="1" t="s">
        <v>37</v>
      </c>
    </row>
    <row r="154" spans="1:21">
      <c r="A154" s="1" t="s">
        <v>1053</v>
      </c>
      <c r="B154" s="1" t="s">
        <v>22</v>
      </c>
      <c r="C154" s="1" t="s">
        <v>23</v>
      </c>
      <c r="D154" s="1" t="s">
        <v>41</v>
      </c>
      <c r="E154" s="1" t="s">
        <v>992</v>
      </c>
      <c r="F154" s="1" t="s">
        <v>127</v>
      </c>
      <c r="G154" s="1" t="s">
        <v>1054</v>
      </c>
      <c r="H154" s="1" t="s">
        <v>275</v>
      </c>
      <c r="I154" s="1" t="s">
        <v>1055</v>
      </c>
      <c r="J154" s="1" t="s">
        <v>1056</v>
      </c>
      <c r="K154" s="1" t="s">
        <v>1057</v>
      </c>
      <c r="L154" s="1" t="s">
        <v>1058</v>
      </c>
      <c r="M154" s="1" t="s">
        <v>59</v>
      </c>
      <c r="N154" s="1" t="s">
        <v>1059</v>
      </c>
      <c r="O154" s="1" t="s">
        <v>35</v>
      </c>
      <c r="P154" s="1" t="s">
        <v>1055</v>
      </c>
      <c r="Q154" s="1" t="s">
        <v>61</v>
      </c>
      <c r="R154" s="1" t="s">
        <v>37</v>
      </c>
      <c r="S154" s="1" t="s">
        <v>37</v>
      </c>
      <c r="T154" s="1" t="s">
        <v>37</v>
      </c>
      <c r="U154" s="1" t="s">
        <v>37</v>
      </c>
    </row>
    <row r="155" spans="1:21">
      <c r="A155" s="1" t="s">
        <v>1060</v>
      </c>
      <c r="B155" s="1" t="s">
        <v>39</v>
      </c>
      <c r="C155" s="1" t="s">
        <v>40</v>
      </c>
      <c r="D155" s="1" t="s">
        <v>41</v>
      </c>
      <c r="E155" s="1" t="s">
        <v>25</v>
      </c>
      <c r="F155" s="1" t="s">
        <v>117</v>
      </c>
      <c r="G155" s="1" t="s">
        <v>1061</v>
      </c>
      <c r="H155" s="1" t="s">
        <v>90</v>
      </c>
      <c r="I155" s="1" t="s">
        <v>1062</v>
      </c>
      <c r="J155" s="1" t="s">
        <v>1063</v>
      </c>
      <c r="K155" s="1" t="s">
        <v>156</v>
      </c>
      <c r="L155" s="1" t="s">
        <v>1064</v>
      </c>
      <c r="M155" s="1" t="s">
        <v>33</v>
      </c>
      <c r="N155" s="1" t="s">
        <v>1065</v>
      </c>
      <c r="O155" s="1" t="s">
        <v>35</v>
      </c>
      <c r="P155" s="1" t="s">
        <v>1062</v>
      </c>
      <c r="Q155" s="1" t="s">
        <v>235</v>
      </c>
      <c r="R155" s="1" t="s">
        <v>37</v>
      </c>
      <c r="S155" s="1" t="s">
        <v>37</v>
      </c>
      <c r="T155" s="1" t="s">
        <v>37</v>
      </c>
      <c r="U155" s="1" t="s">
        <v>37</v>
      </c>
    </row>
    <row r="156" spans="1:21">
      <c r="A156" s="1" t="s">
        <v>1066</v>
      </c>
      <c r="B156" s="1" t="s">
        <v>39</v>
      </c>
      <c r="C156" s="1" t="s">
        <v>40</v>
      </c>
      <c r="D156" s="1" t="s">
        <v>41</v>
      </c>
      <c r="E156" s="1" t="s">
        <v>25</v>
      </c>
      <c r="F156" s="1" t="s">
        <v>72</v>
      </c>
      <c r="G156" s="1" t="s">
        <v>1067</v>
      </c>
      <c r="H156" s="1" t="s">
        <v>64</v>
      </c>
      <c r="I156" s="1" t="s">
        <v>1068</v>
      </c>
      <c r="J156" s="1" t="s">
        <v>1069</v>
      </c>
      <c r="K156" s="1" t="s">
        <v>290</v>
      </c>
      <c r="L156" s="1" t="s">
        <v>1070</v>
      </c>
      <c r="M156" s="1" t="s">
        <v>49</v>
      </c>
      <c r="N156" s="1" t="s">
        <v>1071</v>
      </c>
      <c r="O156" s="1" t="s">
        <v>35</v>
      </c>
      <c r="P156" s="1" t="s">
        <v>1068</v>
      </c>
      <c r="Q156" s="1" t="s">
        <v>484</v>
      </c>
      <c r="R156" s="1" t="s">
        <v>37</v>
      </c>
      <c r="S156" s="1" t="s">
        <v>37</v>
      </c>
      <c r="T156" s="1" t="s">
        <v>37</v>
      </c>
      <c r="U156" s="1" t="s">
        <v>37</v>
      </c>
    </row>
    <row r="157" spans="1:21">
      <c r="A157" s="1" t="s">
        <v>1072</v>
      </c>
      <c r="B157" s="1" t="s">
        <v>22</v>
      </c>
      <c r="C157" s="1" t="s">
        <v>23</v>
      </c>
      <c r="D157" s="1" t="s">
        <v>24</v>
      </c>
      <c r="E157" s="1" t="s">
        <v>992</v>
      </c>
      <c r="F157" s="1" t="s">
        <v>117</v>
      </c>
      <c r="G157" s="1" t="s">
        <v>1073</v>
      </c>
      <c r="H157" s="1" t="s">
        <v>44</v>
      </c>
      <c r="I157" s="1" t="s">
        <v>1074</v>
      </c>
      <c r="J157" s="1" t="s">
        <v>1075</v>
      </c>
      <c r="K157" s="1" t="s">
        <v>122</v>
      </c>
      <c r="L157" s="1" t="s">
        <v>474</v>
      </c>
      <c r="M157" s="1" t="s">
        <v>59</v>
      </c>
      <c r="N157" s="1" t="s">
        <v>1076</v>
      </c>
      <c r="O157" s="1" t="s">
        <v>35</v>
      </c>
      <c r="P157" s="1" t="s">
        <v>1074</v>
      </c>
      <c r="Q157" s="1" t="s">
        <v>275</v>
      </c>
      <c r="R157" s="1" t="s">
        <v>37</v>
      </c>
      <c r="S157" s="1" t="s">
        <v>37</v>
      </c>
      <c r="T157" s="1" t="s">
        <v>37</v>
      </c>
      <c r="U157" s="1" t="s">
        <v>37</v>
      </c>
    </row>
    <row r="158" spans="1:21">
      <c r="A158" s="1" t="s">
        <v>1077</v>
      </c>
      <c r="B158" s="1" t="s">
        <v>115</v>
      </c>
      <c r="C158" s="1" t="s">
        <v>116</v>
      </c>
      <c r="D158" s="1" t="s">
        <v>24</v>
      </c>
      <c r="E158" s="1" t="s">
        <v>992</v>
      </c>
      <c r="F158" s="1" t="s">
        <v>42</v>
      </c>
      <c r="G158" s="1" t="s">
        <v>1078</v>
      </c>
      <c r="H158" s="1" t="s">
        <v>253</v>
      </c>
      <c r="I158" s="1" t="s">
        <v>1079</v>
      </c>
      <c r="J158" s="1" t="s">
        <v>1080</v>
      </c>
      <c r="K158" s="1" t="s">
        <v>1081</v>
      </c>
      <c r="L158" s="1" t="s">
        <v>1082</v>
      </c>
      <c r="M158" s="1" t="s">
        <v>49</v>
      </c>
      <c r="N158" s="1" t="s">
        <v>1078</v>
      </c>
      <c r="O158" s="1" t="s">
        <v>35</v>
      </c>
      <c r="P158" s="1" t="s">
        <v>1079</v>
      </c>
      <c r="Q158" s="1" t="s">
        <v>440</v>
      </c>
      <c r="R158" s="1" t="s">
        <v>37</v>
      </c>
      <c r="S158" s="1" t="s">
        <v>37</v>
      </c>
      <c r="T158" s="1" t="s">
        <v>37</v>
      </c>
      <c r="U158" s="1" t="s">
        <v>37</v>
      </c>
    </row>
    <row r="159" spans="1:21">
      <c r="A159" s="1" t="s">
        <v>1083</v>
      </c>
      <c r="B159" s="1" t="s">
        <v>115</v>
      </c>
      <c r="C159" s="1" t="s">
        <v>116</v>
      </c>
      <c r="D159" s="1" t="s">
        <v>41</v>
      </c>
      <c r="E159" s="1" t="s">
        <v>992</v>
      </c>
      <c r="F159" s="1" t="s">
        <v>53</v>
      </c>
      <c r="G159" s="1" t="s">
        <v>1084</v>
      </c>
      <c r="H159" s="1" t="s">
        <v>44</v>
      </c>
      <c r="I159" s="1" t="s">
        <v>1085</v>
      </c>
      <c r="J159" s="1" t="s">
        <v>1086</v>
      </c>
      <c r="K159" s="1" t="s">
        <v>445</v>
      </c>
      <c r="L159" s="1" t="s">
        <v>1087</v>
      </c>
      <c r="M159" s="1" t="s">
        <v>33</v>
      </c>
      <c r="N159" s="1" t="s">
        <v>1088</v>
      </c>
      <c r="O159" s="1" t="s">
        <v>35</v>
      </c>
      <c r="P159" s="1" t="s">
        <v>1085</v>
      </c>
      <c r="Q159" s="1" t="s">
        <v>1089</v>
      </c>
      <c r="R159" s="1" t="s">
        <v>37</v>
      </c>
      <c r="S159" s="1" t="s">
        <v>37</v>
      </c>
      <c r="T159" s="1" t="s">
        <v>37</v>
      </c>
      <c r="U159" s="1" t="s">
        <v>37</v>
      </c>
    </row>
    <row r="160" spans="1:21">
      <c r="A160" s="1" t="s">
        <v>1090</v>
      </c>
      <c r="B160" s="1" t="s">
        <v>115</v>
      </c>
      <c r="C160" s="1" t="s">
        <v>116</v>
      </c>
      <c r="D160" s="1" t="s">
        <v>24</v>
      </c>
      <c r="E160" s="1" t="s">
        <v>992</v>
      </c>
      <c r="F160" s="1" t="s">
        <v>26</v>
      </c>
      <c r="G160" s="1" t="s">
        <v>1091</v>
      </c>
      <c r="H160" s="1" t="s">
        <v>275</v>
      </c>
      <c r="I160" s="1" t="s">
        <v>1092</v>
      </c>
      <c r="J160" s="1" t="s">
        <v>1093</v>
      </c>
      <c r="K160" s="1" t="s">
        <v>1094</v>
      </c>
      <c r="L160" s="1" t="s">
        <v>1095</v>
      </c>
      <c r="M160" s="1" t="s">
        <v>33</v>
      </c>
      <c r="N160" s="1" t="s">
        <v>1096</v>
      </c>
      <c r="O160" s="1" t="s">
        <v>35</v>
      </c>
      <c r="P160" s="1" t="s">
        <v>1092</v>
      </c>
      <c r="Q160" s="1" t="s">
        <v>90</v>
      </c>
      <c r="R160" s="1" t="s">
        <v>37</v>
      </c>
      <c r="S160" s="1" t="s">
        <v>37</v>
      </c>
      <c r="T160" s="1" t="s">
        <v>37</v>
      </c>
      <c r="U160" s="1" t="s">
        <v>37</v>
      </c>
    </row>
    <row r="161" spans="1:21">
      <c r="A161" s="1" t="s">
        <v>1097</v>
      </c>
      <c r="B161" s="1" t="s">
        <v>115</v>
      </c>
      <c r="C161" s="1" t="s">
        <v>116</v>
      </c>
      <c r="D161" s="1" t="s">
        <v>41</v>
      </c>
      <c r="E161" s="1" t="s">
        <v>992</v>
      </c>
      <c r="F161" s="1" t="s">
        <v>72</v>
      </c>
      <c r="G161" s="1" t="s">
        <v>1098</v>
      </c>
      <c r="H161" s="1" t="s">
        <v>90</v>
      </c>
      <c r="I161" s="1" t="s">
        <v>1099</v>
      </c>
      <c r="J161" s="1" t="s">
        <v>1100</v>
      </c>
      <c r="K161" s="1" t="s">
        <v>459</v>
      </c>
      <c r="L161" s="1" t="s">
        <v>1101</v>
      </c>
      <c r="M161" s="1" t="s">
        <v>33</v>
      </c>
      <c r="N161" s="1" t="s">
        <v>1102</v>
      </c>
      <c r="O161" s="1" t="s">
        <v>35</v>
      </c>
      <c r="P161" s="1" t="s">
        <v>1099</v>
      </c>
      <c r="Q161" s="1" t="s">
        <v>99</v>
      </c>
      <c r="R161" s="1" t="s">
        <v>37</v>
      </c>
      <c r="S161" s="1" t="s">
        <v>37</v>
      </c>
      <c r="T161" s="1" t="s">
        <v>37</v>
      </c>
      <c r="U161" s="1" t="s">
        <v>37</v>
      </c>
    </row>
    <row r="162" spans="1:21">
      <c r="A162" s="1" t="s">
        <v>1103</v>
      </c>
      <c r="B162" s="1" t="s">
        <v>39</v>
      </c>
      <c r="C162" s="1" t="s">
        <v>40</v>
      </c>
      <c r="D162" s="1" t="s">
        <v>41</v>
      </c>
      <c r="E162" s="1" t="s">
        <v>25</v>
      </c>
      <c r="F162" s="1" t="s">
        <v>117</v>
      </c>
      <c r="G162" s="1" t="s">
        <v>1104</v>
      </c>
      <c r="H162" s="1" t="s">
        <v>64</v>
      </c>
      <c r="I162" s="1" t="s">
        <v>1105</v>
      </c>
      <c r="J162" s="1" t="s">
        <v>1106</v>
      </c>
      <c r="K162" s="1" t="s">
        <v>823</v>
      </c>
      <c r="L162" s="1" t="s">
        <v>284</v>
      </c>
      <c r="M162" s="1" t="s">
        <v>59</v>
      </c>
      <c r="N162" s="1" t="s">
        <v>1107</v>
      </c>
      <c r="O162" s="1" t="s">
        <v>35</v>
      </c>
      <c r="P162" s="1" t="s">
        <v>1105</v>
      </c>
      <c r="Q162" s="1" t="s">
        <v>638</v>
      </c>
      <c r="R162" s="1" t="s">
        <v>37</v>
      </c>
      <c r="S162" s="1" t="s">
        <v>37</v>
      </c>
      <c r="T162" s="1" t="s">
        <v>37</v>
      </c>
      <c r="U162" s="1" t="s">
        <v>37</v>
      </c>
    </row>
    <row r="163" spans="1:21">
      <c r="A163" s="1" t="s">
        <v>1108</v>
      </c>
      <c r="B163" s="1" t="s">
        <v>22</v>
      </c>
      <c r="C163" s="1" t="s">
        <v>23</v>
      </c>
      <c r="D163" s="1" t="s">
        <v>41</v>
      </c>
      <c r="E163" s="1" t="s">
        <v>992</v>
      </c>
      <c r="F163" s="1" t="s">
        <v>72</v>
      </c>
      <c r="G163" s="1" t="s">
        <v>1109</v>
      </c>
      <c r="H163" s="1" t="s">
        <v>253</v>
      </c>
      <c r="I163" s="1" t="s">
        <v>1110</v>
      </c>
      <c r="J163" s="1" t="s">
        <v>1111</v>
      </c>
      <c r="K163" s="1" t="s">
        <v>93</v>
      </c>
      <c r="L163" s="1" t="s">
        <v>1112</v>
      </c>
      <c r="M163" s="1" t="s">
        <v>49</v>
      </c>
      <c r="N163" s="1" t="s">
        <v>1109</v>
      </c>
      <c r="O163" s="1" t="s">
        <v>35</v>
      </c>
      <c r="P163" s="1" t="s">
        <v>1110</v>
      </c>
      <c r="Q163" s="1" t="s">
        <v>90</v>
      </c>
      <c r="R163" s="1" t="s">
        <v>37</v>
      </c>
      <c r="S163" s="1" t="s">
        <v>37</v>
      </c>
      <c r="T163" s="1" t="s">
        <v>37</v>
      </c>
      <c r="U163" s="1" t="s">
        <v>37</v>
      </c>
    </row>
    <row r="164" spans="1:21">
      <c r="A164" s="1" t="s">
        <v>1113</v>
      </c>
      <c r="B164" s="1" t="s">
        <v>22</v>
      </c>
      <c r="C164" s="1" t="s">
        <v>23</v>
      </c>
      <c r="D164" s="1" t="s">
        <v>41</v>
      </c>
      <c r="E164" s="1" t="s">
        <v>992</v>
      </c>
      <c r="F164" s="1" t="s">
        <v>117</v>
      </c>
      <c r="G164" s="1" t="s">
        <v>1114</v>
      </c>
      <c r="H164" s="1" t="s">
        <v>28</v>
      </c>
      <c r="I164" s="1" t="s">
        <v>1115</v>
      </c>
      <c r="J164" s="1" t="s">
        <v>1116</v>
      </c>
      <c r="K164" s="1" t="s">
        <v>522</v>
      </c>
      <c r="L164" s="1" t="s">
        <v>1117</v>
      </c>
      <c r="M164" s="1" t="s">
        <v>59</v>
      </c>
      <c r="N164" s="1" t="s">
        <v>1118</v>
      </c>
      <c r="O164" s="1" t="s">
        <v>35</v>
      </c>
      <c r="P164" s="1" t="s">
        <v>1115</v>
      </c>
      <c r="Q164" s="1" t="s">
        <v>28</v>
      </c>
      <c r="R164" s="1" t="s">
        <v>37</v>
      </c>
      <c r="S164" s="1" t="s">
        <v>37</v>
      </c>
      <c r="T164" s="1" t="s">
        <v>37</v>
      </c>
      <c r="U164" s="1" t="s">
        <v>37</v>
      </c>
    </row>
    <row r="165" spans="1:21">
      <c r="A165" s="1" t="s">
        <v>1119</v>
      </c>
      <c r="B165" s="1" t="s">
        <v>39</v>
      </c>
      <c r="C165" s="1" t="s">
        <v>40</v>
      </c>
      <c r="D165" s="1" t="s">
        <v>41</v>
      </c>
      <c r="E165" s="1" t="s">
        <v>992</v>
      </c>
      <c r="F165" s="1" t="s">
        <v>72</v>
      </c>
      <c r="G165" s="1" t="s">
        <v>50</v>
      </c>
      <c r="H165" s="1" t="s">
        <v>107</v>
      </c>
      <c r="I165" s="1" t="s">
        <v>1120</v>
      </c>
      <c r="J165" s="1" t="s">
        <v>1121</v>
      </c>
      <c r="K165" s="1" t="s">
        <v>1122</v>
      </c>
      <c r="L165" s="1" t="s">
        <v>1123</v>
      </c>
      <c r="M165" s="1" t="s">
        <v>33</v>
      </c>
      <c r="N165" s="1" t="s">
        <v>1124</v>
      </c>
      <c r="O165" s="1" t="s">
        <v>35</v>
      </c>
      <c r="P165" s="1" t="s">
        <v>1120</v>
      </c>
      <c r="Q165" s="1" t="s">
        <v>434</v>
      </c>
      <c r="R165" s="1" t="s">
        <v>37</v>
      </c>
      <c r="S165" s="1" t="s">
        <v>37</v>
      </c>
      <c r="T165" s="1" t="s">
        <v>37</v>
      </c>
      <c r="U165" s="1" t="s">
        <v>37</v>
      </c>
    </row>
    <row r="166" spans="1:21">
      <c r="A166" s="1" t="s">
        <v>1125</v>
      </c>
      <c r="B166" s="1" t="s">
        <v>115</v>
      </c>
      <c r="C166" s="1" t="s">
        <v>116</v>
      </c>
      <c r="D166" s="1" t="s">
        <v>41</v>
      </c>
      <c r="E166" s="1" t="s">
        <v>992</v>
      </c>
      <c r="F166" s="1" t="s">
        <v>117</v>
      </c>
      <c r="G166" s="1" t="s">
        <v>1126</v>
      </c>
      <c r="H166" s="1" t="s">
        <v>99</v>
      </c>
      <c r="I166" s="1" t="s">
        <v>1127</v>
      </c>
      <c r="J166" s="1" t="s">
        <v>1128</v>
      </c>
      <c r="K166" s="1" t="s">
        <v>122</v>
      </c>
      <c r="L166" s="1" t="s">
        <v>1129</v>
      </c>
      <c r="M166" s="1" t="s">
        <v>59</v>
      </c>
      <c r="N166" s="1" t="s">
        <v>1130</v>
      </c>
      <c r="O166" s="1" t="s">
        <v>35</v>
      </c>
      <c r="P166" s="1" t="s">
        <v>1127</v>
      </c>
      <c r="Q166" s="1" t="s">
        <v>125</v>
      </c>
      <c r="R166" s="1" t="s">
        <v>37</v>
      </c>
      <c r="S166" s="1" t="s">
        <v>37</v>
      </c>
      <c r="T166" s="1" t="s">
        <v>37</v>
      </c>
      <c r="U166" s="1" t="s">
        <v>37</v>
      </c>
    </row>
    <row r="167" spans="1:21">
      <c r="A167" s="1" t="s">
        <v>1131</v>
      </c>
      <c r="B167" s="1" t="s">
        <v>115</v>
      </c>
      <c r="C167" s="1" t="s">
        <v>116</v>
      </c>
      <c r="D167" s="1" t="s">
        <v>24</v>
      </c>
      <c r="E167" s="1" t="s">
        <v>992</v>
      </c>
      <c r="F167" s="1" t="s">
        <v>26</v>
      </c>
      <c r="G167" s="1" t="s">
        <v>1132</v>
      </c>
      <c r="H167" s="1" t="s">
        <v>64</v>
      </c>
      <c r="I167" s="1" t="s">
        <v>1133</v>
      </c>
      <c r="J167" s="1" t="s">
        <v>1134</v>
      </c>
      <c r="K167" s="1" t="s">
        <v>93</v>
      </c>
      <c r="L167" s="1" t="s">
        <v>1135</v>
      </c>
      <c r="M167" s="1" t="s">
        <v>33</v>
      </c>
      <c r="N167" s="1" t="s">
        <v>1136</v>
      </c>
      <c r="O167" s="1" t="s">
        <v>35</v>
      </c>
      <c r="P167" s="1" t="s">
        <v>1133</v>
      </c>
      <c r="Q167" s="1" t="s">
        <v>366</v>
      </c>
      <c r="R167" s="1" t="s">
        <v>37</v>
      </c>
      <c r="S167" s="1" t="s">
        <v>37</v>
      </c>
      <c r="T167" s="1" t="s">
        <v>37</v>
      </c>
      <c r="U167" s="1" t="s">
        <v>37</v>
      </c>
    </row>
    <row r="168" spans="1:21">
      <c r="A168" s="1" t="s">
        <v>1137</v>
      </c>
      <c r="B168" s="1" t="s">
        <v>39</v>
      </c>
      <c r="C168" s="1" t="s">
        <v>40</v>
      </c>
      <c r="D168" s="1" t="s">
        <v>41</v>
      </c>
      <c r="E168" s="1" t="s">
        <v>992</v>
      </c>
      <c r="F168" s="1" t="s">
        <v>53</v>
      </c>
      <c r="G168" s="1" t="s">
        <v>1138</v>
      </c>
      <c r="H168" s="1" t="s">
        <v>99</v>
      </c>
      <c r="I168" s="1" t="s">
        <v>1139</v>
      </c>
      <c r="J168" s="1" t="s">
        <v>1140</v>
      </c>
      <c r="K168" s="1" t="s">
        <v>847</v>
      </c>
      <c r="L168" s="1" t="s">
        <v>1141</v>
      </c>
      <c r="M168" s="1" t="s">
        <v>49</v>
      </c>
      <c r="N168" s="1" t="s">
        <v>1142</v>
      </c>
      <c r="O168" s="1" t="s">
        <v>35</v>
      </c>
      <c r="P168" s="1" t="s">
        <v>1139</v>
      </c>
      <c r="Q168" s="1" t="s">
        <v>212</v>
      </c>
      <c r="R168" s="1" t="s">
        <v>37</v>
      </c>
      <c r="S168" s="1" t="s">
        <v>37</v>
      </c>
      <c r="T168" s="1" t="s">
        <v>37</v>
      </c>
      <c r="U168" s="1" t="s">
        <v>37</v>
      </c>
    </row>
    <row r="169" spans="1:21">
      <c r="A169" s="1" t="s">
        <v>1143</v>
      </c>
      <c r="B169" s="1" t="s">
        <v>22</v>
      </c>
      <c r="C169" s="1" t="s">
        <v>23</v>
      </c>
      <c r="D169" s="1" t="s">
        <v>41</v>
      </c>
      <c r="E169" s="1" t="s">
        <v>992</v>
      </c>
      <c r="F169" s="1" t="s">
        <v>127</v>
      </c>
      <c r="G169" s="1" t="s">
        <v>1144</v>
      </c>
      <c r="H169" s="1" t="s">
        <v>99</v>
      </c>
      <c r="I169" s="1" t="s">
        <v>1145</v>
      </c>
      <c r="J169" s="1" t="s">
        <v>1146</v>
      </c>
      <c r="K169" s="1" t="s">
        <v>76</v>
      </c>
      <c r="L169" s="1" t="s">
        <v>1147</v>
      </c>
      <c r="M169" s="1" t="s">
        <v>59</v>
      </c>
      <c r="N169" s="1" t="s">
        <v>1148</v>
      </c>
      <c r="O169" s="1" t="s">
        <v>35</v>
      </c>
      <c r="P169" s="1" t="s">
        <v>1145</v>
      </c>
      <c r="Q169" s="1" t="s">
        <v>576</v>
      </c>
      <c r="R169" s="1" t="s">
        <v>37</v>
      </c>
      <c r="S169" s="1" t="s">
        <v>37</v>
      </c>
      <c r="T169" s="1" t="s">
        <v>37</v>
      </c>
      <c r="U169" s="1" t="s">
        <v>37</v>
      </c>
    </row>
    <row r="170" spans="1:21">
      <c r="A170" s="1" t="s">
        <v>1149</v>
      </c>
      <c r="B170" s="1" t="s">
        <v>22</v>
      </c>
      <c r="C170" s="1" t="s">
        <v>23</v>
      </c>
      <c r="D170" s="1" t="s">
        <v>41</v>
      </c>
      <c r="E170" s="1" t="s">
        <v>992</v>
      </c>
      <c r="F170" s="1" t="s">
        <v>117</v>
      </c>
      <c r="G170" s="1" t="s">
        <v>1150</v>
      </c>
      <c r="H170" s="1" t="s">
        <v>90</v>
      </c>
      <c r="I170" s="1" t="s">
        <v>1151</v>
      </c>
      <c r="J170" s="1" t="s">
        <v>1152</v>
      </c>
      <c r="K170" s="1" t="s">
        <v>823</v>
      </c>
      <c r="L170" s="1" t="s">
        <v>1153</v>
      </c>
      <c r="M170" s="1" t="s">
        <v>49</v>
      </c>
      <c r="N170" s="1" t="s">
        <v>1154</v>
      </c>
      <c r="O170" s="1" t="s">
        <v>35</v>
      </c>
      <c r="P170" s="1" t="s">
        <v>1151</v>
      </c>
      <c r="Q170" s="1" t="s">
        <v>434</v>
      </c>
      <c r="R170" s="1" t="s">
        <v>37</v>
      </c>
      <c r="S170" s="1" t="s">
        <v>37</v>
      </c>
      <c r="T170" s="1" t="s">
        <v>37</v>
      </c>
      <c r="U170" s="1" t="s">
        <v>37</v>
      </c>
    </row>
    <row r="171" spans="1:21">
      <c r="A171" s="1" t="s">
        <v>1155</v>
      </c>
      <c r="B171" s="1" t="s">
        <v>22</v>
      </c>
      <c r="C171" s="1" t="s">
        <v>23</v>
      </c>
      <c r="D171" s="1" t="s">
        <v>24</v>
      </c>
      <c r="E171" s="1" t="s">
        <v>992</v>
      </c>
      <c r="F171" s="1" t="s">
        <v>72</v>
      </c>
      <c r="G171" s="1" t="s">
        <v>1156</v>
      </c>
      <c r="H171" s="1" t="s">
        <v>28</v>
      </c>
      <c r="I171" s="1" t="s">
        <v>1157</v>
      </c>
      <c r="J171" s="1" t="s">
        <v>1158</v>
      </c>
      <c r="K171" s="1" t="s">
        <v>749</v>
      </c>
      <c r="L171" s="1" t="s">
        <v>426</v>
      </c>
      <c r="M171" s="1" t="s">
        <v>59</v>
      </c>
      <c r="N171" s="1" t="s">
        <v>1159</v>
      </c>
      <c r="O171" s="1" t="s">
        <v>35</v>
      </c>
      <c r="P171" s="1" t="s">
        <v>1157</v>
      </c>
      <c r="Q171" s="1" t="s">
        <v>250</v>
      </c>
      <c r="R171" s="1" t="s">
        <v>37</v>
      </c>
      <c r="S171" s="1" t="s">
        <v>37</v>
      </c>
      <c r="T171" s="1" t="s">
        <v>37</v>
      </c>
      <c r="U171" s="1" t="s">
        <v>37</v>
      </c>
    </row>
    <row r="172" spans="1:21">
      <c r="A172" s="1" t="s">
        <v>1160</v>
      </c>
      <c r="B172" s="1" t="s">
        <v>22</v>
      </c>
      <c r="C172" s="1" t="s">
        <v>23</v>
      </c>
      <c r="D172" s="1" t="s">
        <v>41</v>
      </c>
      <c r="E172" s="1" t="s">
        <v>992</v>
      </c>
      <c r="F172" s="1" t="s">
        <v>26</v>
      </c>
      <c r="G172" s="1" t="s">
        <v>1161</v>
      </c>
      <c r="H172" s="1" t="s">
        <v>44</v>
      </c>
      <c r="I172" s="1" t="s">
        <v>1162</v>
      </c>
      <c r="J172" s="1" t="s">
        <v>1163</v>
      </c>
      <c r="K172" s="1" t="s">
        <v>1164</v>
      </c>
      <c r="L172" s="1" t="s">
        <v>1165</v>
      </c>
      <c r="M172" s="1" t="s">
        <v>33</v>
      </c>
      <c r="N172" s="1" t="s">
        <v>1166</v>
      </c>
      <c r="O172" s="1" t="s">
        <v>35</v>
      </c>
      <c r="P172" s="1" t="s">
        <v>1162</v>
      </c>
      <c r="Q172" s="1" t="s">
        <v>618</v>
      </c>
      <c r="R172" s="1" t="s">
        <v>37</v>
      </c>
      <c r="S172" s="1" t="s">
        <v>37</v>
      </c>
      <c r="T172" s="1" t="s">
        <v>37</v>
      </c>
      <c r="U172" s="1" t="s">
        <v>37</v>
      </c>
    </row>
    <row r="173" spans="1:21">
      <c r="A173" s="1" t="s">
        <v>1167</v>
      </c>
      <c r="B173" s="1" t="s">
        <v>115</v>
      </c>
      <c r="C173" s="1" t="s">
        <v>116</v>
      </c>
      <c r="D173" s="1" t="s">
        <v>24</v>
      </c>
      <c r="E173" s="1" t="s">
        <v>992</v>
      </c>
      <c r="F173" s="1" t="s">
        <v>117</v>
      </c>
      <c r="G173" s="1" t="s">
        <v>1168</v>
      </c>
      <c r="H173" s="1" t="s">
        <v>44</v>
      </c>
      <c r="I173" s="1" t="s">
        <v>1169</v>
      </c>
      <c r="J173" s="1" t="s">
        <v>1170</v>
      </c>
      <c r="K173" s="1" t="s">
        <v>623</v>
      </c>
      <c r="L173" s="1" t="s">
        <v>405</v>
      </c>
      <c r="M173" s="1" t="s">
        <v>59</v>
      </c>
      <c r="N173" s="1" t="s">
        <v>1171</v>
      </c>
      <c r="O173" s="1" t="s">
        <v>35</v>
      </c>
      <c r="P173" s="1" t="s">
        <v>1169</v>
      </c>
      <c r="Q173" s="1" t="s">
        <v>583</v>
      </c>
      <c r="R173" s="1" t="s">
        <v>37</v>
      </c>
      <c r="S173" s="1" t="s">
        <v>37</v>
      </c>
      <c r="T173" s="1" t="s">
        <v>37</v>
      </c>
      <c r="U173" s="1" t="s">
        <v>37</v>
      </c>
    </row>
    <row r="174" spans="1:21">
      <c r="A174" s="1" t="s">
        <v>1172</v>
      </c>
      <c r="B174" s="1" t="s">
        <v>39</v>
      </c>
      <c r="C174" s="1" t="s">
        <v>40</v>
      </c>
      <c r="D174" s="1" t="s">
        <v>41</v>
      </c>
      <c r="E174" s="1" t="s">
        <v>992</v>
      </c>
      <c r="F174" s="1" t="s">
        <v>42</v>
      </c>
      <c r="G174" s="1" t="s">
        <v>1173</v>
      </c>
      <c r="H174" s="1" t="s">
        <v>64</v>
      </c>
      <c r="I174" s="1" t="s">
        <v>1174</v>
      </c>
      <c r="J174" s="1" t="s">
        <v>1175</v>
      </c>
      <c r="K174" s="1" t="s">
        <v>57</v>
      </c>
      <c r="L174" s="1" t="s">
        <v>1176</v>
      </c>
      <c r="M174" s="1" t="s">
        <v>49</v>
      </c>
      <c r="N174" s="1" t="s">
        <v>1177</v>
      </c>
      <c r="O174" s="1" t="s">
        <v>35</v>
      </c>
      <c r="P174" s="1" t="s">
        <v>1174</v>
      </c>
      <c r="Q174" s="1" t="s">
        <v>359</v>
      </c>
      <c r="R174" s="1" t="s">
        <v>37</v>
      </c>
      <c r="S174" s="1" t="s">
        <v>37</v>
      </c>
      <c r="T174" s="1" t="s">
        <v>37</v>
      </c>
      <c r="U174" s="1" t="s">
        <v>37</v>
      </c>
    </row>
    <row r="175" spans="1:21">
      <c r="A175" s="1" t="s">
        <v>1178</v>
      </c>
      <c r="B175" s="1" t="s">
        <v>115</v>
      </c>
      <c r="C175" s="1" t="s">
        <v>116</v>
      </c>
      <c r="D175" s="1" t="s">
        <v>24</v>
      </c>
      <c r="E175" s="1" t="s">
        <v>992</v>
      </c>
      <c r="F175" s="1" t="s">
        <v>42</v>
      </c>
      <c r="G175" s="1" t="s">
        <v>1179</v>
      </c>
      <c r="H175" s="1" t="s">
        <v>90</v>
      </c>
      <c r="I175" s="1" t="s">
        <v>1180</v>
      </c>
      <c r="J175" s="1" t="s">
        <v>1181</v>
      </c>
      <c r="K175" s="1" t="s">
        <v>823</v>
      </c>
      <c r="L175" s="1" t="s">
        <v>1182</v>
      </c>
      <c r="M175" s="1" t="s">
        <v>59</v>
      </c>
      <c r="N175" s="1" t="s">
        <v>1183</v>
      </c>
      <c r="O175" s="1" t="s">
        <v>35</v>
      </c>
      <c r="P175" s="1" t="s">
        <v>1180</v>
      </c>
      <c r="Q175" s="1" t="s">
        <v>971</v>
      </c>
      <c r="R175" s="1" t="s">
        <v>37</v>
      </c>
      <c r="S175" s="1" t="s">
        <v>37</v>
      </c>
      <c r="T175" s="1" t="s">
        <v>37</v>
      </c>
      <c r="U175" s="1" t="s">
        <v>37</v>
      </c>
    </row>
    <row r="176" spans="1:21">
      <c r="A176" s="1" t="s">
        <v>1184</v>
      </c>
      <c r="B176" s="1" t="s">
        <v>115</v>
      </c>
      <c r="C176" s="1" t="s">
        <v>116</v>
      </c>
      <c r="D176" s="1" t="s">
        <v>41</v>
      </c>
      <c r="E176" s="1" t="s">
        <v>992</v>
      </c>
      <c r="F176" s="1" t="s">
        <v>117</v>
      </c>
      <c r="G176" s="1" t="s">
        <v>1185</v>
      </c>
      <c r="H176" s="1" t="s">
        <v>64</v>
      </c>
      <c r="I176" s="1" t="s">
        <v>1186</v>
      </c>
      <c r="J176" s="1" t="s">
        <v>1187</v>
      </c>
      <c r="K176" s="1" t="s">
        <v>962</v>
      </c>
      <c r="L176" s="1" t="s">
        <v>1188</v>
      </c>
      <c r="M176" s="1" t="s">
        <v>33</v>
      </c>
      <c r="N176" s="1" t="s">
        <v>1189</v>
      </c>
      <c r="O176" s="1" t="s">
        <v>35</v>
      </c>
      <c r="P176" s="1" t="s">
        <v>1186</v>
      </c>
      <c r="Q176" s="1" t="s">
        <v>576</v>
      </c>
      <c r="R176" s="1" t="s">
        <v>37</v>
      </c>
      <c r="S176" s="1" t="s">
        <v>37</v>
      </c>
      <c r="T176" s="1" t="s">
        <v>37</v>
      </c>
      <c r="U176" s="1" t="s">
        <v>37</v>
      </c>
    </row>
    <row r="177" spans="1:21">
      <c r="A177" s="1" t="s">
        <v>1190</v>
      </c>
      <c r="B177" s="1" t="s">
        <v>22</v>
      </c>
      <c r="C177" s="1" t="s">
        <v>23</v>
      </c>
      <c r="D177" s="1" t="s">
        <v>24</v>
      </c>
      <c r="E177" s="1" t="s">
        <v>992</v>
      </c>
      <c r="F177" s="1" t="s">
        <v>53</v>
      </c>
      <c r="G177" s="1" t="s">
        <v>1191</v>
      </c>
      <c r="H177" s="1" t="s">
        <v>275</v>
      </c>
      <c r="I177" s="1" t="s">
        <v>1192</v>
      </c>
      <c r="J177" s="1" t="s">
        <v>1193</v>
      </c>
      <c r="K177" s="1" t="s">
        <v>1194</v>
      </c>
      <c r="L177" s="1" t="s">
        <v>1112</v>
      </c>
      <c r="M177" s="1" t="s">
        <v>33</v>
      </c>
      <c r="N177" s="1" t="s">
        <v>1195</v>
      </c>
      <c r="O177" s="1" t="s">
        <v>35</v>
      </c>
      <c r="P177" s="1" t="s">
        <v>1192</v>
      </c>
      <c r="Q177" s="1" t="s">
        <v>944</v>
      </c>
      <c r="R177" s="1" t="s">
        <v>37</v>
      </c>
      <c r="S177" s="1" t="s">
        <v>37</v>
      </c>
      <c r="T177" s="1" t="s">
        <v>37</v>
      </c>
      <c r="U177" s="1" t="s">
        <v>37</v>
      </c>
    </row>
    <row r="178" spans="1:21">
      <c r="A178" s="1" t="s">
        <v>1196</v>
      </c>
      <c r="B178" s="1" t="s">
        <v>22</v>
      </c>
      <c r="C178" s="1" t="s">
        <v>23</v>
      </c>
      <c r="D178" s="1" t="s">
        <v>24</v>
      </c>
      <c r="E178" s="1" t="s">
        <v>992</v>
      </c>
      <c r="F178" s="1" t="s">
        <v>117</v>
      </c>
      <c r="G178" s="1" t="s">
        <v>1197</v>
      </c>
      <c r="H178" s="1" t="s">
        <v>64</v>
      </c>
      <c r="I178" s="1" t="s">
        <v>1198</v>
      </c>
      <c r="J178" s="1" t="s">
        <v>1199</v>
      </c>
      <c r="K178" s="1" t="s">
        <v>57</v>
      </c>
      <c r="L178" s="1" t="s">
        <v>1200</v>
      </c>
      <c r="M178" s="1" t="s">
        <v>59</v>
      </c>
      <c r="N178" s="1" t="s">
        <v>1201</v>
      </c>
      <c r="O178" s="1" t="s">
        <v>35</v>
      </c>
      <c r="P178" s="1" t="s">
        <v>1198</v>
      </c>
      <c r="Q178" s="1" t="s">
        <v>51</v>
      </c>
      <c r="R178" s="1" t="s">
        <v>37</v>
      </c>
      <c r="S178" s="1" t="s">
        <v>37</v>
      </c>
      <c r="T178" s="1" t="s">
        <v>37</v>
      </c>
      <c r="U178" s="1" t="s">
        <v>37</v>
      </c>
    </row>
    <row r="179" spans="1:21">
      <c r="A179" s="1" t="s">
        <v>1202</v>
      </c>
      <c r="B179" s="1" t="s">
        <v>39</v>
      </c>
      <c r="C179" s="1" t="s">
        <v>40</v>
      </c>
      <c r="D179" s="1" t="s">
        <v>41</v>
      </c>
      <c r="E179" s="1" t="s">
        <v>25</v>
      </c>
      <c r="F179" s="1" t="s">
        <v>127</v>
      </c>
      <c r="G179" s="1" t="s">
        <v>1203</v>
      </c>
      <c r="H179" s="1" t="s">
        <v>28</v>
      </c>
      <c r="I179" s="1" t="s">
        <v>1204</v>
      </c>
      <c r="J179" s="1" t="s">
        <v>1205</v>
      </c>
      <c r="K179" s="1" t="s">
        <v>1206</v>
      </c>
      <c r="L179" s="1" t="s">
        <v>1207</v>
      </c>
      <c r="M179" s="1" t="s">
        <v>59</v>
      </c>
      <c r="N179" s="1" t="s">
        <v>1208</v>
      </c>
      <c r="O179" s="1" t="s">
        <v>35</v>
      </c>
      <c r="P179" s="1" t="s">
        <v>1204</v>
      </c>
      <c r="Q179" s="1" t="s">
        <v>212</v>
      </c>
      <c r="R179" s="1" t="s">
        <v>37</v>
      </c>
      <c r="S179" s="1" t="s">
        <v>37</v>
      </c>
      <c r="T179" s="1" t="s">
        <v>37</v>
      </c>
      <c r="U179" s="1" t="s">
        <v>37</v>
      </c>
    </row>
    <row r="180" spans="1:21">
      <c r="A180" s="1" t="s">
        <v>1209</v>
      </c>
      <c r="B180" s="1" t="s">
        <v>22</v>
      </c>
      <c r="C180" s="1" t="s">
        <v>23</v>
      </c>
      <c r="D180" s="1" t="s">
        <v>41</v>
      </c>
      <c r="E180" s="1" t="s">
        <v>992</v>
      </c>
      <c r="F180" s="1" t="s">
        <v>117</v>
      </c>
      <c r="G180" s="1" t="s">
        <v>1210</v>
      </c>
      <c r="H180" s="1" t="s">
        <v>90</v>
      </c>
      <c r="I180" s="1" t="s">
        <v>1211</v>
      </c>
      <c r="J180" s="1" t="s">
        <v>1212</v>
      </c>
      <c r="K180" s="1" t="s">
        <v>335</v>
      </c>
      <c r="L180" s="1" t="s">
        <v>1213</v>
      </c>
      <c r="M180" s="1" t="s">
        <v>33</v>
      </c>
      <c r="N180" s="1" t="s">
        <v>1214</v>
      </c>
      <c r="O180" s="1" t="s">
        <v>35</v>
      </c>
      <c r="P180" s="1" t="s">
        <v>1211</v>
      </c>
      <c r="Q180" s="1" t="s">
        <v>205</v>
      </c>
      <c r="R180" s="1" t="s">
        <v>37</v>
      </c>
      <c r="S180" s="1" t="s">
        <v>37</v>
      </c>
      <c r="T180" s="1" t="s">
        <v>37</v>
      </c>
      <c r="U180" s="1" t="s">
        <v>37</v>
      </c>
    </row>
    <row r="181" spans="1:21">
      <c r="A181" s="1" t="s">
        <v>1215</v>
      </c>
      <c r="B181" s="1" t="s">
        <v>39</v>
      </c>
      <c r="C181" s="1" t="s">
        <v>40</v>
      </c>
      <c r="D181" s="1" t="s">
        <v>24</v>
      </c>
      <c r="E181" s="1" t="s">
        <v>992</v>
      </c>
      <c r="F181" s="1" t="s">
        <v>26</v>
      </c>
      <c r="G181" s="1" t="s">
        <v>1216</v>
      </c>
      <c r="H181" s="1" t="s">
        <v>119</v>
      </c>
      <c r="I181" s="1" t="s">
        <v>1217</v>
      </c>
      <c r="J181" s="1" t="s">
        <v>1218</v>
      </c>
      <c r="K181" s="1" t="s">
        <v>290</v>
      </c>
      <c r="L181" s="1" t="s">
        <v>1219</v>
      </c>
      <c r="M181" s="1" t="s">
        <v>33</v>
      </c>
      <c r="N181" s="1" t="s">
        <v>1220</v>
      </c>
      <c r="O181" s="1" t="s">
        <v>35</v>
      </c>
      <c r="P181" s="1" t="s">
        <v>1217</v>
      </c>
      <c r="Q181" s="1" t="s">
        <v>235</v>
      </c>
      <c r="R181" s="1" t="s">
        <v>37</v>
      </c>
      <c r="S181" s="1" t="s">
        <v>37</v>
      </c>
      <c r="T181" s="1" t="s">
        <v>37</v>
      </c>
      <c r="U181" s="1" t="s">
        <v>37</v>
      </c>
    </row>
    <row r="182" spans="1:21">
      <c r="A182" s="1" t="s">
        <v>1221</v>
      </c>
      <c r="B182" s="1" t="s">
        <v>39</v>
      </c>
      <c r="C182" s="1" t="s">
        <v>40</v>
      </c>
      <c r="D182" s="1" t="s">
        <v>41</v>
      </c>
      <c r="E182" s="1" t="s">
        <v>992</v>
      </c>
      <c r="F182" s="1" t="s">
        <v>127</v>
      </c>
      <c r="G182" s="1" t="s">
        <v>1222</v>
      </c>
      <c r="H182" s="1" t="s">
        <v>28</v>
      </c>
      <c r="I182" s="1" t="s">
        <v>1223</v>
      </c>
      <c r="J182" s="1" t="s">
        <v>1224</v>
      </c>
      <c r="K182" s="1" t="s">
        <v>718</v>
      </c>
      <c r="L182" s="1" t="s">
        <v>1225</v>
      </c>
      <c r="M182" s="1" t="s">
        <v>49</v>
      </c>
      <c r="N182" s="1" t="s">
        <v>1226</v>
      </c>
      <c r="O182" s="1" t="s">
        <v>35</v>
      </c>
      <c r="P182" s="1" t="s">
        <v>1223</v>
      </c>
      <c r="Q182" s="1" t="s">
        <v>167</v>
      </c>
      <c r="R182" s="1" t="s">
        <v>37</v>
      </c>
      <c r="S182" s="1" t="s">
        <v>37</v>
      </c>
      <c r="T182" s="1" t="s">
        <v>37</v>
      </c>
      <c r="U182" s="1" t="s">
        <v>37</v>
      </c>
    </row>
    <row r="183" spans="1:21">
      <c r="A183" s="1" t="s">
        <v>1227</v>
      </c>
      <c r="B183" s="1" t="s">
        <v>39</v>
      </c>
      <c r="C183" s="1" t="s">
        <v>40</v>
      </c>
      <c r="D183" s="1" t="s">
        <v>24</v>
      </c>
      <c r="E183" s="1" t="s">
        <v>992</v>
      </c>
      <c r="F183" s="1" t="s">
        <v>117</v>
      </c>
      <c r="G183" s="1" t="s">
        <v>1228</v>
      </c>
      <c r="H183" s="1" t="s">
        <v>64</v>
      </c>
      <c r="I183" s="1" t="s">
        <v>1229</v>
      </c>
      <c r="J183" s="1" t="s">
        <v>1230</v>
      </c>
      <c r="K183" s="1" t="s">
        <v>629</v>
      </c>
      <c r="L183" s="1" t="s">
        <v>1231</v>
      </c>
      <c r="M183" s="1" t="s">
        <v>49</v>
      </c>
      <c r="N183" s="1" t="s">
        <v>1232</v>
      </c>
      <c r="O183" s="1" t="s">
        <v>35</v>
      </c>
      <c r="P183" s="1" t="s">
        <v>1229</v>
      </c>
      <c r="Q183" s="1" t="s">
        <v>265</v>
      </c>
      <c r="R183" s="1" t="s">
        <v>37</v>
      </c>
      <c r="S183" s="1" t="s">
        <v>37</v>
      </c>
      <c r="T183" s="1" t="s">
        <v>37</v>
      </c>
      <c r="U183" s="1" t="s">
        <v>37</v>
      </c>
    </row>
    <row r="184" spans="1:21">
      <c r="A184" s="1" t="s">
        <v>1233</v>
      </c>
      <c r="B184" s="1" t="s">
        <v>22</v>
      </c>
      <c r="C184" s="1" t="s">
        <v>23</v>
      </c>
      <c r="D184" s="1" t="s">
        <v>24</v>
      </c>
      <c r="E184" s="1" t="s">
        <v>992</v>
      </c>
      <c r="F184" s="1" t="s">
        <v>72</v>
      </c>
      <c r="G184" s="1" t="s">
        <v>1234</v>
      </c>
      <c r="H184" s="1" t="s">
        <v>99</v>
      </c>
      <c r="I184" s="1" t="s">
        <v>1235</v>
      </c>
      <c r="J184" s="1" t="s">
        <v>1236</v>
      </c>
      <c r="K184" s="1" t="s">
        <v>335</v>
      </c>
      <c r="L184" s="1" t="s">
        <v>496</v>
      </c>
      <c r="M184" s="1" t="s">
        <v>33</v>
      </c>
      <c r="N184" s="1" t="s">
        <v>1237</v>
      </c>
      <c r="O184" s="1" t="s">
        <v>35</v>
      </c>
      <c r="P184" s="1" t="s">
        <v>1235</v>
      </c>
      <c r="Q184" s="1" t="s">
        <v>64</v>
      </c>
      <c r="R184" s="1" t="s">
        <v>37</v>
      </c>
      <c r="S184" s="1" t="s">
        <v>37</v>
      </c>
      <c r="T184" s="1" t="s">
        <v>37</v>
      </c>
      <c r="U184" s="1" t="s">
        <v>37</v>
      </c>
    </row>
    <row r="185" spans="1:21">
      <c r="A185" s="1" t="s">
        <v>1238</v>
      </c>
      <c r="B185" s="1" t="s">
        <v>39</v>
      </c>
      <c r="C185" s="1" t="s">
        <v>40</v>
      </c>
      <c r="D185" s="1" t="s">
        <v>41</v>
      </c>
      <c r="E185" s="1" t="s">
        <v>992</v>
      </c>
      <c r="F185" s="1" t="s">
        <v>26</v>
      </c>
      <c r="G185" s="1" t="s">
        <v>1239</v>
      </c>
      <c r="H185" s="1" t="s">
        <v>64</v>
      </c>
      <c r="I185" s="1" t="s">
        <v>1240</v>
      </c>
      <c r="J185" s="1" t="s">
        <v>1241</v>
      </c>
      <c r="K185" s="1" t="s">
        <v>270</v>
      </c>
      <c r="L185" s="1" t="s">
        <v>1242</v>
      </c>
      <c r="M185" s="1" t="s">
        <v>33</v>
      </c>
      <c r="N185" s="1" t="s">
        <v>1243</v>
      </c>
      <c r="O185" s="1" t="s">
        <v>35</v>
      </c>
      <c r="P185" s="1" t="s">
        <v>1240</v>
      </c>
      <c r="Q185" s="1" t="s">
        <v>167</v>
      </c>
      <c r="R185" s="1" t="s">
        <v>37</v>
      </c>
      <c r="S185" s="1" t="s">
        <v>37</v>
      </c>
      <c r="T185" s="1" t="s">
        <v>37</v>
      </c>
      <c r="U185" s="1" t="s">
        <v>37</v>
      </c>
    </row>
    <row r="186" spans="1:21">
      <c r="A186" s="1" t="s">
        <v>1244</v>
      </c>
      <c r="B186" s="1" t="s">
        <v>22</v>
      </c>
      <c r="C186" s="1" t="s">
        <v>23</v>
      </c>
      <c r="D186" s="1" t="s">
        <v>41</v>
      </c>
      <c r="E186" s="1" t="s">
        <v>25</v>
      </c>
      <c r="F186" s="1" t="s">
        <v>72</v>
      </c>
      <c r="G186" s="1" t="s">
        <v>1245</v>
      </c>
      <c r="H186" s="1" t="s">
        <v>28</v>
      </c>
      <c r="I186" s="1" t="s">
        <v>1246</v>
      </c>
      <c r="J186" s="1" t="s">
        <v>1247</v>
      </c>
      <c r="K186" s="1" t="s">
        <v>371</v>
      </c>
      <c r="L186" s="1" t="s">
        <v>1248</v>
      </c>
      <c r="M186" s="1" t="s">
        <v>59</v>
      </c>
      <c r="N186" s="1" t="s">
        <v>1249</v>
      </c>
      <c r="O186" s="1" t="s">
        <v>35</v>
      </c>
      <c r="P186" s="1" t="s">
        <v>1246</v>
      </c>
      <c r="Q186" s="1" t="s">
        <v>257</v>
      </c>
      <c r="R186" s="1" t="s">
        <v>37</v>
      </c>
      <c r="S186" s="1" t="s">
        <v>37</v>
      </c>
      <c r="T186" s="1" t="s">
        <v>37</v>
      </c>
      <c r="U186" s="1" t="s">
        <v>37</v>
      </c>
    </row>
    <row r="187" spans="1:21">
      <c r="A187" s="1" t="s">
        <v>1250</v>
      </c>
      <c r="B187" s="1" t="s">
        <v>115</v>
      </c>
      <c r="C187" s="1" t="s">
        <v>116</v>
      </c>
      <c r="D187" s="1" t="s">
        <v>24</v>
      </c>
      <c r="E187" s="1" t="s">
        <v>992</v>
      </c>
      <c r="F187" s="1" t="s">
        <v>117</v>
      </c>
      <c r="G187" s="1" t="s">
        <v>1251</v>
      </c>
      <c r="H187" s="1" t="s">
        <v>119</v>
      </c>
      <c r="I187" s="1" t="s">
        <v>1252</v>
      </c>
      <c r="J187" s="1" t="s">
        <v>1253</v>
      </c>
      <c r="K187" s="1" t="s">
        <v>217</v>
      </c>
      <c r="L187" s="1" t="s">
        <v>1254</v>
      </c>
      <c r="M187" s="1" t="s">
        <v>33</v>
      </c>
      <c r="N187" s="1" t="s">
        <v>1255</v>
      </c>
      <c r="O187" s="1" t="s">
        <v>35</v>
      </c>
      <c r="P187" s="1" t="s">
        <v>1252</v>
      </c>
      <c r="Q187" s="1" t="s">
        <v>64</v>
      </c>
      <c r="R187" s="1" t="s">
        <v>37</v>
      </c>
      <c r="S187" s="1" t="s">
        <v>37</v>
      </c>
      <c r="T187" s="1" t="s">
        <v>37</v>
      </c>
      <c r="U187" s="1" t="s">
        <v>37</v>
      </c>
    </row>
    <row r="188" spans="1:21">
      <c r="A188" s="1" t="s">
        <v>1256</v>
      </c>
      <c r="B188" s="1" t="s">
        <v>115</v>
      </c>
      <c r="C188" s="1" t="s">
        <v>116</v>
      </c>
      <c r="D188" s="1" t="s">
        <v>24</v>
      </c>
      <c r="E188" s="1" t="s">
        <v>25</v>
      </c>
      <c r="F188" s="1" t="s">
        <v>53</v>
      </c>
      <c r="G188" s="1" t="s">
        <v>1257</v>
      </c>
      <c r="H188" s="1" t="s">
        <v>64</v>
      </c>
      <c r="I188" s="1" t="s">
        <v>1258</v>
      </c>
      <c r="J188" s="1" t="s">
        <v>1259</v>
      </c>
      <c r="K188" s="1" t="s">
        <v>57</v>
      </c>
      <c r="L188" s="1" t="s">
        <v>1260</v>
      </c>
      <c r="M188" s="1" t="s">
        <v>33</v>
      </c>
      <c r="N188" s="1" t="s">
        <v>1261</v>
      </c>
      <c r="O188" s="1" t="s">
        <v>35</v>
      </c>
      <c r="P188" s="1" t="s">
        <v>1258</v>
      </c>
      <c r="Q188" s="1" t="s">
        <v>311</v>
      </c>
      <c r="R188" s="1" t="s">
        <v>37</v>
      </c>
      <c r="S188" s="1" t="s">
        <v>37</v>
      </c>
      <c r="T188" s="1" t="s">
        <v>37</v>
      </c>
      <c r="U188" s="1" t="s">
        <v>37</v>
      </c>
    </row>
    <row r="189" spans="1:21">
      <c r="A189" s="1" t="s">
        <v>1262</v>
      </c>
      <c r="B189" s="1" t="s">
        <v>115</v>
      </c>
      <c r="C189" s="1" t="s">
        <v>116</v>
      </c>
      <c r="D189" s="1" t="s">
        <v>24</v>
      </c>
      <c r="E189" s="1" t="s">
        <v>992</v>
      </c>
      <c r="F189" s="1" t="s">
        <v>53</v>
      </c>
      <c r="G189" s="1" t="s">
        <v>1263</v>
      </c>
      <c r="H189" s="1" t="s">
        <v>129</v>
      </c>
      <c r="I189" s="1" t="s">
        <v>1264</v>
      </c>
      <c r="J189" s="1" t="s">
        <v>1265</v>
      </c>
      <c r="K189" s="1" t="s">
        <v>76</v>
      </c>
      <c r="L189" s="1" t="s">
        <v>1266</v>
      </c>
      <c r="M189" s="1" t="s">
        <v>49</v>
      </c>
      <c r="N189" s="1" t="s">
        <v>1267</v>
      </c>
      <c r="O189" s="1" t="s">
        <v>35</v>
      </c>
      <c r="P189" s="1" t="s">
        <v>1264</v>
      </c>
      <c r="Q189" s="1" t="s">
        <v>28</v>
      </c>
      <c r="R189" s="1" t="s">
        <v>37</v>
      </c>
      <c r="S189" s="1" t="s">
        <v>37</v>
      </c>
      <c r="T189" s="1" t="s">
        <v>37</v>
      </c>
      <c r="U189" s="1" t="s">
        <v>37</v>
      </c>
    </row>
    <row r="190" spans="1:21">
      <c r="A190" s="1" t="s">
        <v>1268</v>
      </c>
      <c r="B190" s="1" t="s">
        <v>22</v>
      </c>
      <c r="C190" s="1" t="s">
        <v>23</v>
      </c>
      <c r="D190" s="1" t="s">
        <v>41</v>
      </c>
      <c r="E190" s="1" t="s">
        <v>992</v>
      </c>
      <c r="F190" s="1" t="s">
        <v>53</v>
      </c>
      <c r="G190" s="1" t="s">
        <v>1269</v>
      </c>
      <c r="H190" s="1" t="s">
        <v>253</v>
      </c>
      <c r="I190" s="1" t="s">
        <v>1270</v>
      </c>
      <c r="J190" s="1" t="s">
        <v>1271</v>
      </c>
      <c r="K190" s="1" t="s">
        <v>404</v>
      </c>
      <c r="L190" s="1" t="s">
        <v>1272</v>
      </c>
      <c r="M190" s="1" t="s">
        <v>33</v>
      </c>
      <c r="N190" s="1" t="s">
        <v>1269</v>
      </c>
      <c r="O190" s="1" t="s">
        <v>35</v>
      </c>
      <c r="P190" s="1" t="s">
        <v>1270</v>
      </c>
      <c r="Q190" s="1" t="s">
        <v>235</v>
      </c>
      <c r="R190" s="1" t="s">
        <v>37</v>
      </c>
      <c r="S190" s="1" t="s">
        <v>37</v>
      </c>
      <c r="T190" s="1" t="s">
        <v>37</v>
      </c>
      <c r="U190" s="1" t="s">
        <v>37</v>
      </c>
    </row>
    <row r="191" spans="1:21">
      <c r="A191" s="1" t="s">
        <v>1273</v>
      </c>
      <c r="B191" s="1" t="s">
        <v>39</v>
      </c>
      <c r="C191" s="1" t="s">
        <v>40</v>
      </c>
      <c r="D191" s="1" t="s">
        <v>41</v>
      </c>
      <c r="E191" s="1" t="s">
        <v>25</v>
      </c>
      <c r="F191" s="1" t="s">
        <v>53</v>
      </c>
      <c r="G191" s="1" t="s">
        <v>1274</v>
      </c>
      <c r="H191" s="1" t="s">
        <v>129</v>
      </c>
      <c r="I191" s="1" t="s">
        <v>1275</v>
      </c>
      <c r="J191" s="1" t="s">
        <v>1276</v>
      </c>
      <c r="K191" s="1" t="s">
        <v>290</v>
      </c>
      <c r="L191" s="1" t="s">
        <v>1277</v>
      </c>
      <c r="M191" s="1" t="s">
        <v>59</v>
      </c>
      <c r="N191" s="1" t="s">
        <v>1278</v>
      </c>
      <c r="O191" s="1" t="s">
        <v>35</v>
      </c>
      <c r="P191" s="1" t="s">
        <v>1275</v>
      </c>
      <c r="Q191" s="1" t="s">
        <v>125</v>
      </c>
      <c r="R191" s="1" t="s">
        <v>37</v>
      </c>
      <c r="S191" s="1" t="s">
        <v>37</v>
      </c>
      <c r="T191" s="1" t="s">
        <v>37</v>
      </c>
      <c r="U191" s="1" t="s">
        <v>37</v>
      </c>
    </row>
    <row r="192" spans="1:21">
      <c r="A192" s="1" t="s">
        <v>1279</v>
      </c>
      <c r="B192" s="1" t="s">
        <v>115</v>
      </c>
      <c r="C192" s="1" t="s">
        <v>116</v>
      </c>
      <c r="D192" s="1" t="s">
        <v>41</v>
      </c>
      <c r="E192" s="1" t="s">
        <v>25</v>
      </c>
      <c r="F192" s="1" t="s">
        <v>53</v>
      </c>
      <c r="G192" s="1" t="s">
        <v>1280</v>
      </c>
      <c r="H192" s="1" t="s">
        <v>119</v>
      </c>
      <c r="I192" s="1" t="s">
        <v>1281</v>
      </c>
      <c r="J192" s="1" t="s">
        <v>1282</v>
      </c>
      <c r="K192" s="1" t="s">
        <v>562</v>
      </c>
      <c r="L192" s="1" t="s">
        <v>188</v>
      </c>
      <c r="M192" s="1" t="s">
        <v>59</v>
      </c>
      <c r="N192" s="1" t="s">
        <v>1283</v>
      </c>
      <c r="O192" s="1" t="s">
        <v>35</v>
      </c>
      <c r="P192" s="1" t="s">
        <v>1281</v>
      </c>
      <c r="Q192" s="1" t="s">
        <v>113</v>
      </c>
      <c r="R192" s="1" t="s">
        <v>37</v>
      </c>
      <c r="S192" s="1" t="s">
        <v>37</v>
      </c>
      <c r="T192" s="1" t="s">
        <v>37</v>
      </c>
      <c r="U192" s="1" t="s">
        <v>37</v>
      </c>
    </row>
    <row r="193" spans="1:21">
      <c r="A193" s="1" t="s">
        <v>1284</v>
      </c>
      <c r="B193" s="1" t="s">
        <v>115</v>
      </c>
      <c r="C193" s="1" t="s">
        <v>116</v>
      </c>
      <c r="D193" s="1" t="s">
        <v>41</v>
      </c>
      <c r="E193" s="1" t="s">
        <v>25</v>
      </c>
      <c r="F193" s="1" t="s">
        <v>127</v>
      </c>
      <c r="G193" s="1" t="s">
        <v>1285</v>
      </c>
      <c r="H193" s="1" t="s">
        <v>107</v>
      </c>
      <c r="I193" s="1" t="s">
        <v>1286</v>
      </c>
      <c r="J193" s="1" t="s">
        <v>1287</v>
      </c>
      <c r="K193" s="1" t="s">
        <v>172</v>
      </c>
      <c r="L193" s="1" t="s">
        <v>1288</v>
      </c>
      <c r="M193" s="1" t="s">
        <v>33</v>
      </c>
      <c r="N193" s="1" t="s">
        <v>1289</v>
      </c>
      <c r="O193" s="1" t="s">
        <v>35</v>
      </c>
      <c r="P193" s="1" t="s">
        <v>1286</v>
      </c>
      <c r="Q193" s="1" t="s">
        <v>182</v>
      </c>
      <c r="R193" s="1" t="s">
        <v>37</v>
      </c>
      <c r="S193" s="1" t="s">
        <v>37</v>
      </c>
      <c r="T193" s="1" t="s">
        <v>37</v>
      </c>
      <c r="U193" s="1" t="s">
        <v>37</v>
      </c>
    </row>
    <row r="194" spans="1:21">
      <c r="A194" s="1" t="s">
        <v>1290</v>
      </c>
      <c r="B194" s="1" t="s">
        <v>39</v>
      </c>
      <c r="C194" s="1" t="s">
        <v>40</v>
      </c>
      <c r="D194" s="1" t="s">
        <v>41</v>
      </c>
      <c r="E194" s="1" t="s">
        <v>25</v>
      </c>
      <c r="F194" s="1" t="s">
        <v>117</v>
      </c>
      <c r="G194" s="1" t="s">
        <v>1291</v>
      </c>
      <c r="H194" s="1" t="s">
        <v>275</v>
      </c>
      <c r="I194" s="1" t="s">
        <v>1292</v>
      </c>
      <c r="J194" s="1" t="s">
        <v>1293</v>
      </c>
      <c r="K194" s="1" t="s">
        <v>378</v>
      </c>
      <c r="L194" s="1" t="s">
        <v>1294</v>
      </c>
      <c r="M194" s="1" t="s">
        <v>49</v>
      </c>
      <c r="N194" s="1" t="s">
        <v>1295</v>
      </c>
      <c r="O194" s="1" t="s">
        <v>35</v>
      </c>
      <c r="P194" s="1" t="s">
        <v>1292</v>
      </c>
      <c r="Q194" s="1" t="s">
        <v>798</v>
      </c>
      <c r="R194" s="1" t="s">
        <v>37</v>
      </c>
      <c r="S194" s="1" t="s">
        <v>37</v>
      </c>
      <c r="T194" s="1" t="s">
        <v>37</v>
      </c>
      <c r="U194" s="1" t="s">
        <v>37</v>
      </c>
    </row>
    <row r="195" spans="1:21">
      <c r="A195" s="1" t="s">
        <v>1296</v>
      </c>
      <c r="B195" s="1" t="s">
        <v>115</v>
      </c>
      <c r="C195" s="1" t="s">
        <v>116</v>
      </c>
      <c r="D195" s="1" t="s">
        <v>41</v>
      </c>
      <c r="E195" s="1" t="s">
        <v>992</v>
      </c>
      <c r="F195" s="1" t="s">
        <v>53</v>
      </c>
      <c r="G195" s="1" t="s">
        <v>1297</v>
      </c>
      <c r="H195" s="1" t="s">
        <v>129</v>
      </c>
      <c r="I195" s="1" t="s">
        <v>1298</v>
      </c>
      <c r="J195" s="1" t="s">
        <v>1299</v>
      </c>
      <c r="K195" s="1" t="s">
        <v>623</v>
      </c>
      <c r="L195" s="1" t="s">
        <v>1300</v>
      </c>
      <c r="M195" s="1" t="s">
        <v>33</v>
      </c>
      <c r="N195" s="1" t="s">
        <v>1301</v>
      </c>
      <c r="O195" s="1" t="s">
        <v>35</v>
      </c>
      <c r="P195" s="1" t="s">
        <v>1298</v>
      </c>
      <c r="Q195" s="1" t="s">
        <v>167</v>
      </c>
      <c r="R195" s="1" t="s">
        <v>37</v>
      </c>
      <c r="S195" s="1" t="s">
        <v>37</v>
      </c>
      <c r="T195" s="1" t="s">
        <v>37</v>
      </c>
      <c r="U195" s="1" t="s">
        <v>37</v>
      </c>
    </row>
    <row r="196" spans="1:21">
      <c r="A196" s="1" t="s">
        <v>1302</v>
      </c>
      <c r="B196" s="1" t="s">
        <v>22</v>
      </c>
      <c r="C196" s="1" t="s">
        <v>23</v>
      </c>
      <c r="D196" s="1" t="s">
        <v>41</v>
      </c>
      <c r="E196" s="1" t="s">
        <v>992</v>
      </c>
      <c r="F196" s="1" t="s">
        <v>42</v>
      </c>
      <c r="G196" s="1" t="s">
        <v>1303</v>
      </c>
      <c r="H196" s="1" t="s">
        <v>44</v>
      </c>
      <c r="I196" s="1" t="s">
        <v>1304</v>
      </c>
      <c r="J196" s="1" t="s">
        <v>1305</v>
      </c>
      <c r="K196" s="1" t="s">
        <v>412</v>
      </c>
      <c r="L196" s="1" t="s">
        <v>1306</v>
      </c>
      <c r="M196" s="1" t="s">
        <v>59</v>
      </c>
      <c r="N196" s="1" t="s">
        <v>1307</v>
      </c>
      <c r="O196" s="1" t="s">
        <v>35</v>
      </c>
      <c r="P196" s="1" t="s">
        <v>1304</v>
      </c>
      <c r="Q196" s="1" t="s">
        <v>235</v>
      </c>
      <c r="R196" s="1" t="s">
        <v>37</v>
      </c>
      <c r="S196" s="1" t="s">
        <v>37</v>
      </c>
      <c r="T196" s="1" t="s">
        <v>37</v>
      </c>
      <c r="U196" s="1" t="s">
        <v>37</v>
      </c>
    </row>
    <row r="197" spans="1:21">
      <c r="A197" s="1" t="s">
        <v>1308</v>
      </c>
      <c r="B197" s="1" t="s">
        <v>39</v>
      </c>
      <c r="C197" s="1" t="s">
        <v>40</v>
      </c>
      <c r="D197" s="1" t="s">
        <v>24</v>
      </c>
      <c r="E197" s="1" t="s">
        <v>25</v>
      </c>
      <c r="F197" s="1" t="s">
        <v>127</v>
      </c>
      <c r="G197" s="1" t="s">
        <v>1309</v>
      </c>
      <c r="H197" s="1" t="s">
        <v>253</v>
      </c>
      <c r="I197" s="1" t="s">
        <v>1310</v>
      </c>
      <c r="J197" s="1" t="s">
        <v>1311</v>
      </c>
      <c r="K197" s="1" t="s">
        <v>588</v>
      </c>
      <c r="L197" s="1" t="s">
        <v>1312</v>
      </c>
      <c r="M197" s="1" t="s">
        <v>49</v>
      </c>
      <c r="N197" s="1" t="s">
        <v>1309</v>
      </c>
      <c r="O197" s="1" t="s">
        <v>35</v>
      </c>
      <c r="P197" s="1" t="s">
        <v>1310</v>
      </c>
      <c r="Q197" s="1" t="s">
        <v>44</v>
      </c>
      <c r="R197" s="1" t="s">
        <v>37</v>
      </c>
      <c r="S197" s="1" t="s">
        <v>37</v>
      </c>
      <c r="T197" s="1" t="s">
        <v>37</v>
      </c>
      <c r="U197" s="1" t="s">
        <v>37</v>
      </c>
    </row>
    <row r="198" spans="1:21">
      <c r="A198" s="1" t="s">
        <v>1313</v>
      </c>
      <c r="B198" s="1" t="s">
        <v>39</v>
      </c>
      <c r="C198" s="1" t="s">
        <v>40</v>
      </c>
      <c r="D198" s="1" t="s">
        <v>24</v>
      </c>
      <c r="E198" s="1" t="s">
        <v>992</v>
      </c>
      <c r="F198" s="1" t="s">
        <v>26</v>
      </c>
      <c r="G198" s="1" t="s">
        <v>1314</v>
      </c>
      <c r="H198" s="1" t="s">
        <v>107</v>
      </c>
      <c r="I198" s="1" t="s">
        <v>1315</v>
      </c>
      <c r="J198" s="1" t="s">
        <v>1316</v>
      </c>
      <c r="K198" s="1" t="s">
        <v>737</v>
      </c>
      <c r="L198" s="1" t="s">
        <v>1317</v>
      </c>
      <c r="M198" s="1" t="s">
        <v>49</v>
      </c>
      <c r="N198" s="1" t="s">
        <v>1318</v>
      </c>
      <c r="O198" s="1" t="s">
        <v>35</v>
      </c>
      <c r="P198" s="1" t="s">
        <v>1315</v>
      </c>
      <c r="Q198" s="1" t="s">
        <v>752</v>
      </c>
      <c r="R198" s="1" t="s">
        <v>37</v>
      </c>
      <c r="S198" s="1" t="s">
        <v>37</v>
      </c>
      <c r="T198" s="1" t="s">
        <v>37</v>
      </c>
      <c r="U198" s="1" t="s">
        <v>37</v>
      </c>
    </row>
    <row r="199" spans="1:21">
      <c r="A199" s="1" t="s">
        <v>1319</v>
      </c>
      <c r="B199" s="1" t="s">
        <v>22</v>
      </c>
      <c r="C199" s="1" t="s">
        <v>23</v>
      </c>
      <c r="D199" s="1" t="s">
        <v>41</v>
      </c>
      <c r="E199" s="1" t="s">
        <v>25</v>
      </c>
      <c r="F199" s="1" t="s">
        <v>53</v>
      </c>
      <c r="G199" s="1" t="s">
        <v>1320</v>
      </c>
      <c r="H199" s="1" t="s">
        <v>253</v>
      </c>
      <c r="I199" s="1" t="s">
        <v>1321</v>
      </c>
      <c r="J199" s="1" t="s">
        <v>1322</v>
      </c>
      <c r="K199" s="1" t="s">
        <v>335</v>
      </c>
      <c r="L199" s="1" t="s">
        <v>1323</v>
      </c>
      <c r="M199" s="1" t="s">
        <v>33</v>
      </c>
      <c r="N199" s="1" t="s">
        <v>1320</v>
      </c>
      <c r="O199" s="1" t="s">
        <v>35</v>
      </c>
      <c r="P199" s="1" t="s">
        <v>1321</v>
      </c>
      <c r="Q199" s="1" t="s">
        <v>440</v>
      </c>
      <c r="R199" s="1" t="s">
        <v>37</v>
      </c>
      <c r="S199" s="1" t="s">
        <v>37</v>
      </c>
      <c r="T199" s="1" t="s">
        <v>37</v>
      </c>
      <c r="U199" s="1" t="s">
        <v>37</v>
      </c>
    </row>
    <row r="200" spans="1:21">
      <c r="A200" s="1" t="s">
        <v>1324</v>
      </c>
      <c r="B200" s="1" t="s">
        <v>39</v>
      </c>
      <c r="C200" s="1" t="s">
        <v>40</v>
      </c>
      <c r="D200" s="1" t="s">
        <v>41</v>
      </c>
      <c r="E200" s="1" t="s">
        <v>992</v>
      </c>
      <c r="F200" s="1" t="s">
        <v>26</v>
      </c>
      <c r="G200" s="1" t="s">
        <v>1325</v>
      </c>
      <c r="H200" s="1" t="s">
        <v>129</v>
      </c>
      <c r="I200" s="1" t="s">
        <v>638</v>
      </c>
      <c r="J200" s="1" t="s">
        <v>1326</v>
      </c>
      <c r="K200" s="1" t="s">
        <v>481</v>
      </c>
      <c r="L200" s="1" t="s">
        <v>1327</v>
      </c>
      <c r="M200" s="1" t="s">
        <v>59</v>
      </c>
      <c r="N200" s="1" t="s">
        <v>1328</v>
      </c>
      <c r="O200" s="1" t="s">
        <v>35</v>
      </c>
      <c r="P200" s="1" t="s">
        <v>638</v>
      </c>
      <c r="Q200" s="1" t="s">
        <v>159</v>
      </c>
      <c r="R200" s="1" t="s">
        <v>37</v>
      </c>
      <c r="S200" s="1" t="s">
        <v>37</v>
      </c>
      <c r="T200" s="1" t="s">
        <v>37</v>
      </c>
      <c r="U200" s="1" t="s">
        <v>37</v>
      </c>
    </row>
    <row r="201" spans="1:21">
      <c r="A201" s="1" t="s">
        <v>1329</v>
      </c>
      <c r="B201" s="1" t="s">
        <v>39</v>
      </c>
      <c r="C201" s="1" t="s">
        <v>40</v>
      </c>
      <c r="D201" s="1" t="s">
        <v>24</v>
      </c>
      <c r="E201" s="1" t="s">
        <v>25</v>
      </c>
      <c r="F201" s="1" t="s">
        <v>117</v>
      </c>
      <c r="G201" s="1" t="s">
        <v>1330</v>
      </c>
      <c r="H201" s="1" t="s">
        <v>44</v>
      </c>
      <c r="I201" s="1" t="s">
        <v>1331</v>
      </c>
      <c r="J201" s="1" t="s">
        <v>1332</v>
      </c>
      <c r="K201" s="1" t="s">
        <v>232</v>
      </c>
      <c r="L201" s="1" t="s">
        <v>1002</v>
      </c>
      <c r="M201" s="1" t="s">
        <v>59</v>
      </c>
      <c r="N201" s="1" t="s">
        <v>1333</v>
      </c>
      <c r="O201" s="1" t="s">
        <v>35</v>
      </c>
      <c r="P201" s="1" t="s">
        <v>1331</v>
      </c>
      <c r="Q201" s="1" t="s">
        <v>618</v>
      </c>
      <c r="R201" s="1" t="s">
        <v>37</v>
      </c>
      <c r="S201" s="1" t="s">
        <v>37</v>
      </c>
      <c r="T201" s="1" t="s">
        <v>37</v>
      </c>
      <c r="U201" s="1" t="s">
        <v>37</v>
      </c>
    </row>
    <row r="202" spans="1:21">
      <c r="A202" s="1" t="s">
        <v>1334</v>
      </c>
      <c r="B202" s="1" t="s">
        <v>39</v>
      </c>
      <c r="C202" s="1" t="s">
        <v>40</v>
      </c>
      <c r="D202" s="1" t="s">
        <v>24</v>
      </c>
      <c r="E202" s="1" t="s">
        <v>25</v>
      </c>
      <c r="F202" s="1" t="s">
        <v>72</v>
      </c>
      <c r="G202" s="1" t="s">
        <v>1335</v>
      </c>
      <c r="H202" s="1" t="s">
        <v>90</v>
      </c>
      <c r="I202" s="1" t="s">
        <v>1336</v>
      </c>
      <c r="J202" s="1" t="s">
        <v>1337</v>
      </c>
      <c r="K202" s="1" t="s">
        <v>1057</v>
      </c>
      <c r="L202" s="1" t="s">
        <v>1338</v>
      </c>
      <c r="M202" s="1" t="s">
        <v>59</v>
      </c>
      <c r="N202" s="1" t="s">
        <v>1339</v>
      </c>
      <c r="O202" s="1" t="s">
        <v>35</v>
      </c>
      <c r="P202" s="1" t="s">
        <v>1336</v>
      </c>
      <c r="Q202" s="1" t="s">
        <v>143</v>
      </c>
      <c r="R202" s="1" t="s">
        <v>37</v>
      </c>
      <c r="S202" s="1" t="s">
        <v>37</v>
      </c>
      <c r="T202" s="1" t="s">
        <v>37</v>
      </c>
      <c r="U202" s="1" t="s">
        <v>37</v>
      </c>
    </row>
    <row r="203" spans="1:21">
      <c r="A203" s="1" t="s">
        <v>1340</v>
      </c>
      <c r="B203" s="1" t="s">
        <v>115</v>
      </c>
      <c r="C203" s="1" t="s">
        <v>116</v>
      </c>
      <c r="D203" s="1" t="s">
        <v>24</v>
      </c>
      <c r="E203" s="1" t="s">
        <v>25</v>
      </c>
      <c r="F203" s="1" t="s">
        <v>42</v>
      </c>
      <c r="G203" s="1" t="s">
        <v>1341</v>
      </c>
      <c r="H203" s="1" t="s">
        <v>129</v>
      </c>
      <c r="I203" s="1" t="s">
        <v>1342</v>
      </c>
      <c r="J203" s="1" t="s">
        <v>1343</v>
      </c>
      <c r="K203" s="1" t="s">
        <v>225</v>
      </c>
      <c r="L203" s="1" t="s">
        <v>1344</v>
      </c>
      <c r="M203" s="1" t="s">
        <v>49</v>
      </c>
      <c r="N203" s="1" t="s">
        <v>1345</v>
      </c>
      <c r="O203" s="1" t="s">
        <v>35</v>
      </c>
      <c r="P203" s="1" t="s">
        <v>1342</v>
      </c>
      <c r="Q203" s="1" t="s">
        <v>468</v>
      </c>
      <c r="R203" s="1" t="s">
        <v>37</v>
      </c>
      <c r="S203" s="1" t="s">
        <v>37</v>
      </c>
      <c r="T203" s="1" t="s">
        <v>37</v>
      </c>
      <c r="U203" s="1" t="s">
        <v>37</v>
      </c>
    </row>
    <row r="204" spans="1:21">
      <c r="A204" s="1" t="s">
        <v>1346</v>
      </c>
      <c r="B204" s="1" t="s">
        <v>39</v>
      </c>
      <c r="C204" s="1" t="s">
        <v>40</v>
      </c>
      <c r="D204" s="1" t="s">
        <v>41</v>
      </c>
      <c r="E204" s="1" t="s">
        <v>992</v>
      </c>
      <c r="F204" s="1" t="s">
        <v>42</v>
      </c>
      <c r="G204" s="1" t="s">
        <v>1347</v>
      </c>
      <c r="H204" s="1" t="s">
        <v>28</v>
      </c>
      <c r="I204" s="1" t="s">
        <v>1348</v>
      </c>
      <c r="J204" s="1" t="s">
        <v>1349</v>
      </c>
      <c r="K204" s="1" t="s">
        <v>1350</v>
      </c>
      <c r="L204" s="1" t="s">
        <v>1351</v>
      </c>
      <c r="M204" s="1" t="s">
        <v>49</v>
      </c>
      <c r="N204" s="1" t="s">
        <v>1352</v>
      </c>
      <c r="O204" s="1" t="s">
        <v>35</v>
      </c>
      <c r="P204" s="1" t="s">
        <v>1348</v>
      </c>
      <c r="Q204" s="1" t="s">
        <v>971</v>
      </c>
      <c r="R204" s="1" t="s">
        <v>37</v>
      </c>
      <c r="S204" s="1" t="s">
        <v>37</v>
      </c>
      <c r="T204" s="1" t="s">
        <v>37</v>
      </c>
      <c r="U204" s="1" t="s">
        <v>37</v>
      </c>
    </row>
    <row r="205" spans="1:21">
      <c r="A205" s="1" t="s">
        <v>1353</v>
      </c>
      <c r="B205" s="1" t="s">
        <v>115</v>
      </c>
      <c r="C205" s="1" t="s">
        <v>116</v>
      </c>
      <c r="D205" s="1" t="s">
        <v>24</v>
      </c>
      <c r="E205" s="1" t="s">
        <v>992</v>
      </c>
      <c r="F205" s="1" t="s">
        <v>26</v>
      </c>
      <c r="G205" s="1" t="s">
        <v>1354</v>
      </c>
      <c r="H205" s="1" t="s">
        <v>99</v>
      </c>
      <c r="I205" s="1" t="s">
        <v>1355</v>
      </c>
      <c r="J205" s="1" t="s">
        <v>1356</v>
      </c>
      <c r="K205" s="1" t="s">
        <v>132</v>
      </c>
      <c r="L205" s="1" t="s">
        <v>1357</v>
      </c>
      <c r="M205" s="1" t="s">
        <v>33</v>
      </c>
      <c r="N205" s="1" t="s">
        <v>1358</v>
      </c>
      <c r="O205" s="1" t="s">
        <v>35</v>
      </c>
      <c r="P205" s="1" t="s">
        <v>1355</v>
      </c>
      <c r="Q205" s="1" t="s">
        <v>576</v>
      </c>
      <c r="R205" s="1" t="s">
        <v>37</v>
      </c>
      <c r="S205" s="1" t="s">
        <v>37</v>
      </c>
      <c r="T205" s="1" t="s">
        <v>37</v>
      </c>
      <c r="U205" s="1" t="s">
        <v>37</v>
      </c>
    </row>
    <row r="206" spans="1:21">
      <c r="A206" s="1" t="s">
        <v>1359</v>
      </c>
      <c r="B206" s="1" t="s">
        <v>115</v>
      </c>
      <c r="C206" s="1" t="s">
        <v>116</v>
      </c>
      <c r="D206" s="1" t="s">
        <v>24</v>
      </c>
      <c r="E206" s="1" t="s">
        <v>992</v>
      </c>
      <c r="F206" s="1" t="s">
        <v>53</v>
      </c>
      <c r="G206" s="1" t="s">
        <v>1360</v>
      </c>
      <c r="H206" s="1" t="s">
        <v>44</v>
      </c>
      <c r="I206" s="1" t="s">
        <v>1361</v>
      </c>
      <c r="J206" s="1" t="s">
        <v>1362</v>
      </c>
      <c r="K206" s="1" t="s">
        <v>489</v>
      </c>
      <c r="L206" s="1" t="s">
        <v>1363</v>
      </c>
      <c r="M206" s="1" t="s">
        <v>59</v>
      </c>
      <c r="N206" s="1" t="s">
        <v>1364</v>
      </c>
      <c r="O206" s="1" t="s">
        <v>35</v>
      </c>
      <c r="P206" s="1" t="s">
        <v>1361</v>
      </c>
      <c r="Q206" s="1" t="s">
        <v>476</v>
      </c>
      <c r="R206" s="1" t="s">
        <v>37</v>
      </c>
      <c r="S206" s="1" t="s">
        <v>37</v>
      </c>
      <c r="T206" s="1" t="s">
        <v>37</v>
      </c>
      <c r="U206" s="1" t="s">
        <v>37</v>
      </c>
    </row>
    <row r="207" spans="1:21">
      <c r="A207" s="1" t="s">
        <v>1365</v>
      </c>
      <c r="B207" s="1" t="s">
        <v>22</v>
      </c>
      <c r="C207" s="1" t="s">
        <v>23</v>
      </c>
      <c r="D207" s="1" t="s">
        <v>41</v>
      </c>
      <c r="E207" s="1" t="s">
        <v>25</v>
      </c>
      <c r="F207" s="1" t="s">
        <v>26</v>
      </c>
      <c r="G207" s="1" t="s">
        <v>1366</v>
      </c>
      <c r="H207" s="1" t="s">
        <v>275</v>
      </c>
      <c r="I207" s="1" t="s">
        <v>1367</v>
      </c>
      <c r="J207" s="1" t="s">
        <v>1368</v>
      </c>
      <c r="K207" s="1" t="s">
        <v>1164</v>
      </c>
      <c r="L207" s="1" t="s">
        <v>870</v>
      </c>
      <c r="M207" s="1" t="s">
        <v>33</v>
      </c>
      <c r="N207" s="1" t="s">
        <v>1369</v>
      </c>
      <c r="O207" s="1" t="s">
        <v>35</v>
      </c>
      <c r="P207" s="1" t="s">
        <v>1367</v>
      </c>
      <c r="Q207" s="1" t="s">
        <v>351</v>
      </c>
      <c r="R207" s="1" t="s">
        <v>37</v>
      </c>
      <c r="S207" s="1" t="s">
        <v>37</v>
      </c>
      <c r="T207" s="1" t="s">
        <v>37</v>
      </c>
      <c r="U207" s="1" t="s">
        <v>37</v>
      </c>
    </row>
    <row r="208" spans="1:21">
      <c r="A208" s="1" t="s">
        <v>1370</v>
      </c>
      <c r="B208" s="1" t="s">
        <v>39</v>
      </c>
      <c r="C208" s="1" t="s">
        <v>40</v>
      </c>
      <c r="D208" s="1" t="s">
        <v>24</v>
      </c>
      <c r="E208" s="1" t="s">
        <v>25</v>
      </c>
      <c r="F208" s="1" t="s">
        <v>42</v>
      </c>
      <c r="G208" s="1" t="s">
        <v>1371</v>
      </c>
      <c r="H208" s="1" t="s">
        <v>275</v>
      </c>
      <c r="I208" s="1" t="s">
        <v>1372</v>
      </c>
      <c r="J208" s="1" t="s">
        <v>1373</v>
      </c>
      <c r="K208" s="1" t="s">
        <v>1081</v>
      </c>
      <c r="L208" s="1" t="s">
        <v>764</v>
      </c>
      <c r="M208" s="1" t="s">
        <v>59</v>
      </c>
      <c r="N208" s="1" t="s">
        <v>1374</v>
      </c>
      <c r="O208" s="1" t="s">
        <v>35</v>
      </c>
      <c r="P208" s="1" t="s">
        <v>1372</v>
      </c>
      <c r="Q208" s="1" t="s">
        <v>1089</v>
      </c>
      <c r="R208" s="1" t="s">
        <v>37</v>
      </c>
      <c r="S208" s="1" t="s">
        <v>37</v>
      </c>
      <c r="T208" s="1" t="s">
        <v>37</v>
      </c>
      <c r="U208" s="1" t="s">
        <v>37</v>
      </c>
    </row>
    <row r="209" spans="1:21">
      <c r="A209" s="1" t="s">
        <v>1375</v>
      </c>
      <c r="B209" s="1" t="s">
        <v>39</v>
      </c>
      <c r="C209" s="1" t="s">
        <v>40</v>
      </c>
      <c r="D209" s="1" t="s">
        <v>24</v>
      </c>
      <c r="E209" s="1" t="s">
        <v>25</v>
      </c>
      <c r="F209" s="1" t="s">
        <v>53</v>
      </c>
      <c r="G209" s="1" t="s">
        <v>1376</v>
      </c>
      <c r="H209" s="1" t="s">
        <v>99</v>
      </c>
      <c r="I209" s="1" t="s">
        <v>1377</v>
      </c>
      <c r="J209" s="1" t="s">
        <v>1378</v>
      </c>
      <c r="K209" s="1" t="s">
        <v>1379</v>
      </c>
      <c r="L209" s="1" t="s">
        <v>1380</v>
      </c>
      <c r="M209" s="1" t="s">
        <v>33</v>
      </c>
      <c r="N209" s="1" t="s">
        <v>1381</v>
      </c>
      <c r="O209" s="1" t="s">
        <v>35</v>
      </c>
      <c r="P209" s="1" t="s">
        <v>1377</v>
      </c>
      <c r="Q209" s="1" t="s">
        <v>812</v>
      </c>
      <c r="R209" s="1" t="s">
        <v>37</v>
      </c>
      <c r="S209" s="1" t="s">
        <v>37</v>
      </c>
      <c r="T209" s="1" t="s">
        <v>37</v>
      </c>
      <c r="U209" s="1" t="s">
        <v>37</v>
      </c>
    </row>
    <row r="210" spans="1:21">
      <c r="A210" s="1" t="s">
        <v>1382</v>
      </c>
      <c r="B210" s="1" t="s">
        <v>115</v>
      </c>
      <c r="C210" s="1" t="s">
        <v>116</v>
      </c>
      <c r="D210" s="1" t="s">
        <v>41</v>
      </c>
      <c r="E210" s="1" t="s">
        <v>25</v>
      </c>
      <c r="F210" s="1" t="s">
        <v>127</v>
      </c>
      <c r="G210" s="1" t="s">
        <v>1383</v>
      </c>
      <c r="H210" s="1" t="s">
        <v>119</v>
      </c>
      <c r="I210" s="1" t="s">
        <v>1384</v>
      </c>
      <c r="J210" s="1" t="s">
        <v>1385</v>
      </c>
      <c r="K210" s="1" t="s">
        <v>757</v>
      </c>
      <c r="L210" s="1" t="s">
        <v>1288</v>
      </c>
      <c r="M210" s="1" t="s">
        <v>33</v>
      </c>
      <c r="N210" s="1" t="s">
        <v>1386</v>
      </c>
      <c r="O210" s="1" t="s">
        <v>35</v>
      </c>
      <c r="P210" s="1" t="s">
        <v>1384</v>
      </c>
      <c r="Q210" s="1" t="s">
        <v>220</v>
      </c>
      <c r="R210" s="1" t="s">
        <v>37</v>
      </c>
      <c r="S210" s="1" t="s">
        <v>37</v>
      </c>
      <c r="T210" s="1" t="s">
        <v>37</v>
      </c>
      <c r="U210" s="1" t="s">
        <v>37</v>
      </c>
    </row>
    <row r="211" spans="1:21">
      <c r="A211" s="1" t="s">
        <v>1387</v>
      </c>
      <c r="B211" s="1" t="s">
        <v>115</v>
      </c>
      <c r="C211" s="1" t="s">
        <v>116</v>
      </c>
      <c r="D211" s="1" t="s">
        <v>41</v>
      </c>
      <c r="E211" s="1" t="s">
        <v>25</v>
      </c>
      <c r="F211" s="1" t="s">
        <v>42</v>
      </c>
      <c r="G211" s="1" t="s">
        <v>1388</v>
      </c>
      <c r="H211" s="1" t="s">
        <v>275</v>
      </c>
      <c r="I211" s="1" t="s">
        <v>1389</v>
      </c>
      <c r="J211" s="1" t="s">
        <v>1390</v>
      </c>
      <c r="K211" s="1" t="s">
        <v>240</v>
      </c>
      <c r="L211" s="1" t="s">
        <v>1123</v>
      </c>
      <c r="M211" s="1" t="s">
        <v>59</v>
      </c>
      <c r="N211" s="1" t="s">
        <v>1391</v>
      </c>
      <c r="O211" s="1" t="s">
        <v>35</v>
      </c>
      <c r="P211" s="1" t="s">
        <v>1389</v>
      </c>
      <c r="Q211" s="1" t="s">
        <v>434</v>
      </c>
      <c r="R211" s="1" t="s">
        <v>37</v>
      </c>
      <c r="S211" s="1" t="s">
        <v>37</v>
      </c>
      <c r="T211" s="1" t="s">
        <v>37</v>
      </c>
      <c r="U211" s="1" t="s">
        <v>37</v>
      </c>
    </row>
    <row r="212" spans="1:21">
      <c r="A212" s="1" t="s">
        <v>1392</v>
      </c>
      <c r="B212" s="1" t="s">
        <v>22</v>
      </c>
      <c r="C212" s="1" t="s">
        <v>23</v>
      </c>
      <c r="D212" s="1" t="s">
        <v>41</v>
      </c>
      <c r="E212" s="1" t="s">
        <v>992</v>
      </c>
      <c r="F212" s="1" t="s">
        <v>42</v>
      </c>
      <c r="G212" s="1" t="s">
        <v>1393</v>
      </c>
      <c r="H212" s="1" t="s">
        <v>275</v>
      </c>
      <c r="I212" s="1" t="s">
        <v>1394</v>
      </c>
      <c r="J212" s="1" t="s">
        <v>1395</v>
      </c>
      <c r="K212" s="1" t="s">
        <v>270</v>
      </c>
      <c r="L212" s="1" t="s">
        <v>1396</v>
      </c>
      <c r="M212" s="1" t="s">
        <v>33</v>
      </c>
      <c r="N212" s="1" t="s">
        <v>1397</v>
      </c>
      <c r="O212" s="1" t="s">
        <v>35</v>
      </c>
      <c r="P212" s="1" t="s">
        <v>1394</v>
      </c>
      <c r="Q212" s="1" t="s">
        <v>125</v>
      </c>
      <c r="R212" s="1" t="s">
        <v>37</v>
      </c>
      <c r="S212" s="1" t="s">
        <v>37</v>
      </c>
      <c r="T212" s="1" t="s">
        <v>37</v>
      </c>
      <c r="U212" s="1" t="s">
        <v>37</v>
      </c>
    </row>
    <row r="213" spans="1:21">
      <c r="A213" s="1" t="s">
        <v>1398</v>
      </c>
      <c r="B213" s="1" t="s">
        <v>39</v>
      </c>
      <c r="C213" s="1" t="s">
        <v>40</v>
      </c>
      <c r="D213" s="1" t="s">
        <v>41</v>
      </c>
      <c r="E213" s="1" t="s">
        <v>25</v>
      </c>
      <c r="F213" s="1" t="s">
        <v>117</v>
      </c>
      <c r="G213" s="1" t="s">
        <v>1399</v>
      </c>
      <c r="H213" s="1" t="s">
        <v>275</v>
      </c>
      <c r="I213" s="1" t="s">
        <v>1400</v>
      </c>
      <c r="J213" s="1" t="s">
        <v>1401</v>
      </c>
      <c r="K213" s="1" t="s">
        <v>847</v>
      </c>
      <c r="L213" s="1" t="s">
        <v>1402</v>
      </c>
      <c r="M213" s="1" t="s">
        <v>49</v>
      </c>
      <c r="N213" s="1" t="s">
        <v>1403</v>
      </c>
      <c r="O213" s="1" t="s">
        <v>35</v>
      </c>
      <c r="P213" s="1" t="s">
        <v>1400</v>
      </c>
      <c r="Q213" s="1" t="s">
        <v>944</v>
      </c>
      <c r="R213" s="1" t="s">
        <v>37</v>
      </c>
      <c r="S213" s="1" t="s">
        <v>37</v>
      </c>
      <c r="T213" s="1" t="s">
        <v>37</v>
      </c>
      <c r="U213" s="1" t="s">
        <v>37</v>
      </c>
    </row>
    <row r="214" spans="1:21">
      <c r="A214" s="1" t="s">
        <v>1404</v>
      </c>
      <c r="B214" s="1" t="s">
        <v>115</v>
      </c>
      <c r="C214" s="1" t="s">
        <v>116</v>
      </c>
      <c r="D214" s="1" t="s">
        <v>41</v>
      </c>
      <c r="E214" s="1" t="s">
        <v>992</v>
      </c>
      <c r="F214" s="1" t="s">
        <v>53</v>
      </c>
      <c r="G214" s="1" t="s">
        <v>1405</v>
      </c>
      <c r="H214" s="1" t="s">
        <v>44</v>
      </c>
      <c r="I214" s="1" t="s">
        <v>1406</v>
      </c>
      <c r="J214" s="1" t="s">
        <v>1407</v>
      </c>
      <c r="K214" s="1" t="s">
        <v>1408</v>
      </c>
      <c r="L214" s="1" t="s">
        <v>1176</v>
      </c>
      <c r="M214" s="1" t="s">
        <v>33</v>
      </c>
      <c r="N214" s="1" t="s">
        <v>1409</v>
      </c>
      <c r="O214" s="1" t="s">
        <v>35</v>
      </c>
      <c r="P214" s="1" t="s">
        <v>1406</v>
      </c>
      <c r="Q214" s="1" t="s">
        <v>752</v>
      </c>
      <c r="R214" s="1" t="s">
        <v>37</v>
      </c>
      <c r="S214" s="1" t="s">
        <v>37</v>
      </c>
      <c r="T214" s="1" t="s">
        <v>37</v>
      </c>
      <c r="U214" s="1" t="s">
        <v>37</v>
      </c>
    </row>
    <row r="215" spans="1:21">
      <c r="A215" s="1" t="s">
        <v>1410</v>
      </c>
      <c r="B215" s="1" t="s">
        <v>115</v>
      </c>
      <c r="C215" s="1" t="s">
        <v>116</v>
      </c>
      <c r="D215" s="1" t="s">
        <v>41</v>
      </c>
      <c r="E215" s="1" t="s">
        <v>992</v>
      </c>
      <c r="F215" s="1" t="s">
        <v>72</v>
      </c>
      <c r="G215" s="1" t="s">
        <v>1411</v>
      </c>
      <c r="H215" s="1" t="s">
        <v>119</v>
      </c>
      <c r="I215" s="1" t="s">
        <v>1412</v>
      </c>
      <c r="J215" s="1" t="s">
        <v>1413</v>
      </c>
      <c r="K215" s="1" t="s">
        <v>1081</v>
      </c>
      <c r="L215" s="1" t="s">
        <v>336</v>
      </c>
      <c r="M215" s="1" t="s">
        <v>59</v>
      </c>
      <c r="N215" s="1" t="s">
        <v>1414</v>
      </c>
      <c r="O215" s="1" t="s">
        <v>35</v>
      </c>
      <c r="P215" s="1" t="s">
        <v>1412</v>
      </c>
      <c r="Q215" s="1" t="s">
        <v>205</v>
      </c>
      <c r="R215" s="1" t="s">
        <v>37</v>
      </c>
      <c r="S215" s="1" t="s">
        <v>37</v>
      </c>
      <c r="T215" s="1" t="s">
        <v>37</v>
      </c>
      <c r="U215" s="1" t="s">
        <v>37</v>
      </c>
    </row>
    <row r="216" spans="1:21">
      <c r="A216" s="1" t="s">
        <v>1415</v>
      </c>
      <c r="B216" s="1" t="s">
        <v>115</v>
      </c>
      <c r="C216" s="1" t="s">
        <v>116</v>
      </c>
      <c r="D216" s="1" t="s">
        <v>24</v>
      </c>
      <c r="E216" s="1" t="s">
        <v>25</v>
      </c>
      <c r="F216" s="1" t="s">
        <v>72</v>
      </c>
      <c r="G216" s="1" t="s">
        <v>1416</v>
      </c>
      <c r="H216" s="1" t="s">
        <v>28</v>
      </c>
      <c r="I216" s="1" t="s">
        <v>1367</v>
      </c>
      <c r="J216" s="1" t="s">
        <v>1368</v>
      </c>
      <c r="K216" s="1" t="s">
        <v>179</v>
      </c>
      <c r="L216" s="1" t="s">
        <v>1417</v>
      </c>
      <c r="M216" s="1" t="s">
        <v>49</v>
      </c>
      <c r="N216" s="1" t="s">
        <v>1369</v>
      </c>
      <c r="O216" s="1" t="s">
        <v>35</v>
      </c>
      <c r="P216" s="1" t="s">
        <v>1367</v>
      </c>
      <c r="Q216" s="1" t="s">
        <v>434</v>
      </c>
      <c r="R216" s="1" t="s">
        <v>37</v>
      </c>
      <c r="S216" s="1" t="s">
        <v>37</v>
      </c>
      <c r="T216" s="1" t="s">
        <v>37</v>
      </c>
      <c r="U216" s="1" t="s">
        <v>37</v>
      </c>
    </row>
    <row r="217" spans="1:21">
      <c r="A217" s="1" t="s">
        <v>1418</v>
      </c>
      <c r="B217" s="1" t="s">
        <v>22</v>
      </c>
      <c r="C217" s="1" t="s">
        <v>23</v>
      </c>
      <c r="D217" s="1" t="s">
        <v>41</v>
      </c>
      <c r="E217" s="1" t="s">
        <v>992</v>
      </c>
      <c r="F217" s="1" t="s">
        <v>53</v>
      </c>
      <c r="G217" s="1" t="s">
        <v>1419</v>
      </c>
      <c r="H217" s="1" t="s">
        <v>253</v>
      </c>
      <c r="I217" s="1" t="s">
        <v>1420</v>
      </c>
      <c r="J217" s="1" t="s">
        <v>1421</v>
      </c>
      <c r="K217" s="1" t="s">
        <v>247</v>
      </c>
      <c r="L217" s="1" t="s">
        <v>1422</v>
      </c>
      <c r="M217" s="1" t="s">
        <v>59</v>
      </c>
      <c r="N217" s="1" t="s">
        <v>1419</v>
      </c>
      <c r="O217" s="1" t="s">
        <v>35</v>
      </c>
      <c r="P217" s="1" t="s">
        <v>1420</v>
      </c>
      <c r="Q217" s="1" t="s">
        <v>638</v>
      </c>
      <c r="R217" s="1" t="s">
        <v>37</v>
      </c>
      <c r="S217" s="1" t="s">
        <v>37</v>
      </c>
      <c r="T217" s="1" t="s">
        <v>37</v>
      </c>
      <c r="U217" s="1" t="s">
        <v>37</v>
      </c>
    </row>
    <row r="218" spans="1:21">
      <c r="A218" s="1" t="s">
        <v>1423</v>
      </c>
      <c r="B218" s="1" t="s">
        <v>115</v>
      </c>
      <c r="C218" s="1" t="s">
        <v>116</v>
      </c>
      <c r="D218" s="1" t="s">
        <v>41</v>
      </c>
      <c r="E218" s="1" t="s">
        <v>25</v>
      </c>
      <c r="F218" s="1" t="s">
        <v>72</v>
      </c>
      <c r="G218" s="1" t="s">
        <v>1424</v>
      </c>
      <c r="H218" s="1" t="s">
        <v>44</v>
      </c>
      <c r="I218" s="1" t="s">
        <v>1425</v>
      </c>
      <c r="J218" s="1" t="s">
        <v>1426</v>
      </c>
      <c r="K218" s="1" t="s">
        <v>788</v>
      </c>
      <c r="L218" s="1" t="s">
        <v>1427</v>
      </c>
      <c r="M218" s="1" t="s">
        <v>49</v>
      </c>
      <c r="N218" s="1" t="s">
        <v>1428</v>
      </c>
      <c r="O218" s="1" t="s">
        <v>35</v>
      </c>
      <c r="P218" s="1" t="s">
        <v>1425</v>
      </c>
      <c r="Q218" s="1" t="s">
        <v>250</v>
      </c>
      <c r="R218" s="1" t="s">
        <v>37</v>
      </c>
      <c r="S218" s="1" t="s">
        <v>37</v>
      </c>
      <c r="T218" s="1" t="s">
        <v>37</v>
      </c>
      <c r="U218" s="1" t="s">
        <v>37</v>
      </c>
    </row>
    <row r="219" spans="1:21">
      <c r="A219" s="1" t="s">
        <v>1429</v>
      </c>
      <c r="B219" s="1" t="s">
        <v>22</v>
      </c>
      <c r="C219" s="1" t="s">
        <v>23</v>
      </c>
      <c r="D219" s="1" t="s">
        <v>24</v>
      </c>
      <c r="E219" s="1" t="s">
        <v>25</v>
      </c>
      <c r="F219" s="1" t="s">
        <v>42</v>
      </c>
      <c r="G219" s="1" t="s">
        <v>1430</v>
      </c>
      <c r="H219" s="1" t="s">
        <v>119</v>
      </c>
      <c r="I219" s="1" t="s">
        <v>1431</v>
      </c>
      <c r="J219" s="1" t="s">
        <v>1432</v>
      </c>
      <c r="K219" s="1" t="s">
        <v>1433</v>
      </c>
      <c r="L219" s="1" t="s">
        <v>1434</v>
      </c>
      <c r="M219" s="1" t="s">
        <v>49</v>
      </c>
      <c r="N219" s="1" t="s">
        <v>1435</v>
      </c>
      <c r="O219" s="1" t="s">
        <v>35</v>
      </c>
      <c r="P219" s="1" t="s">
        <v>1431</v>
      </c>
      <c r="Q219" s="1" t="s">
        <v>618</v>
      </c>
      <c r="R219" s="1" t="s">
        <v>37</v>
      </c>
      <c r="S219" s="1" t="s">
        <v>37</v>
      </c>
      <c r="T219" s="1" t="s">
        <v>37</v>
      </c>
      <c r="U219" s="1" t="s">
        <v>37</v>
      </c>
    </row>
    <row r="220" spans="1:21">
      <c r="A220" s="1" t="s">
        <v>1436</v>
      </c>
      <c r="B220" s="1" t="s">
        <v>115</v>
      </c>
      <c r="C220" s="1" t="s">
        <v>116</v>
      </c>
      <c r="D220" s="1" t="s">
        <v>41</v>
      </c>
      <c r="E220" s="1" t="s">
        <v>992</v>
      </c>
      <c r="F220" s="1" t="s">
        <v>127</v>
      </c>
      <c r="G220" s="1" t="s">
        <v>1437</v>
      </c>
      <c r="H220" s="1" t="s">
        <v>64</v>
      </c>
      <c r="I220" s="1" t="s">
        <v>1438</v>
      </c>
      <c r="J220" s="1" t="s">
        <v>1439</v>
      </c>
      <c r="K220" s="1" t="s">
        <v>148</v>
      </c>
      <c r="L220" s="1" t="s">
        <v>1440</v>
      </c>
      <c r="M220" s="1" t="s">
        <v>33</v>
      </c>
      <c r="N220" s="1" t="s">
        <v>1441</v>
      </c>
      <c r="O220" s="1" t="s">
        <v>35</v>
      </c>
      <c r="P220" s="1" t="s">
        <v>1438</v>
      </c>
      <c r="Q220" s="1" t="s">
        <v>576</v>
      </c>
      <c r="R220" s="1" t="s">
        <v>37</v>
      </c>
      <c r="S220" s="1" t="s">
        <v>37</v>
      </c>
      <c r="T220" s="1" t="s">
        <v>37</v>
      </c>
      <c r="U220" s="1" t="s">
        <v>37</v>
      </c>
    </row>
    <row r="221" spans="1:21">
      <c r="A221" s="1" t="s">
        <v>1442</v>
      </c>
      <c r="B221" s="1" t="s">
        <v>115</v>
      </c>
      <c r="C221" s="1" t="s">
        <v>116</v>
      </c>
      <c r="D221" s="1" t="s">
        <v>41</v>
      </c>
      <c r="E221" s="1" t="s">
        <v>25</v>
      </c>
      <c r="F221" s="1" t="s">
        <v>117</v>
      </c>
      <c r="G221" s="1" t="s">
        <v>1443</v>
      </c>
      <c r="H221" s="1" t="s">
        <v>119</v>
      </c>
      <c r="I221" s="1" t="s">
        <v>1444</v>
      </c>
      <c r="J221" s="1" t="s">
        <v>1445</v>
      </c>
      <c r="K221" s="1" t="s">
        <v>262</v>
      </c>
      <c r="L221" s="1" t="s">
        <v>1446</v>
      </c>
      <c r="M221" s="1" t="s">
        <v>59</v>
      </c>
      <c r="N221" s="1" t="s">
        <v>1447</v>
      </c>
      <c r="O221" s="1" t="s">
        <v>35</v>
      </c>
      <c r="P221" s="1" t="s">
        <v>1444</v>
      </c>
      <c r="Q221" s="1" t="s">
        <v>351</v>
      </c>
      <c r="R221" s="1" t="s">
        <v>37</v>
      </c>
      <c r="S221" s="1" t="s">
        <v>37</v>
      </c>
      <c r="T221" s="1" t="s">
        <v>37</v>
      </c>
      <c r="U221" s="1" t="s">
        <v>37</v>
      </c>
    </row>
    <row r="222" spans="1:21">
      <c r="A222" s="1" t="s">
        <v>1448</v>
      </c>
      <c r="B222" s="1" t="s">
        <v>115</v>
      </c>
      <c r="C222" s="1" t="s">
        <v>116</v>
      </c>
      <c r="D222" s="1" t="s">
        <v>41</v>
      </c>
      <c r="E222" s="1" t="s">
        <v>992</v>
      </c>
      <c r="F222" s="1" t="s">
        <v>42</v>
      </c>
      <c r="G222" s="1" t="s">
        <v>1449</v>
      </c>
      <c r="H222" s="1" t="s">
        <v>90</v>
      </c>
      <c r="I222" s="1" t="s">
        <v>1450</v>
      </c>
      <c r="J222" s="1" t="s">
        <v>1451</v>
      </c>
      <c r="K222" s="1" t="s">
        <v>1452</v>
      </c>
      <c r="L222" s="1" t="s">
        <v>1453</v>
      </c>
      <c r="M222" s="1" t="s">
        <v>33</v>
      </c>
      <c r="N222" s="1" t="s">
        <v>1454</v>
      </c>
      <c r="O222" s="1" t="s">
        <v>35</v>
      </c>
      <c r="P222" s="1" t="s">
        <v>1450</v>
      </c>
      <c r="Q222" s="1" t="s">
        <v>440</v>
      </c>
      <c r="R222" s="1" t="s">
        <v>37</v>
      </c>
      <c r="S222" s="1" t="s">
        <v>37</v>
      </c>
      <c r="T222" s="1" t="s">
        <v>37</v>
      </c>
      <c r="U222" s="1" t="s">
        <v>37</v>
      </c>
    </row>
    <row r="223" spans="1:21">
      <c r="A223" s="1" t="s">
        <v>1455</v>
      </c>
      <c r="B223" s="1" t="s">
        <v>115</v>
      </c>
      <c r="C223" s="1" t="s">
        <v>116</v>
      </c>
      <c r="D223" s="1" t="s">
        <v>41</v>
      </c>
      <c r="E223" s="1" t="s">
        <v>992</v>
      </c>
      <c r="F223" s="1" t="s">
        <v>117</v>
      </c>
      <c r="G223" s="1" t="s">
        <v>1456</v>
      </c>
      <c r="H223" s="1" t="s">
        <v>28</v>
      </c>
      <c r="I223" s="1" t="s">
        <v>1457</v>
      </c>
      <c r="J223" s="1" t="s">
        <v>1458</v>
      </c>
      <c r="K223" s="1" t="s">
        <v>508</v>
      </c>
      <c r="L223" s="1" t="s">
        <v>1459</v>
      </c>
      <c r="M223" s="1" t="s">
        <v>33</v>
      </c>
      <c r="N223" s="1" t="s">
        <v>1460</v>
      </c>
      <c r="O223" s="1" t="s">
        <v>35</v>
      </c>
      <c r="P223" s="1" t="s">
        <v>1457</v>
      </c>
      <c r="Q223" s="1" t="s">
        <v>476</v>
      </c>
      <c r="R223" s="1" t="s">
        <v>37</v>
      </c>
      <c r="S223" s="1" t="s">
        <v>37</v>
      </c>
      <c r="T223" s="1" t="s">
        <v>37</v>
      </c>
      <c r="U223" s="1" t="s">
        <v>37</v>
      </c>
    </row>
    <row r="224" spans="1:21">
      <c r="A224" s="1" t="s">
        <v>1461</v>
      </c>
      <c r="B224" s="1" t="s">
        <v>39</v>
      </c>
      <c r="C224" s="1" t="s">
        <v>40</v>
      </c>
      <c r="D224" s="1" t="s">
        <v>41</v>
      </c>
      <c r="E224" s="1" t="s">
        <v>992</v>
      </c>
      <c r="F224" s="1" t="s">
        <v>42</v>
      </c>
      <c r="G224" s="1" t="s">
        <v>1462</v>
      </c>
      <c r="H224" s="1" t="s">
        <v>44</v>
      </c>
      <c r="I224" s="1" t="s">
        <v>1463</v>
      </c>
      <c r="J224" s="1" t="s">
        <v>1464</v>
      </c>
      <c r="K224" s="1" t="s">
        <v>232</v>
      </c>
      <c r="L224" s="1" t="s">
        <v>1465</v>
      </c>
      <c r="M224" s="1" t="s">
        <v>49</v>
      </c>
      <c r="N224" s="1" t="s">
        <v>1466</v>
      </c>
      <c r="O224" s="1" t="s">
        <v>35</v>
      </c>
      <c r="P224" s="1" t="s">
        <v>1463</v>
      </c>
      <c r="Q224" s="1" t="s">
        <v>583</v>
      </c>
      <c r="R224" s="1" t="s">
        <v>37</v>
      </c>
      <c r="S224" s="1" t="s">
        <v>37</v>
      </c>
      <c r="T224" s="1" t="s">
        <v>37</v>
      </c>
      <c r="U224" s="1" t="s">
        <v>37</v>
      </c>
    </row>
    <row r="225" spans="1:21">
      <c r="A225" s="1" t="s">
        <v>1467</v>
      </c>
      <c r="B225" s="1" t="s">
        <v>39</v>
      </c>
      <c r="C225" s="1" t="s">
        <v>40</v>
      </c>
      <c r="D225" s="1" t="s">
        <v>24</v>
      </c>
      <c r="E225" s="1" t="s">
        <v>25</v>
      </c>
      <c r="F225" s="1" t="s">
        <v>127</v>
      </c>
      <c r="G225" s="1" t="s">
        <v>1468</v>
      </c>
      <c r="H225" s="1" t="s">
        <v>253</v>
      </c>
      <c r="I225" s="1" t="s">
        <v>1469</v>
      </c>
      <c r="J225" s="1" t="s">
        <v>1470</v>
      </c>
      <c r="K225" s="1" t="s">
        <v>1433</v>
      </c>
      <c r="L225" s="1" t="s">
        <v>1471</v>
      </c>
      <c r="M225" s="1" t="s">
        <v>49</v>
      </c>
      <c r="N225" s="1" t="s">
        <v>1468</v>
      </c>
      <c r="O225" s="1" t="s">
        <v>35</v>
      </c>
      <c r="P225" s="1" t="s">
        <v>1469</v>
      </c>
      <c r="Q225" s="1" t="s">
        <v>159</v>
      </c>
      <c r="R225" s="1" t="s">
        <v>37</v>
      </c>
      <c r="S225" s="1" t="s">
        <v>37</v>
      </c>
      <c r="T225" s="1" t="s">
        <v>37</v>
      </c>
      <c r="U225" s="1" t="s">
        <v>37</v>
      </c>
    </row>
    <row r="226" spans="1:21">
      <c r="A226" s="1" t="s">
        <v>1472</v>
      </c>
      <c r="B226" s="1" t="s">
        <v>22</v>
      </c>
      <c r="C226" s="1" t="s">
        <v>23</v>
      </c>
      <c r="D226" s="1" t="s">
        <v>41</v>
      </c>
      <c r="E226" s="1" t="s">
        <v>992</v>
      </c>
      <c r="F226" s="1" t="s">
        <v>117</v>
      </c>
      <c r="G226" s="1" t="s">
        <v>1473</v>
      </c>
      <c r="H226" s="1" t="s">
        <v>107</v>
      </c>
      <c r="I226" s="1" t="s">
        <v>1474</v>
      </c>
      <c r="J226" s="1" t="s">
        <v>1475</v>
      </c>
      <c r="K226" s="1" t="s">
        <v>1408</v>
      </c>
      <c r="L226" s="1" t="s">
        <v>1476</v>
      </c>
      <c r="M226" s="1" t="s">
        <v>49</v>
      </c>
      <c r="N226" s="1" t="s">
        <v>1477</v>
      </c>
      <c r="O226" s="1" t="s">
        <v>35</v>
      </c>
      <c r="P226" s="1" t="s">
        <v>1474</v>
      </c>
      <c r="Q226" s="1" t="s">
        <v>957</v>
      </c>
      <c r="R226" s="1" t="s">
        <v>37</v>
      </c>
      <c r="S226" s="1" t="s">
        <v>37</v>
      </c>
      <c r="T226" s="1" t="s">
        <v>37</v>
      </c>
      <c r="U226" s="1" t="s">
        <v>37</v>
      </c>
    </row>
    <row r="227" spans="1:21">
      <c r="A227" s="1" t="s">
        <v>1478</v>
      </c>
      <c r="B227" s="1" t="s">
        <v>39</v>
      </c>
      <c r="C227" s="1" t="s">
        <v>40</v>
      </c>
      <c r="D227" s="1" t="s">
        <v>24</v>
      </c>
      <c r="E227" s="1" t="s">
        <v>25</v>
      </c>
      <c r="F227" s="1" t="s">
        <v>72</v>
      </c>
      <c r="G227" s="1" t="s">
        <v>1479</v>
      </c>
      <c r="H227" s="1" t="s">
        <v>107</v>
      </c>
      <c r="I227" s="1" t="s">
        <v>1480</v>
      </c>
      <c r="J227" s="1" t="s">
        <v>1481</v>
      </c>
      <c r="K227" s="1" t="s">
        <v>1482</v>
      </c>
      <c r="L227" s="1" t="s">
        <v>1483</v>
      </c>
      <c r="M227" s="1" t="s">
        <v>59</v>
      </c>
      <c r="N227" s="1" t="s">
        <v>1484</v>
      </c>
      <c r="O227" s="1" t="s">
        <v>35</v>
      </c>
      <c r="P227" s="1" t="s">
        <v>1480</v>
      </c>
      <c r="Q227" s="1" t="s">
        <v>1089</v>
      </c>
      <c r="R227" s="1" t="s">
        <v>37</v>
      </c>
      <c r="S227" s="1" t="s">
        <v>37</v>
      </c>
      <c r="T227" s="1" t="s">
        <v>37</v>
      </c>
      <c r="U227" s="1" t="s">
        <v>37</v>
      </c>
    </row>
    <row r="228" spans="1:21">
      <c r="A228" s="1" t="s">
        <v>1485</v>
      </c>
      <c r="B228" s="1" t="s">
        <v>115</v>
      </c>
      <c r="C228" s="1" t="s">
        <v>116</v>
      </c>
      <c r="D228" s="1" t="s">
        <v>24</v>
      </c>
      <c r="E228" s="1" t="s">
        <v>992</v>
      </c>
      <c r="F228" s="1" t="s">
        <v>26</v>
      </c>
      <c r="G228" s="1" t="s">
        <v>1486</v>
      </c>
      <c r="H228" s="1" t="s">
        <v>275</v>
      </c>
      <c r="I228" s="1" t="s">
        <v>1487</v>
      </c>
      <c r="J228" s="1" t="s">
        <v>1488</v>
      </c>
      <c r="K228" s="1" t="s">
        <v>623</v>
      </c>
      <c r="L228" s="1" t="s">
        <v>1489</v>
      </c>
      <c r="M228" s="1" t="s">
        <v>33</v>
      </c>
      <c r="N228" s="1" t="s">
        <v>1490</v>
      </c>
      <c r="O228" s="1" t="s">
        <v>35</v>
      </c>
      <c r="P228" s="1" t="s">
        <v>1487</v>
      </c>
      <c r="Q228" s="1" t="s">
        <v>129</v>
      </c>
      <c r="R228" s="1" t="s">
        <v>37</v>
      </c>
      <c r="S228" s="1" t="s">
        <v>37</v>
      </c>
      <c r="T228" s="1" t="s">
        <v>37</v>
      </c>
      <c r="U228" s="1" t="s">
        <v>37</v>
      </c>
    </row>
    <row r="229" spans="1:21">
      <c r="A229" s="1" t="s">
        <v>1491</v>
      </c>
      <c r="B229" s="1" t="s">
        <v>39</v>
      </c>
      <c r="C229" s="1" t="s">
        <v>40</v>
      </c>
      <c r="D229" s="1" t="s">
        <v>24</v>
      </c>
      <c r="E229" s="1" t="s">
        <v>992</v>
      </c>
      <c r="F229" s="1" t="s">
        <v>42</v>
      </c>
      <c r="G229" s="1" t="s">
        <v>1492</v>
      </c>
      <c r="H229" s="1" t="s">
        <v>129</v>
      </c>
      <c r="I229" s="1" t="s">
        <v>1493</v>
      </c>
      <c r="J229" s="1" t="s">
        <v>1494</v>
      </c>
      <c r="K229" s="1" t="s">
        <v>1452</v>
      </c>
      <c r="L229" s="1" t="s">
        <v>605</v>
      </c>
      <c r="M229" s="1" t="s">
        <v>33</v>
      </c>
      <c r="N229" s="1" t="s">
        <v>1495</v>
      </c>
      <c r="O229" s="1" t="s">
        <v>35</v>
      </c>
      <c r="P229" s="1" t="s">
        <v>1493</v>
      </c>
      <c r="Q229" s="1" t="s">
        <v>1089</v>
      </c>
      <c r="R229" s="1" t="s">
        <v>37</v>
      </c>
      <c r="S229" s="1" t="s">
        <v>37</v>
      </c>
      <c r="T229" s="1" t="s">
        <v>37</v>
      </c>
      <c r="U229" s="1" t="s">
        <v>37</v>
      </c>
    </row>
    <row r="230" spans="1:21">
      <c r="A230" s="1" t="s">
        <v>1496</v>
      </c>
      <c r="B230" s="1" t="s">
        <v>115</v>
      </c>
      <c r="C230" s="1" t="s">
        <v>116</v>
      </c>
      <c r="D230" s="1" t="s">
        <v>24</v>
      </c>
      <c r="E230" s="1" t="s">
        <v>25</v>
      </c>
      <c r="F230" s="1" t="s">
        <v>42</v>
      </c>
      <c r="G230" s="1" t="s">
        <v>1497</v>
      </c>
      <c r="H230" s="1" t="s">
        <v>90</v>
      </c>
      <c r="I230" s="1" t="s">
        <v>1498</v>
      </c>
      <c r="J230" s="1" t="s">
        <v>1499</v>
      </c>
      <c r="K230" s="1" t="s">
        <v>1500</v>
      </c>
      <c r="L230" s="1" t="s">
        <v>1501</v>
      </c>
      <c r="M230" s="1" t="s">
        <v>49</v>
      </c>
      <c r="N230" s="1" t="s">
        <v>1502</v>
      </c>
      <c r="O230" s="1" t="s">
        <v>35</v>
      </c>
      <c r="P230" s="1" t="s">
        <v>1498</v>
      </c>
      <c r="Q230" s="1" t="s">
        <v>79</v>
      </c>
      <c r="R230" s="1" t="s">
        <v>37</v>
      </c>
      <c r="S230" s="1" t="s">
        <v>37</v>
      </c>
      <c r="T230" s="1" t="s">
        <v>37</v>
      </c>
      <c r="U230" s="1" t="s">
        <v>37</v>
      </c>
    </row>
    <row r="231" spans="1:21">
      <c r="A231" s="1" t="s">
        <v>1503</v>
      </c>
      <c r="B231" s="1" t="s">
        <v>22</v>
      </c>
      <c r="C231" s="1" t="s">
        <v>23</v>
      </c>
      <c r="D231" s="1" t="s">
        <v>41</v>
      </c>
      <c r="E231" s="1" t="s">
        <v>25</v>
      </c>
      <c r="F231" s="1" t="s">
        <v>53</v>
      </c>
      <c r="G231" s="1" t="s">
        <v>1504</v>
      </c>
      <c r="H231" s="1" t="s">
        <v>64</v>
      </c>
      <c r="I231" s="1" t="s">
        <v>1505</v>
      </c>
      <c r="J231" s="1" t="s">
        <v>1506</v>
      </c>
      <c r="K231" s="1" t="s">
        <v>179</v>
      </c>
      <c r="L231" s="1" t="s">
        <v>1507</v>
      </c>
      <c r="M231" s="1" t="s">
        <v>33</v>
      </c>
      <c r="N231" s="1" t="s">
        <v>1508</v>
      </c>
      <c r="O231" s="1" t="s">
        <v>35</v>
      </c>
      <c r="P231" s="1" t="s">
        <v>1505</v>
      </c>
      <c r="Q231" s="1" t="s">
        <v>61</v>
      </c>
      <c r="R231" s="1" t="s">
        <v>37</v>
      </c>
      <c r="S231" s="1" t="s">
        <v>37</v>
      </c>
      <c r="T231" s="1" t="s">
        <v>37</v>
      </c>
      <c r="U231" s="1" t="s">
        <v>37</v>
      </c>
    </row>
    <row r="232" spans="1:21">
      <c r="A232" s="1" t="s">
        <v>1509</v>
      </c>
      <c r="B232" s="1" t="s">
        <v>115</v>
      </c>
      <c r="C232" s="1" t="s">
        <v>116</v>
      </c>
      <c r="D232" s="1" t="s">
        <v>41</v>
      </c>
      <c r="E232" s="1" t="s">
        <v>25</v>
      </c>
      <c r="F232" s="1" t="s">
        <v>127</v>
      </c>
      <c r="G232" s="1" t="s">
        <v>1510</v>
      </c>
      <c r="H232" s="1" t="s">
        <v>107</v>
      </c>
      <c r="I232" s="1" t="s">
        <v>1511</v>
      </c>
      <c r="J232" s="1" t="s">
        <v>1512</v>
      </c>
      <c r="K232" s="1" t="s">
        <v>623</v>
      </c>
      <c r="L232" s="1" t="s">
        <v>1513</v>
      </c>
      <c r="M232" s="1" t="s">
        <v>49</v>
      </c>
      <c r="N232" s="1" t="s">
        <v>1514</v>
      </c>
      <c r="O232" s="1" t="s">
        <v>35</v>
      </c>
      <c r="P232" s="1" t="s">
        <v>1511</v>
      </c>
      <c r="Q232" s="1" t="s">
        <v>434</v>
      </c>
      <c r="R232" s="1" t="s">
        <v>37</v>
      </c>
      <c r="S232" s="1" t="s">
        <v>37</v>
      </c>
      <c r="T232" s="1" t="s">
        <v>37</v>
      </c>
      <c r="U232" s="1" t="s">
        <v>37</v>
      </c>
    </row>
    <row r="233" spans="1:21">
      <c r="A233" s="1" t="s">
        <v>1515</v>
      </c>
      <c r="B233" s="1" t="s">
        <v>115</v>
      </c>
      <c r="C233" s="1" t="s">
        <v>116</v>
      </c>
      <c r="D233" s="1" t="s">
        <v>24</v>
      </c>
      <c r="E233" s="1" t="s">
        <v>25</v>
      </c>
      <c r="F233" s="1" t="s">
        <v>42</v>
      </c>
      <c r="G233" s="1" t="s">
        <v>1516</v>
      </c>
      <c r="H233" s="1" t="s">
        <v>119</v>
      </c>
      <c r="I233" s="1" t="s">
        <v>1517</v>
      </c>
      <c r="J233" s="1" t="s">
        <v>1518</v>
      </c>
      <c r="K233" s="1" t="s">
        <v>481</v>
      </c>
      <c r="L233" s="1" t="s">
        <v>1519</v>
      </c>
      <c r="M233" s="1" t="s">
        <v>59</v>
      </c>
      <c r="N233" s="1" t="s">
        <v>1520</v>
      </c>
      <c r="O233" s="1" t="s">
        <v>35</v>
      </c>
      <c r="P233" s="1" t="s">
        <v>1517</v>
      </c>
      <c r="Q233" s="1" t="s">
        <v>576</v>
      </c>
      <c r="R233" s="1" t="s">
        <v>37</v>
      </c>
      <c r="S233" s="1" t="s">
        <v>37</v>
      </c>
      <c r="T233" s="1" t="s">
        <v>37</v>
      </c>
      <c r="U233" s="1" t="s">
        <v>37</v>
      </c>
    </row>
    <row r="234" spans="1:21">
      <c r="A234" s="1" t="s">
        <v>1521</v>
      </c>
      <c r="B234" s="1" t="s">
        <v>115</v>
      </c>
      <c r="C234" s="1" t="s">
        <v>116</v>
      </c>
      <c r="D234" s="1" t="s">
        <v>41</v>
      </c>
      <c r="E234" s="1" t="s">
        <v>25</v>
      </c>
      <c r="F234" s="1" t="s">
        <v>26</v>
      </c>
      <c r="G234" s="1" t="s">
        <v>1522</v>
      </c>
      <c r="H234" s="1" t="s">
        <v>275</v>
      </c>
      <c r="I234" s="1" t="s">
        <v>1523</v>
      </c>
      <c r="J234" s="1" t="s">
        <v>1524</v>
      </c>
      <c r="K234" s="1" t="s">
        <v>562</v>
      </c>
      <c r="L234" s="1" t="s">
        <v>1525</v>
      </c>
      <c r="M234" s="1" t="s">
        <v>49</v>
      </c>
      <c r="N234" s="1" t="s">
        <v>1526</v>
      </c>
      <c r="O234" s="1" t="s">
        <v>35</v>
      </c>
      <c r="P234" s="1" t="s">
        <v>1523</v>
      </c>
      <c r="Q234" s="1" t="s">
        <v>64</v>
      </c>
      <c r="R234" s="1" t="s">
        <v>37</v>
      </c>
      <c r="S234" s="1" t="s">
        <v>37</v>
      </c>
      <c r="T234" s="1" t="s">
        <v>37</v>
      </c>
      <c r="U234" s="1" t="s">
        <v>37</v>
      </c>
    </row>
    <row r="235" spans="1:21">
      <c r="A235" s="1" t="s">
        <v>1527</v>
      </c>
      <c r="B235" s="1" t="s">
        <v>115</v>
      </c>
      <c r="C235" s="1" t="s">
        <v>116</v>
      </c>
      <c r="D235" s="1" t="s">
        <v>24</v>
      </c>
      <c r="E235" s="1" t="s">
        <v>992</v>
      </c>
      <c r="F235" s="1" t="s">
        <v>127</v>
      </c>
      <c r="G235" s="1" t="s">
        <v>1528</v>
      </c>
      <c r="H235" s="1" t="s">
        <v>129</v>
      </c>
      <c r="I235" s="1" t="s">
        <v>1529</v>
      </c>
      <c r="J235" s="1" t="s">
        <v>1530</v>
      </c>
      <c r="K235" s="1" t="s">
        <v>1433</v>
      </c>
      <c r="L235" s="1" t="s">
        <v>1531</v>
      </c>
      <c r="M235" s="1" t="s">
        <v>49</v>
      </c>
      <c r="N235" s="1" t="s">
        <v>1532</v>
      </c>
      <c r="O235" s="1" t="s">
        <v>35</v>
      </c>
      <c r="P235" s="1" t="s">
        <v>1529</v>
      </c>
      <c r="Q235" s="1" t="s">
        <v>257</v>
      </c>
      <c r="R235" s="1" t="s">
        <v>37</v>
      </c>
      <c r="S235" s="1" t="s">
        <v>37</v>
      </c>
      <c r="T235" s="1" t="s">
        <v>37</v>
      </c>
      <c r="U235" s="1" t="s">
        <v>37</v>
      </c>
    </row>
    <row r="236" spans="1:21">
      <c r="A236" s="1" t="s">
        <v>1533</v>
      </c>
      <c r="B236" s="1" t="s">
        <v>22</v>
      </c>
      <c r="C236" s="1" t="s">
        <v>23</v>
      </c>
      <c r="D236" s="1" t="s">
        <v>24</v>
      </c>
      <c r="E236" s="1" t="s">
        <v>992</v>
      </c>
      <c r="F236" s="1" t="s">
        <v>26</v>
      </c>
      <c r="G236" s="1" t="s">
        <v>1534</v>
      </c>
      <c r="H236" s="1" t="s">
        <v>99</v>
      </c>
      <c r="I236" s="1" t="s">
        <v>1535</v>
      </c>
      <c r="J236" s="1" t="s">
        <v>1536</v>
      </c>
      <c r="K236" s="1" t="s">
        <v>140</v>
      </c>
      <c r="L236" s="1" t="s">
        <v>1537</v>
      </c>
      <c r="M236" s="1" t="s">
        <v>33</v>
      </c>
      <c r="N236" s="1" t="s">
        <v>1538</v>
      </c>
      <c r="O236" s="1" t="s">
        <v>35</v>
      </c>
      <c r="P236" s="1" t="s">
        <v>1535</v>
      </c>
      <c r="Q236" s="1" t="s">
        <v>434</v>
      </c>
      <c r="R236" s="1" t="s">
        <v>37</v>
      </c>
      <c r="S236" s="1" t="s">
        <v>37</v>
      </c>
      <c r="T236" s="1" t="s">
        <v>37</v>
      </c>
      <c r="U236" s="1" t="s">
        <v>37</v>
      </c>
    </row>
    <row r="237" spans="1:21">
      <c r="A237" s="1" t="s">
        <v>1539</v>
      </c>
      <c r="B237" s="1" t="s">
        <v>22</v>
      </c>
      <c r="C237" s="1" t="s">
        <v>23</v>
      </c>
      <c r="D237" s="1" t="s">
        <v>41</v>
      </c>
      <c r="E237" s="1" t="s">
        <v>25</v>
      </c>
      <c r="F237" s="1" t="s">
        <v>72</v>
      </c>
      <c r="G237" s="1" t="s">
        <v>1540</v>
      </c>
      <c r="H237" s="1" t="s">
        <v>107</v>
      </c>
      <c r="I237" s="1" t="s">
        <v>1541</v>
      </c>
      <c r="J237" s="1" t="s">
        <v>1542</v>
      </c>
      <c r="K237" s="1" t="s">
        <v>473</v>
      </c>
      <c r="L237" s="1" t="s">
        <v>1543</v>
      </c>
      <c r="M237" s="1" t="s">
        <v>33</v>
      </c>
      <c r="N237" s="1" t="s">
        <v>1544</v>
      </c>
      <c r="O237" s="1" t="s">
        <v>35</v>
      </c>
      <c r="P237" s="1" t="s">
        <v>1541</v>
      </c>
      <c r="Q237" s="1" t="s">
        <v>87</v>
      </c>
      <c r="R237" s="1" t="s">
        <v>37</v>
      </c>
      <c r="S237" s="1" t="s">
        <v>37</v>
      </c>
      <c r="T237" s="1" t="s">
        <v>37</v>
      </c>
      <c r="U237" s="1" t="s">
        <v>37</v>
      </c>
    </row>
    <row r="238" spans="1:21">
      <c r="A238" s="1" t="s">
        <v>1545</v>
      </c>
      <c r="B238" s="1" t="s">
        <v>39</v>
      </c>
      <c r="C238" s="1" t="s">
        <v>40</v>
      </c>
      <c r="D238" s="1" t="s">
        <v>41</v>
      </c>
      <c r="E238" s="1" t="s">
        <v>992</v>
      </c>
      <c r="F238" s="1" t="s">
        <v>26</v>
      </c>
      <c r="G238" s="1" t="s">
        <v>1546</v>
      </c>
      <c r="H238" s="1" t="s">
        <v>44</v>
      </c>
      <c r="I238" s="1" t="s">
        <v>1547</v>
      </c>
      <c r="J238" s="1" t="s">
        <v>1548</v>
      </c>
      <c r="K238" s="1" t="s">
        <v>290</v>
      </c>
      <c r="L238" s="1" t="s">
        <v>1549</v>
      </c>
      <c r="M238" s="1" t="s">
        <v>59</v>
      </c>
      <c r="N238" s="1" t="s">
        <v>1550</v>
      </c>
      <c r="O238" s="1" t="s">
        <v>35</v>
      </c>
      <c r="P238" s="1" t="s">
        <v>1547</v>
      </c>
      <c r="Q238" s="1" t="s">
        <v>752</v>
      </c>
      <c r="R238" s="1" t="s">
        <v>37</v>
      </c>
      <c r="S238" s="1" t="s">
        <v>37</v>
      </c>
      <c r="T238" s="1" t="s">
        <v>37</v>
      </c>
      <c r="U238" s="1" t="s">
        <v>37</v>
      </c>
    </row>
    <row r="239" spans="1:21">
      <c r="A239" s="1" t="s">
        <v>1551</v>
      </c>
      <c r="B239" s="1" t="s">
        <v>39</v>
      </c>
      <c r="C239" s="1" t="s">
        <v>40</v>
      </c>
      <c r="D239" s="1" t="s">
        <v>24</v>
      </c>
      <c r="E239" s="1" t="s">
        <v>25</v>
      </c>
      <c r="F239" s="1" t="s">
        <v>127</v>
      </c>
      <c r="G239" s="1" t="s">
        <v>1552</v>
      </c>
      <c r="H239" s="1" t="s">
        <v>44</v>
      </c>
      <c r="I239" s="1" t="s">
        <v>1553</v>
      </c>
      <c r="J239" s="1" t="s">
        <v>1554</v>
      </c>
      <c r="K239" s="1" t="s">
        <v>217</v>
      </c>
      <c r="L239" s="1" t="s">
        <v>1555</v>
      </c>
      <c r="M239" s="1" t="s">
        <v>59</v>
      </c>
      <c r="N239" s="1" t="s">
        <v>1556</v>
      </c>
      <c r="O239" s="1" t="s">
        <v>35</v>
      </c>
      <c r="P239" s="1" t="s">
        <v>1553</v>
      </c>
      <c r="Q239" s="1" t="s">
        <v>198</v>
      </c>
      <c r="R239" s="1" t="s">
        <v>37</v>
      </c>
      <c r="S239" s="1" t="s">
        <v>37</v>
      </c>
      <c r="T239" s="1" t="s">
        <v>37</v>
      </c>
      <c r="U239" s="1" t="s">
        <v>37</v>
      </c>
    </row>
    <row r="240" spans="1:21">
      <c r="A240" s="1" t="s">
        <v>1557</v>
      </c>
      <c r="B240" s="1" t="s">
        <v>115</v>
      </c>
      <c r="C240" s="1" t="s">
        <v>116</v>
      </c>
      <c r="D240" s="1" t="s">
        <v>24</v>
      </c>
      <c r="E240" s="1" t="s">
        <v>25</v>
      </c>
      <c r="F240" s="1" t="s">
        <v>42</v>
      </c>
      <c r="G240" s="1" t="s">
        <v>1558</v>
      </c>
      <c r="H240" s="1" t="s">
        <v>44</v>
      </c>
      <c r="I240" s="1" t="s">
        <v>1559</v>
      </c>
      <c r="J240" s="1" t="s">
        <v>1560</v>
      </c>
      <c r="K240" s="1" t="s">
        <v>240</v>
      </c>
      <c r="L240" s="1" t="s">
        <v>1561</v>
      </c>
      <c r="M240" s="1" t="s">
        <v>49</v>
      </c>
      <c r="N240" s="1" t="s">
        <v>1562</v>
      </c>
      <c r="O240" s="1" t="s">
        <v>35</v>
      </c>
      <c r="P240" s="1" t="s">
        <v>1559</v>
      </c>
      <c r="Q240" s="1" t="s">
        <v>550</v>
      </c>
      <c r="R240" s="1" t="s">
        <v>37</v>
      </c>
      <c r="S240" s="1" t="s">
        <v>37</v>
      </c>
      <c r="T240" s="1" t="s">
        <v>37</v>
      </c>
      <c r="U240" s="1" t="s">
        <v>37</v>
      </c>
    </row>
    <row r="241" spans="1:21">
      <c r="A241" s="1" t="s">
        <v>1563</v>
      </c>
      <c r="B241" s="1" t="s">
        <v>22</v>
      </c>
      <c r="C241" s="1" t="s">
        <v>23</v>
      </c>
      <c r="D241" s="1" t="s">
        <v>41</v>
      </c>
      <c r="E241" s="1" t="s">
        <v>992</v>
      </c>
      <c r="F241" s="1" t="s">
        <v>127</v>
      </c>
      <c r="G241" s="1" t="s">
        <v>1564</v>
      </c>
      <c r="H241" s="1" t="s">
        <v>253</v>
      </c>
      <c r="I241" s="1" t="s">
        <v>1565</v>
      </c>
      <c r="J241" s="1" t="s">
        <v>1566</v>
      </c>
      <c r="K241" s="1" t="s">
        <v>1482</v>
      </c>
      <c r="L241" s="1" t="s">
        <v>1567</v>
      </c>
      <c r="M241" s="1" t="s">
        <v>33</v>
      </c>
      <c r="N241" s="1" t="s">
        <v>1564</v>
      </c>
      <c r="O241" s="1" t="s">
        <v>35</v>
      </c>
      <c r="P241" s="1" t="s">
        <v>1565</v>
      </c>
      <c r="Q241" s="1" t="s">
        <v>752</v>
      </c>
      <c r="R241" s="1" t="s">
        <v>37</v>
      </c>
      <c r="S241" s="1" t="s">
        <v>37</v>
      </c>
      <c r="T241" s="1" t="s">
        <v>37</v>
      </c>
      <c r="U241" s="1" t="s">
        <v>37</v>
      </c>
    </row>
    <row r="242" spans="1:21">
      <c r="A242" s="1" t="s">
        <v>1568</v>
      </c>
      <c r="B242" s="1" t="s">
        <v>22</v>
      </c>
      <c r="C242" s="1" t="s">
        <v>23</v>
      </c>
      <c r="D242" s="1" t="s">
        <v>41</v>
      </c>
      <c r="E242" s="1" t="s">
        <v>992</v>
      </c>
      <c r="F242" s="1" t="s">
        <v>117</v>
      </c>
      <c r="G242" s="1" t="s">
        <v>1569</v>
      </c>
      <c r="H242" s="1" t="s">
        <v>275</v>
      </c>
      <c r="I242" s="1" t="s">
        <v>1570</v>
      </c>
      <c r="J242" s="1" t="s">
        <v>1571</v>
      </c>
      <c r="K242" s="1" t="s">
        <v>1482</v>
      </c>
      <c r="L242" s="1" t="s">
        <v>1572</v>
      </c>
      <c r="M242" s="1" t="s">
        <v>59</v>
      </c>
      <c r="N242" s="1" t="s">
        <v>1573</v>
      </c>
      <c r="O242" s="1" t="s">
        <v>35</v>
      </c>
      <c r="P242" s="1" t="s">
        <v>1570</v>
      </c>
      <c r="Q242" s="1" t="s">
        <v>366</v>
      </c>
      <c r="R242" s="1" t="s">
        <v>37</v>
      </c>
      <c r="S242" s="1" t="s">
        <v>37</v>
      </c>
      <c r="T242" s="1" t="s">
        <v>37</v>
      </c>
      <c r="U242" s="1" t="s">
        <v>37</v>
      </c>
    </row>
    <row r="243" spans="1:21">
      <c r="A243" s="1" t="s">
        <v>1574</v>
      </c>
      <c r="B243" s="1" t="s">
        <v>22</v>
      </c>
      <c r="C243" s="1" t="s">
        <v>23</v>
      </c>
      <c r="D243" s="1" t="s">
        <v>41</v>
      </c>
      <c r="E243" s="1" t="s">
        <v>992</v>
      </c>
      <c r="F243" s="1" t="s">
        <v>26</v>
      </c>
      <c r="G243" s="1" t="s">
        <v>1575</v>
      </c>
      <c r="H243" s="1" t="s">
        <v>107</v>
      </c>
      <c r="I243" s="1" t="s">
        <v>1576</v>
      </c>
      <c r="J243" s="1" t="s">
        <v>1577</v>
      </c>
      <c r="K243" s="1" t="s">
        <v>179</v>
      </c>
      <c r="L243" s="1" t="s">
        <v>1578</v>
      </c>
      <c r="M243" s="1" t="s">
        <v>59</v>
      </c>
      <c r="N243" s="1" t="s">
        <v>1579</v>
      </c>
      <c r="O243" s="1" t="s">
        <v>35</v>
      </c>
      <c r="P243" s="1" t="s">
        <v>1576</v>
      </c>
      <c r="Q243" s="1" t="s">
        <v>96</v>
      </c>
      <c r="R243" s="1" t="s">
        <v>37</v>
      </c>
      <c r="S243" s="1" t="s">
        <v>37</v>
      </c>
      <c r="T243" s="1" t="s">
        <v>37</v>
      </c>
      <c r="U243" s="1" t="s">
        <v>37</v>
      </c>
    </row>
    <row r="244" spans="1:21">
      <c r="A244" s="1" t="s">
        <v>1580</v>
      </c>
      <c r="B244" s="1" t="s">
        <v>39</v>
      </c>
      <c r="C244" s="1" t="s">
        <v>40</v>
      </c>
      <c r="D244" s="1" t="s">
        <v>24</v>
      </c>
      <c r="E244" s="1" t="s">
        <v>992</v>
      </c>
      <c r="F244" s="1" t="s">
        <v>127</v>
      </c>
      <c r="G244" s="1" t="s">
        <v>1581</v>
      </c>
      <c r="H244" s="1" t="s">
        <v>107</v>
      </c>
      <c r="I244" s="1" t="s">
        <v>1582</v>
      </c>
      <c r="J244" s="1" t="s">
        <v>1583</v>
      </c>
      <c r="K244" s="1" t="s">
        <v>452</v>
      </c>
      <c r="L244" s="1" t="s">
        <v>630</v>
      </c>
      <c r="M244" s="1" t="s">
        <v>59</v>
      </c>
      <c r="N244" s="1" t="s">
        <v>1584</v>
      </c>
      <c r="O244" s="1" t="s">
        <v>35</v>
      </c>
      <c r="P244" s="1" t="s">
        <v>1582</v>
      </c>
      <c r="Q244" s="1" t="s">
        <v>90</v>
      </c>
      <c r="R244" s="1" t="s">
        <v>37</v>
      </c>
      <c r="S244" s="1" t="s">
        <v>37</v>
      </c>
      <c r="T244" s="1" t="s">
        <v>37</v>
      </c>
      <c r="U244" s="1" t="s">
        <v>37</v>
      </c>
    </row>
    <row r="245" spans="1:21">
      <c r="A245" s="1" t="s">
        <v>1585</v>
      </c>
      <c r="B245" s="1" t="s">
        <v>22</v>
      </c>
      <c r="C245" s="1" t="s">
        <v>23</v>
      </c>
      <c r="D245" s="1" t="s">
        <v>24</v>
      </c>
      <c r="E245" s="1" t="s">
        <v>992</v>
      </c>
      <c r="F245" s="1" t="s">
        <v>53</v>
      </c>
      <c r="G245" s="1" t="s">
        <v>1586</v>
      </c>
      <c r="H245" s="1" t="s">
        <v>129</v>
      </c>
      <c r="I245" s="1" t="s">
        <v>1587</v>
      </c>
      <c r="J245" s="1" t="s">
        <v>1588</v>
      </c>
      <c r="K245" s="1" t="s">
        <v>31</v>
      </c>
      <c r="L245" s="1" t="s">
        <v>1589</v>
      </c>
      <c r="M245" s="1" t="s">
        <v>49</v>
      </c>
      <c r="N245" s="1" t="s">
        <v>1590</v>
      </c>
      <c r="O245" s="1" t="s">
        <v>35</v>
      </c>
      <c r="P245" s="1" t="s">
        <v>1587</v>
      </c>
      <c r="Q245" s="1" t="s">
        <v>791</v>
      </c>
      <c r="R245" s="1" t="s">
        <v>37</v>
      </c>
      <c r="S245" s="1" t="s">
        <v>37</v>
      </c>
      <c r="T245" s="1" t="s">
        <v>37</v>
      </c>
      <c r="U245" s="1" t="s">
        <v>37</v>
      </c>
    </row>
    <row r="246" spans="1:21">
      <c r="A246" s="1" t="s">
        <v>1591</v>
      </c>
      <c r="B246" s="1" t="s">
        <v>115</v>
      </c>
      <c r="C246" s="1" t="s">
        <v>116</v>
      </c>
      <c r="D246" s="1" t="s">
        <v>41</v>
      </c>
      <c r="E246" s="1" t="s">
        <v>992</v>
      </c>
      <c r="F246" s="1" t="s">
        <v>53</v>
      </c>
      <c r="G246" s="1" t="s">
        <v>1592</v>
      </c>
      <c r="H246" s="1" t="s">
        <v>64</v>
      </c>
      <c r="I246" s="1" t="s">
        <v>1593</v>
      </c>
      <c r="J246" s="1" t="s">
        <v>1594</v>
      </c>
      <c r="K246" s="1" t="s">
        <v>356</v>
      </c>
      <c r="L246" s="1" t="s">
        <v>1595</v>
      </c>
      <c r="M246" s="1" t="s">
        <v>59</v>
      </c>
      <c r="N246" s="1" t="s">
        <v>1596</v>
      </c>
      <c r="O246" s="1" t="s">
        <v>35</v>
      </c>
      <c r="P246" s="1" t="s">
        <v>1593</v>
      </c>
      <c r="Q246" s="1" t="s">
        <v>638</v>
      </c>
      <c r="R246" s="1" t="s">
        <v>37</v>
      </c>
      <c r="S246" s="1" t="s">
        <v>37</v>
      </c>
      <c r="T246" s="1" t="s">
        <v>37</v>
      </c>
      <c r="U246" s="1" t="s">
        <v>37</v>
      </c>
    </row>
    <row r="247" spans="1:21">
      <c r="A247" s="1" t="s">
        <v>1597</v>
      </c>
      <c r="B247" s="1" t="s">
        <v>22</v>
      </c>
      <c r="C247" s="1" t="s">
        <v>23</v>
      </c>
      <c r="D247" s="1" t="s">
        <v>24</v>
      </c>
      <c r="E247" s="1" t="s">
        <v>992</v>
      </c>
      <c r="F247" s="1" t="s">
        <v>53</v>
      </c>
      <c r="G247" s="1" t="s">
        <v>1598</v>
      </c>
      <c r="H247" s="1" t="s">
        <v>64</v>
      </c>
      <c r="I247" s="1" t="s">
        <v>1599</v>
      </c>
      <c r="J247" s="1" t="s">
        <v>1600</v>
      </c>
      <c r="K247" s="1" t="s">
        <v>187</v>
      </c>
      <c r="L247" s="1" t="s">
        <v>1601</v>
      </c>
      <c r="M247" s="1" t="s">
        <v>49</v>
      </c>
      <c r="N247" s="1" t="s">
        <v>1602</v>
      </c>
      <c r="O247" s="1" t="s">
        <v>35</v>
      </c>
      <c r="P247" s="1" t="s">
        <v>1599</v>
      </c>
      <c r="Q247" s="1" t="s">
        <v>167</v>
      </c>
      <c r="R247" s="1" t="s">
        <v>37</v>
      </c>
      <c r="S247" s="1" t="s">
        <v>37</v>
      </c>
      <c r="T247" s="1" t="s">
        <v>37</v>
      </c>
      <c r="U247" s="1" t="s">
        <v>37</v>
      </c>
    </row>
    <row r="248" spans="1:21">
      <c r="A248" s="1" t="s">
        <v>1603</v>
      </c>
      <c r="B248" s="1" t="s">
        <v>115</v>
      </c>
      <c r="C248" s="1" t="s">
        <v>116</v>
      </c>
      <c r="D248" s="1" t="s">
        <v>24</v>
      </c>
      <c r="E248" s="1" t="s">
        <v>25</v>
      </c>
      <c r="F248" s="1" t="s">
        <v>42</v>
      </c>
      <c r="G248" s="1" t="s">
        <v>1604</v>
      </c>
      <c r="H248" s="1" t="s">
        <v>119</v>
      </c>
      <c r="I248" s="1" t="s">
        <v>1605</v>
      </c>
      <c r="J248" s="1" t="s">
        <v>1606</v>
      </c>
      <c r="K248" s="1" t="s">
        <v>718</v>
      </c>
      <c r="L248" s="1" t="s">
        <v>1607</v>
      </c>
      <c r="M248" s="1" t="s">
        <v>49</v>
      </c>
      <c r="N248" s="1" t="s">
        <v>1608</v>
      </c>
      <c r="O248" s="1" t="s">
        <v>35</v>
      </c>
      <c r="P248" s="1" t="s">
        <v>1605</v>
      </c>
      <c r="Q248" s="1" t="s">
        <v>212</v>
      </c>
      <c r="R248" s="1" t="s">
        <v>37</v>
      </c>
      <c r="S248" s="1" t="s">
        <v>37</v>
      </c>
      <c r="T248" s="1" t="s">
        <v>37</v>
      </c>
      <c r="U248" s="1" t="s">
        <v>37</v>
      </c>
    </row>
    <row r="249" spans="1:21">
      <c r="A249" s="1" t="s">
        <v>1609</v>
      </c>
      <c r="B249" s="1" t="s">
        <v>22</v>
      </c>
      <c r="C249" s="1" t="s">
        <v>23</v>
      </c>
      <c r="D249" s="1" t="s">
        <v>24</v>
      </c>
      <c r="E249" s="1" t="s">
        <v>992</v>
      </c>
      <c r="F249" s="1" t="s">
        <v>127</v>
      </c>
      <c r="G249" s="1" t="s">
        <v>1610</v>
      </c>
      <c r="H249" s="1" t="s">
        <v>44</v>
      </c>
      <c r="I249" s="1" t="s">
        <v>1611</v>
      </c>
      <c r="J249" s="1" t="s">
        <v>1612</v>
      </c>
      <c r="K249" s="1" t="s">
        <v>629</v>
      </c>
      <c r="L249" s="1" t="s">
        <v>1613</v>
      </c>
      <c r="M249" s="1" t="s">
        <v>33</v>
      </c>
      <c r="N249" s="1" t="s">
        <v>1614</v>
      </c>
      <c r="O249" s="1" t="s">
        <v>35</v>
      </c>
      <c r="P249" s="1" t="s">
        <v>1611</v>
      </c>
      <c r="Q249" s="1" t="s">
        <v>143</v>
      </c>
      <c r="R249" s="1" t="s">
        <v>37</v>
      </c>
      <c r="S249" s="1" t="s">
        <v>37</v>
      </c>
      <c r="T249" s="1" t="s">
        <v>37</v>
      </c>
      <c r="U249" s="1" t="s">
        <v>37</v>
      </c>
    </row>
    <row r="250" spans="1:21">
      <c r="A250" s="1" t="s">
        <v>1615</v>
      </c>
      <c r="B250" s="1" t="s">
        <v>22</v>
      </c>
      <c r="C250" s="1" t="s">
        <v>23</v>
      </c>
      <c r="D250" s="1" t="s">
        <v>24</v>
      </c>
      <c r="E250" s="1" t="s">
        <v>992</v>
      </c>
      <c r="F250" s="1" t="s">
        <v>42</v>
      </c>
      <c r="G250" s="1" t="s">
        <v>1616</v>
      </c>
      <c r="H250" s="1" t="s">
        <v>129</v>
      </c>
      <c r="I250" s="1" t="s">
        <v>1617</v>
      </c>
      <c r="J250" s="1" t="s">
        <v>1618</v>
      </c>
      <c r="K250" s="1" t="s">
        <v>316</v>
      </c>
      <c r="L250" s="1" t="s">
        <v>1619</v>
      </c>
      <c r="M250" s="1" t="s">
        <v>59</v>
      </c>
      <c r="N250" s="1" t="s">
        <v>1620</v>
      </c>
      <c r="O250" s="1" t="s">
        <v>35</v>
      </c>
      <c r="P250" s="1" t="s">
        <v>1617</v>
      </c>
      <c r="Q250" s="1" t="s">
        <v>944</v>
      </c>
      <c r="R250" s="1" t="s">
        <v>37</v>
      </c>
      <c r="S250" s="1" t="s">
        <v>37</v>
      </c>
      <c r="T250" s="1" t="s">
        <v>37</v>
      </c>
      <c r="U250" s="1" t="s">
        <v>37</v>
      </c>
    </row>
    <row r="251" spans="1:21">
      <c r="A251" s="1" t="s">
        <v>1621</v>
      </c>
      <c r="B251" s="1" t="s">
        <v>115</v>
      </c>
      <c r="C251" s="1" t="s">
        <v>116</v>
      </c>
      <c r="D251" s="1" t="s">
        <v>41</v>
      </c>
      <c r="E251" s="1" t="s">
        <v>992</v>
      </c>
      <c r="F251" s="1" t="s">
        <v>117</v>
      </c>
      <c r="G251" s="1" t="s">
        <v>1622</v>
      </c>
      <c r="H251" s="1" t="s">
        <v>28</v>
      </c>
      <c r="I251" s="1" t="s">
        <v>1623</v>
      </c>
      <c r="J251" s="1" t="s">
        <v>1624</v>
      </c>
      <c r="K251" s="1" t="s">
        <v>1350</v>
      </c>
      <c r="L251" s="1" t="s">
        <v>1625</v>
      </c>
      <c r="M251" s="1" t="s">
        <v>59</v>
      </c>
      <c r="N251" s="1" t="s">
        <v>1626</v>
      </c>
      <c r="O251" s="1" t="s">
        <v>35</v>
      </c>
      <c r="P251" s="1" t="s">
        <v>1623</v>
      </c>
      <c r="Q251" s="1" t="s">
        <v>791</v>
      </c>
      <c r="R251" s="1" t="s">
        <v>37</v>
      </c>
      <c r="S251" s="1" t="s">
        <v>37</v>
      </c>
      <c r="T251" s="1" t="s">
        <v>37</v>
      </c>
      <c r="U251" s="1" t="s">
        <v>37</v>
      </c>
    </row>
    <row r="252" spans="1:21">
      <c r="A252" s="1" t="s">
        <v>1627</v>
      </c>
      <c r="B252" s="1" t="s">
        <v>115</v>
      </c>
      <c r="C252" s="1" t="s">
        <v>116</v>
      </c>
      <c r="D252" s="1" t="s">
        <v>24</v>
      </c>
      <c r="E252" s="1" t="s">
        <v>992</v>
      </c>
      <c r="F252" s="1" t="s">
        <v>117</v>
      </c>
      <c r="G252" s="1" t="s">
        <v>1628</v>
      </c>
      <c r="H252" s="1" t="s">
        <v>275</v>
      </c>
      <c r="I252" s="1" t="s">
        <v>1629</v>
      </c>
      <c r="J252" s="1" t="s">
        <v>1630</v>
      </c>
      <c r="K252" s="1" t="s">
        <v>356</v>
      </c>
      <c r="L252" s="1" t="s">
        <v>1631</v>
      </c>
      <c r="M252" s="1" t="s">
        <v>33</v>
      </c>
      <c r="N252" s="1" t="s">
        <v>1128</v>
      </c>
      <c r="O252" s="1" t="s">
        <v>35</v>
      </c>
      <c r="P252" s="1" t="s">
        <v>1629</v>
      </c>
      <c r="Q252" s="1" t="s">
        <v>544</v>
      </c>
      <c r="R252" s="1" t="s">
        <v>37</v>
      </c>
      <c r="S252" s="1" t="s">
        <v>37</v>
      </c>
      <c r="T252" s="1" t="s">
        <v>37</v>
      </c>
      <c r="U252" s="1" t="s">
        <v>37</v>
      </c>
    </row>
    <row r="253" spans="1:21">
      <c r="A253" s="1" t="s">
        <v>1632</v>
      </c>
      <c r="B253" s="1" t="s">
        <v>39</v>
      </c>
      <c r="C253" s="1" t="s">
        <v>40</v>
      </c>
      <c r="D253" s="1" t="s">
        <v>24</v>
      </c>
      <c r="E253" s="1" t="s">
        <v>992</v>
      </c>
      <c r="F253" s="1" t="s">
        <v>127</v>
      </c>
      <c r="G253" s="1" t="s">
        <v>1633</v>
      </c>
      <c r="H253" s="1" t="s">
        <v>99</v>
      </c>
      <c r="I253" s="1" t="s">
        <v>1634</v>
      </c>
      <c r="J253" s="1" t="s">
        <v>1635</v>
      </c>
      <c r="K253" s="1" t="s">
        <v>1636</v>
      </c>
      <c r="L253" s="1" t="s">
        <v>1625</v>
      </c>
      <c r="M253" s="1" t="s">
        <v>59</v>
      </c>
      <c r="N253" s="1" t="s">
        <v>1637</v>
      </c>
      <c r="O253" s="1" t="s">
        <v>35</v>
      </c>
      <c r="P253" s="1" t="s">
        <v>1634</v>
      </c>
      <c r="Q253" s="1" t="s">
        <v>70</v>
      </c>
      <c r="R253" s="1" t="s">
        <v>37</v>
      </c>
      <c r="S253" s="1" t="s">
        <v>37</v>
      </c>
      <c r="T253" s="1" t="s">
        <v>37</v>
      </c>
      <c r="U253" s="1" t="s">
        <v>37</v>
      </c>
    </row>
    <row r="254" spans="1:21">
      <c r="A254" s="1" t="s">
        <v>1638</v>
      </c>
      <c r="B254" s="1" t="s">
        <v>39</v>
      </c>
      <c r="C254" s="1" t="s">
        <v>40</v>
      </c>
      <c r="D254" s="1" t="s">
        <v>41</v>
      </c>
      <c r="E254" s="1" t="s">
        <v>25</v>
      </c>
      <c r="F254" s="1" t="s">
        <v>72</v>
      </c>
      <c r="G254" s="1" t="s">
        <v>1639</v>
      </c>
      <c r="H254" s="1" t="s">
        <v>107</v>
      </c>
      <c r="I254" s="1" t="s">
        <v>1640</v>
      </c>
      <c r="J254" s="1" t="s">
        <v>1641</v>
      </c>
      <c r="K254" s="1" t="s">
        <v>240</v>
      </c>
      <c r="L254" s="1" t="s">
        <v>1117</v>
      </c>
      <c r="M254" s="1" t="s">
        <v>59</v>
      </c>
      <c r="N254" s="1" t="s">
        <v>1642</v>
      </c>
      <c r="O254" s="1" t="s">
        <v>35</v>
      </c>
      <c r="P254" s="1" t="s">
        <v>1640</v>
      </c>
      <c r="Q254" s="1" t="s">
        <v>113</v>
      </c>
      <c r="R254" s="1" t="s">
        <v>37</v>
      </c>
      <c r="S254" s="1" t="s">
        <v>37</v>
      </c>
      <c r="T254" s="1" t="s">
        <v>37</v>
      </c>
      <c r="U254" s="1" t="s">
        <v>37</v>
      </c>
    </row>
    <row r="255" spans="1:21">
      <c r="A255" s="1" t="s">
        <v>1643</v>
      </c>
      <c r="B255" s="1" t="s">
        <v>22</v>
      </c>
      <c r="C255" s="1" t="s">
        <v>23</v>
      </c>
      <c r="D255" s="1" t="s">
        <v>41</v>
      </c>
      <c r="E255" s="1" t="s">
        <v>992</v>
      </c>
      <c r="F255" s="1" t="s">
        <v>53</v>
      </c>
      <c r="G255" s="1" t="s">
        <v>1644</v>
      </c>
      <c r="H255" s="1" t="s">
        <v>129</v>
      </c>
      <c r="I255" s="1" t="s">
        <v>1645</v>
      </c>
      <c r="J255" s="1" t="s">
        <v>1646</v>
      </c>
      <c r="K255" s="1" t="s">
        <v>378</v>
      </c>
      <c r="L255" s="1" t="s">
        <v>1647</v>
      </c>
      <c r="M255" s="1" t="s">
        <v>49</v>
      </c>
      <c r="N255" s="1" t="s">
        <v>1648</v>
      </c>
      <c r="O255" s="1" t="s">
        <v>35</v>
      </c>
      <c r="P255" s="1" t="s">
        <v>1645</v>
      </c>
      <c r="Q255" s="1" t="s">
        <v>849</v>
      </c>
      <c r="R255" s="1" t="s">
        <v>37</v>
      </c>
      <c r="S255" s="1" t="s">
        <v>37</v>
      </c>
      <c r="T255" s="1" t="s">
        <v>37</v>
      </c>
      <c r="U255" s="1" t="s">
        <v>37</v>
      </c>
    </row>
    <row r="256" spans="1:21">
      <c r="A256" s="1" t="s">
        <v>1649</v>
      </c>
      <c r="B256" s="1" t="s">
        <v>22</v>
      </c>
      <c r="C256" s="1" t="s">
        <v>23</v>
      </c>
      <c r="D256" s="1" t="s">
        <v>24</v>
      </c>
      <c r="E256" s="1" t="s">
        <v>992</v>
      </c>
      <c r="F256" s="1" t="s">
        <v>53</v>
      </c>
      <c r="G256" s="1" t="s">
        <v>1650</v>
      </c>
      <c r="H256" s="1" t="s">
        <v>64</v>
      </c>
      <c r="I256" s="1" t="s">
        <v>1651</v>
      </c>
      <c r="J256" s="1" t="s">
        <v>1652</v>
      </c>
      <c r="K256" s="1" t="s">
        <v>555</v>
      </c>
      <c r="L256" s="1" t="s">
        <v>1653</v>
      </c>
      <c r="M256" s="1" t="s">
        <v>49</v>
      </c>
      <c r="N256" s="1" t="s">
        <v>1654</v>
      </c>
      <c r="O256" s="1" t="s">
        <v>35</v>
      </c>
      <c r="P256" s="1" t="s">
        <v>1651</v>
      </c>
      <c r="Q256" s="1" t="s">
        <v>1655</v>
      </c>
      <c r="R256" s="1" t="s">
        <v>37</v>
      </c>
      <c r="S256" s="1" t="s">
        <v>37</v>
      </c>
      <c r="T256" s="1" t="s">
        <v>37</v>
      </c>
      <c r="U256" s="1" t="s">
        <v>37</v>
      </c>
    </row>
    <row r="257" spans="1:21">
      <c r="A257" s="1" t="s">
        <v>1656</v>
      </c>
      <c r="B257" s="1" t="s">
        <v>115</v>
      </c>
      <c r="C257" s="1" t="s">
        <v>116</v>
      </c>
      <c r="D257" s="1" t="s">
        <v>24</v>
      </c>
      <c r="E257" s="1" t="s">
        <v>992</v>
      </c>
      <c r="F257" s="1" t="s">
        <v>127</v>
      </c>
      <c r="G257" s="1" t="s">
        <v>1657</v>
      </c>
      <c r="H257" s="1" t="s">
        <v>129</v>
      </c>
      <c r="I257" s="1" t="s">
        <v>1658</v>
      </c>
      <c r="J257" s="1" t="s">
        <v>1659</v>
      </c>
      <c r="K257" s="1" t="s">
        <v>1057</v>
      </c>
      <c r="L257" s="1" t="s">
        <v>1135</v>
      </c>
      <c r="M257" s="1" t="s">
        <v>49</v>
      </c>
      <c r="N257" s="1" t="s">
        <v>1660</v>
      </c>
      <c r="O257" s="1" t="s">
        <v>35</v>
      </c>
      <c r="P257" s="1" t="s">
        <v>1658</v>
      </c>
      <c r="Q257" s="1" t="s">
        <v>275</v>
      </c>
      <c r="R257" s="1" t="s">
        <v>37</v>
      </c>
      <c r="S257" s="1" t="s">
        <v>37</v>
      </c>
      <c r="T257" s="1" t="s">
        <v>37</v>
      </c>
      <c r="U257" s="1" t="s">
        <v>37</v>
      </c>
    </row>
    <row r="258" spans="1:21">
      <c r="A258" s="1" t="s">
        <v>1661</v>
      </c>
      <c r="B258" s="1" t="s">
        <v>22</v>
      </c>
      <c r="C258" s="1" t="s">
        <v>23</v>
      </c>
      <c r="D258" s="1" t="s">
        <v>24</v>
      </c>
      <c r="E258" s="1" t="s">
        <v>992</v>
      </c>
      <c r="F258" s="1" t="s">
        <v>42</v>
      </c>
      <c r="G258" s="1" t="s">
        <v>1662</v>
      </c>
      <c r="H258" s="1" t="s">
        <v>253</v>
      </c>
      <c r="I258" s="1" t="s">
        <v>1663</v>
      </c>
      <c r="J258" s="1" t="s">
        <v>1664</v>
      </c>
      <c r="K258" s="1" t="s">
        <v>1452</v>
      </c>
      <c r="L258" s="1" t="s">
        <v>1665</v>
      </c>
      <c r="M258" s="1" t="s">
        <v>59</v>
      </c>
      <c r="N258" s="1" t="s">
        <v>1662</v>
      </c>
      <c r="O258" s="1" t="s">
        <v>35</v>
      </c>
      <c r="P258" s="1" t="s">
        <v>1663</v>
      </c>
      <c r="Q258" s="1" t="s">
        <v>1089</v>
      </c>
      <c r="R258" s="1" t="s">
        <v>37</v>
      </c>
      <c r="S258" s="1" t="s">
        <v>37</v>
      </c>
      <c r="T258" s="1" t="s">
        <v>37</v>
      </c>
      <c r="U258" s="1" t="s">
        <v>37</v>
      </c>
    </row>
    <row r="259" spans="1:21">
      <c r="A259" s="1" t="s">
        <v>1666</v>
      </c>
      <c r="B259" s="1" t="s">
        <v>22</v>
      </c>
      <c r="C259" s="1" t="s">
        <v>23</v>
      </c>
      <c r="D259" s="1" t="s">
        <v>24</v>
      </c>
      <c r="E259" s="1" t="s">
        <v>992</v>
      </c>
      <c r="F259" s="1" t="s">
        <v>53</v>
      </c>
      <c r="G259" s="1" t="s">
        <v>1667</v>
      </c>
      <c r="H259" s="1" t="s">
        <v>90</v>
      </c>
      <c r="I259" s="1" t="s">
        <v>1668</v>
      </c>
      <c r="J259" s="1" t="s">
        <v>1669</v>
      </c>
      <c r="K259" s="1" t="s">
        <v>803</v>
      </c>
      <c r="L259" s="1" t="s">
        <v>725</v>
      </c>
      <c r="M259" s="1" t="s">
        <v>33</v>
      </c>
      <c r="N259" s="1" t="s">
        <v>1670</v>
      </c>
      <c r="O259" s="1" t="s">
        <v>35</v>
      </c>
      <c r="P259" s="1" t="s">
        <v>1668</v>
      </c>
      <c r="Q259" s="1" t="s">
        <v>576</v>
      </c>
      <c r="R259" s="1" t="s">
        <v>37</v>
      </c>
      <c r="S259" s="1" t="s">
        <v>37</v>
      </c>
      <c r="T259" s="1" t="s">
        <v>37</v>
      </c>
      <c r="U259" s="1" t="s">
        <v>37</v>
      </c>
    </row>
    <row r="260" spans="1:21">
      <c r="A260" s="1" t="s">
        <v>1671</v>
      </c>
      <c r="B260" s="1" t="s">
        <v>22</v>
      </c>
      <c r="C260" s="1" t="s">
        <v>23</v>
      </c>
      <c r="D260" s="1" t="s">
        <v>24</v>
      </c>
      <c r="E260" s="1" t="s">
        <v>992</v>
      </c>
      <c r="F260" s="1" t="s">
        <v>42</v>
      </c>
      <c r="G260" s="1" t="s">
        <v>897</v>
      </c>
      <c r="H260" s="1" t="s">
        <v>129</v>
      </c>
      <c r="I260" s="1" t="s">
        <v>1672</v>
      </c>
      <c r="J260" s="1" t="s">
        <v>1673</v>
      </c>
      <c r="K260" s="1" t="s">
        <v>1206</v>
      </c>
      <c r="L260" s="1" t="s">
        <v>1471</v>
      </c>
      <c r="M260" s="1" t="s">
        <v>33</v>
      </c>
      <c r="N260" s="1" t="s">
        <v>1674</v>
      </c>
      <c r="O260" s="1" t="s">
        <v>35</v>
      </c>
      <c r="P260" s="1" t="s">
        <v>1672</v>
      </c>
      <c r="Q260" s="1" t="s">
        <v>434</v>
      </c>
      <c r="R260" s="1" t="s">
        <v>37</v>
      </c>
      <c r="S260" s="1" t="s">
        <v>37</v>
      </c>
      <c r="T260" s="1" t="s">
        <v>37</v>
      </c>
      <c r="U260" s="1" t="s">
        <v>37</v>
      </c>
    </row>
    <row r="261" spans="1:21">
      <c r="A261" s="1" t="s">
        <v>1675</v>
      </c>
      <c r="B261" s="1" t="s">
        <v>39</v>
      </c>
      <c r="C261" s="1" t="s">
        <v>40</v>
      </c>
      <c r="D261" s="1" t="s">
        <v>24</v>
      </c>
      <c r="E261" s="1" t="s">
        <v>992</v>
      </c>
      <c r="F261" s="1" t="s">
        <v>42</v>
      </c>
      <c r="G261" s="1" t="s">
        <v>1676</v>
      </c>
      <c r="H261" s="1" t="s">
        <v>129</v>
      </c>
      <c r="I261" s="1" t="s">
        <v>1677</v>
      </c>
      <c r="J261" s="1" t="s">
        <v>1678</v>
      </c>
      <c r="K261" s="1" t="s">
        <v>156</v>
      </c>
      <c r="L261" s="1" t="s">
        <v>1070</v>
      </c>
      <c r="M261" s="1" t="s">
        <v>59</v>
      </c>
      <c r="N261" s="1" t="s">
        <v>1679</v>
      </c>
      <c r="O261" s="1" t="s">
        <v>35</v>
      </c>
      <c r="P261" s="1" t="s">
        <v>1677</v>
      </c>
      <c r="Q261" s="1" t="s">
        <v>190</v>
      </c>
      <c r="R261" s="1" t="s">
        <v>37</v>
      </c>
      <c r="S261" s="1" t="s">
        <v>37</v>
      </c>
      <c r="T261" s="1" t="s">
        <v>37</v>
      </c>
      <c r="U261" s="1" t="s">
        <v>37</v>
      </c>
    </row>
    <row r="262" spans="1:21">
      <c r="A262" s="1" t="s">
        <v>1680</v>
      </c>
      <c r="B262" s="1" t="s">
        <v>22</v>
      </c>
      <c r="C262" s="1" t="s">
        <v>23</v>
      </c>
      <c r="D262" s="1" t="s">
        <v>41</v>
      </c>
      <c r="E262" s="1" t="s">
        <v>25</v>
      </c>
      <c r="F262" s="1" t="s">
        <v>42</v>
      </c>
      <c r="G262" s="1" t="s">
        <v>1681</v>
      </c>
      <c r="H262" s="1" t="s">
        <v>275</v>
      </c>
      <c r="I262" s="1" t="s">
        <v>1682</v>
      </c>
      <c r="J262" s="1" t="s">
        <v>1683</v>
      </c>
      <c r="K262" s="1" t="s">
        <v>412</v>
      </c>
      <c r="L262" s="1" t="s">
        <v>1684</v>
      </c>
      <c r="M262" s="1" t="s">
        <v>33</v>
      </c>
      <c r="N262" s="1" t="s">
        <v>1685</v>
      </c>
      <c r="O262" s="1" t="s">
        <v>35</v>
      </c>
      <c r="P262" s="1" t="s">
        <v>1682</v>
      </c>
      <c r="Q262" s="1" t="s">
        <v>957</v>
      </c>
      <c r="R262" s="1" t="s">
        <v>37</v>
      </c>
      <c r="S262" s="1" t="s">
        <v>37</v>
      </c>
      <c r="T262" s="1" t="s">
        <v>37</v>
      </c>
      <c r="U262" s="1" t="s">
        <v>37</v>
      </c>
    </row>
    <row r="263" spans="1:21">
      <c r="A263" s="1" t="s">
        <v>1686</v>
      </c>
      <c r="B263" s="1" t="s">
        <v>39</v>
      </c>
      <c r="C263" s="1" t="s">
        <v>40</v>
      </c>
      <c r="D263" s="1" t="s">
        <v>41</v>
      </c>
      <c r="E263" s="1" t="s">
        <v>25</v>
      </c>
      <c r="F263" s="1" t="s">
        <v>127</v>
      </c>
      <c r="G263" s="1" t="s">
        <v>1687</v>
      </c>
      <c r="H263" s="1" t="s">
        <v>129</v>
      </c>
      <c r="I263" s="1" t="s">
        <v>1688</v>
      </c>
      <c r="J263" s="1" t="s">
        <v>1689</v>
      </c>
      <c r="K263" s="1" t="s">
        <v>445</v>
      </c>
      <c r="L263" s="1" t="s">
        <v>1690</v>
      </c>
      <c r="M263" s="1" t="s">
        <v>33</v>
      </c>
      <c r="N263" s="1" t="s">
        <v>1691</v>
      </c>
      <c r="O263" s="1" t="s">
        <v>35</v>
      </c>
      <c r="P263" s="1" t="s">
        <v>1688</v>
      </c>
      <c r="Q263" s="1" t="s">
        <v>366</v>
      </c>
      <c r="R263" s="1" t="s">
        <v>37</v>
      </c>
      <c r="S263" s="1" t="s">
        <v>37</v>
      </c>
      <c r="T263" s="1" t="s">
        <v>37</v>
      </c>
      <c r="U263" s="1" t="s">
        <v>37</v>
      </c>
    </row>
    <row r="264" spans="1:21">
      <c r="A264" s="1" t="s">
        <v>1692</v>
      </c>
      <c r="B264" s="1" t="s">
        <v>115</v>
      </c>
      <c r="C264" s="1" t="s">
        <v>116</v>
      </c>
      <c r="D264" s="1" t="s">
        <v>24</v>
      </c>
      <c r="E264" s="1" t="s">
        <v>25</v>
      </c>
      <c r="F264" s="1" t="s">
        <v>127</v>
      </c>
      <c r="G264" s="1" t="s">
        <v>1693</v>
      </c>
      <c r="H264" s="1" t="s">
        <v>129</v>
      </c>
      <c r="I264" s="1" t="s">
        <v>1694</v>
      </c>
      <c r="J264" s="1" t="s">
        <v>1695</v>
      </c>
      <c r="K264" s="1" t="s">
        <v>522</v>
      </c>
      <c r="L264" s="1" t="s">
        <v>1696</v>
      </c>
      <c r="M264" s="1" t="s">
        <v>49</v>
      </c>
      <c r="N264" s="1" t="s">
        <v>1697</v>
      </c>
      <c r="O264" s="1" t="s">
        <v>35</v>
      </c>
      <c r="P264" s="1" t="s">
        <v>1694</v>
      </c>
      <c r="Q264" s="1" t="s">
        <v>167</v>
      </c>
      <c r="R264" s="1" t="s">
        <v>37</v>
      </c>
      <c r="S264" s="1" t="s">
        <v>37</v>
      </c>
      <c r="T264" s="1" t="s">
        <v>37</v>
      </c>
      <c r="U264" s="1" t="s">
        <v>37</v>
      </c>
    </row>
    <row r="265" spans="1:21">
      <c r="A265" s="1" t="s">
        <v>1698</v>
      </c>
      <c r="B265" s="1" t="s">
        <v>22</v>
      </c>
      <c r="C265" s="1" t="s">
        <v>23</v>
      </c>
      <c r="D265" s="1" t="s">
        <v>24</v>
      </c>
      <c r="E265" s="1" t="s">
        <v>25</v>
      </c>
      <c r="F265" s="1" t="s">
        <v>72</v>
      </c>
      <c r="G265" s="1" t="s">
        <v>1699</v>
      </c>
      <c r="H265" s="1" t="s">
        <v>99</v>
      </c>
      <c r="I265" s="1" t="s">
        <v>1700</v>
      </c>
      <c r="J265" s="1" t="s">
        <v>1701</v>
      </c>
      <c r="K265" s="1" t="s">
        <v>718</v>
      </c>
      <c r="L265" s="1" t="s">
        <v>1702</v>
      </c>
      <c r="M265" s="1" t="s">
        <v>49</v>
      </c>
      <c r="N265" s="1" t="s">
        <v>1703</v>
      </c>
      <c r="O265" s="1" t="s">
        <v>35</v>
      </c>
      <c r="P265" s="1" t="s">
        <v>1700</v>
      </c>
      <c r="Q265" s="1" t="s">
        <v>791</v>
      </c>
      <c r="R265" s="1" t="s">
        <v>37</v>
      </c>
      <c r="S265" s="1" t="s">
        <v>37</v>
      </c>
      <c r="T265" s="1" t="s">
        <v>37</v>
      </c>
      <c r="U265" s="1" t="s">
        <v>37</v>
      </c>
    </row>
    <row r="266" spans="1:21">
      <c r="A266" s="1" t="s">
        <v>1704</v>
      </c>
      <c r="B266" s="1" t="s">
        <v>115</v>
      </c>
      <c r="C266" s="1" t="s">
        <v>116</v>
      </c>
      <c r="D266" s="1" t="s">
        <v>41</v>
      </c>
      <c r="E266" s="1" t="s">
        <v>992</v>
      </c>
      <c r="F266" s="1" t="s">
        <v>72</v>
      </c>
      <c r="G266" s="1" t="s">
        <v>1705</v>
      </c>
      <c r="H266" s="1" t="s">
        <v>253</v>
      </c>
      <c r="I266" s="1" t="s">
        <v>1706</v>
      </c>
      <c r="J266" s="1" t="s">
        <v>1707</v>
      </c>
      <c r="K266" s="1" t="s">
        <v>1500</v>
      </c>
      <c r="L266" s="1" t="s">
        <v>1708</v>
      </c>
      <c r="M266" s="1" t="s">
        <v>33</v>
      </c>
      <c r="N266" s="1" t="s">
        <v>1705</v>
      </c>
      <c r="O266" s="1" t="s">
        <v>35</v>
      </c>
      <c r="P266" s="1" t="s">
        <v>1706</v>
      </c>
      <c r="Q266" s="1" t="s">
        <v>351</v>
      </c>
      <c r="R266" s="1" t="s">
        <v>37</v>
      </c>
      <c r="S266" s="1" t="s">
        <v>37</v>
      </c>
      <c r="T266" s="1" t="s">
        <v>37</v>
      </c>
      <c r="U266" s="1" t="s">
        <v>37</v>
      </c>
    </row>
    <row r="267" spans="1:21">
      <c r="A267" s="1" t="s">
        <v>1709</v>
      </c>
      <c r="B267" s="1" t="s">
        <v>22</v>
      </c>
      <c r="C267" s="1" t="s">
        <v>23</v>
      </c>
      <c r="D267" s="1" t="s">
        <v>24</v>
      </c>
      <c r="E267" s="1" t="s">
        <v>25</v>
      </c>
      <c r="F267" s="1" t="s">
        <v>72</v>
      </c>
      <c r="G267" s="1" t="s">
        <v>1710</v>
      </c>
      <c r="H267" s="1" t="s">
        <v>28</v>
      </c>
      <c r="I267" s="1" t="s">
        <v>1711</v>
      </c>
      <c r="J267" s="1" t="s">
        <v>1712</v>
      </c>
      <c r="K267" s="1" t="s">
        <v>481</v>
      </c>
      <c r="L267" s="1" t="s">
        <v>291</v>
      </c>
      <c r="M267" s="1" t="s">
        <v>59</v>
      </c>
      <c r="N267" s="1" t="s">
        <v>1713</v>
      </c>
      <c r="O267" s="1" t="s">
        <v>35</v>
      </c>
      <c r="P267" s="1" t="s">
        <v>1711</v>
      </c>
      <c r="Q267" s="1" t="s">
        <v>576</v>
      </c>
      <c r="R267" s="1" t="s">
        <v>37</v>
      </c>
      <c r="S267" s="1" t="s">
        <v>37</v>
      </c>
      <c r="T267" s="1" t="s">
        <v>37</v>
      </c>
      <c r="U267" s="1" t="s">
        <v>37</v>
      </c>
    </row>
    <row r="268" spans="1:21">
      <c r="A268" s="1" t="s">
        <v>1714</v>
      </c>
      <c r="B268" s="1" t="s">
        <v>39</v>
      </c>
      <c r="C268" s="1" t="s">
        <v>40</v>
      </c>
      <c r="D268" s="1" t="s">
        <v>41</v>
      </c>
      <c r="E268" s="1" t="s">
        <v>992</v>
      </c>
      <c r="F268" s="1" t="s">
        <v>53</v>
      </c>
      <c r="G268" s="1" t="s">
        <v>1715</v>
      </c>
      <c r="H268" s="1" t="s">
        <v>129</v>
      </c>
      <c r="I268" s="1" t="s">
        <v>1716</v>
      </c>
      <c r="J268" s="1" t="s">
        <v>1717</v>
      </c>
      <c r="K268" s="1" t="s">
        <v>1718</v>
      </c>
      <c r="L268" s="1" t="s">
        <v>1719</v>
      </c>
      <c r="M268" s="1" t="s">
        <v>59</v>
      </c>
      <c r="N268" s="1" t="s">
        <v>1720</v>
      </c>
      <c r="O268" s="1" t="s">
        <v>35</v>
      </c>
      <c r="P268" s="1" t="s">
        <v>1716</v>
      </c>
      <c r="Q268" s="1" t="s">
        <v>190</v>
      </c>
      <c r="R268" s="1" t="s">
        <v>37</v>
      </c>
      <c r="S268" s="1" t="s">
        <v>37</v>
      </c>
      <c r="T268" s="1" t="s">
        <v>37</v>
      </c>
      <c r="U268" s="1" t="s">
        <v>37</v>
      </c>
    </row>
    <row r="269" spans="1:21">
      <c r="A269" s="1" t="s">
        <v>1721</v>
      </c>
      <c r="B269" s="1" t="s">
        <v>115</v>
      </c>
      <c r="C269" s="1" t="s">
        <v>116</v>
      </c>
      <c r="D269" s="1" t="s">
        <v>24</v>
      </c>
      <c r="E269" s="1" t="s">
        <v>25</v>
      </c>
      <c r="F269" s="1" t="s">
        <v>117</v>
      </c>
      <c r="G269" s="1" t="s">
        <v>1722</v>
      </c>
      <c r="H269" s="1" t="s">
        <v>99</v>
      </c>
      <c r="I269" s="1" t="s">
        <v>1723</v>
      </c>
      <c r="J269" s="1" t="s">
        <v>1724</v>
      </c>
      <c r="K269" s="1" t="s">
        <v>906</v>
      </c>
      <c r="L269" s="1" t="s">
        <v>1725</v>
      </c>
      <c r="M269" s="1" t="s">
        <v>49</v>
      </c>
      <c r="N269" s="1" t="s">
        <v>1726</v>
      </c>
      <c r="O269" s="1" t="s">
        <v>35</v>
      </c>
      <c r="P269" s="1" t="s">
        <v>1723</v>
      </c>
      <c r="Q269" s="1" t="s">
        <v>386</v>
      </c>
      <c r="R269" s="1" t="s">
        <v>37</v>
      </c>
      <c r="S269" s="1" t="s">
        <v>37</v>
      </c>
      <c r="T269" s="1" t="s">
        <v>37</v>
      </c>
      <c r="U269" s="1" t="s">
        <v>37</v>
      </c>
    </row>
    <row r="270" spans="1:21">
      <c r="A270" s="1" t="s">
        <v>1727</v>
      </c>
      <c r="B270" s="1" t="s">
        <v>22</v>
      </c>
      <c r="C270" s="1" t="s">
        <v>23</v>
      </c>
      <c r="D270" s="1" t="s">
        <v>24</v>
      </c>
      <c r="E270" s="1" t="s">
        <v>992</v>
      </c>
      <c r="F270" s="1" t="s">
        <v>53</v>
      </c>
      <c r="G270" s="1" t="s">
        <v>1728</v>
      </c>
      <c r="H270" s="1" t="s">
        <v>129</v>
      </c>
      <c r="I270" s="1" t="s">
        <v>1729</v>
      </c>
      <c r="J270" s="1" t="s">
        <v>1730</v>
      </c>
      <c r="K270" s="1" t="s">
        <v>31</v>
      </c>
      <c r="L270" s="1" t="s">
        <v>1731</v>
      </c>
      <c r="M270" s="1" t="s">
        <v>59</v>
      </c>
      <c r="N270" s="1" t="s">
        <v>1732</v>
      </c>
      <c r="O270" s="1" t="s">
        <v>35</v>
      </c>
      <c r="P270" s="1" t="s">
        <v>1729</v>
      </c>
      <c r="Q270" s="1" t="s">
        <v>205</v>
      </c>
      <c r="R270" s="1" t="s">
        <v>37</v>
      </c>
      <c r="S270" s="1" t="s">
        <v>37</v>
      </c>
      <c r="T270" s="1" t="s">
        <v>37</v>
      </c>
      <c r="U270" s="1" t="s">
        <v>37</v>
      </c>
    </row>
    <row r="271" spans="1:21">
      <c r="A271" s="1" t="s">
        <v>1733</v>
      </c>
      <c r="B271" s="1" t="s">
        <v>22</v>
      </c>
      <c r="C271" s="1" t="s">
        <v>23</v>
      </c>
      <c r="D271" s="1" t="s">
        <v>24</v>
      </c>
      <c r="E271" s="1" t="s">
        <v>25</v>
      </c>
      <c r="F271" s="1" t="s">
        <v>53</v>
      </c>
      <c r="G271" s="1" t="s">
        <v>1734</v>
      </c>
      <c r="H271" s="1" t="s">
        <v>99</v>
      </c>
      <c r="I271" s="1" t="s">
        <v>1360</v>
      </c>
      <c r="J271" s="1" t="s">
        <v>1735</v>
      </c>
      <c r="K271" s="1" t="s">
        <v>1081</v>
      </c>
      <c r="L271" s="1" t="s">
        <v>1736</v>
      </c>
      <c r="M271" s="1" t="s">
        <v>33</v>
      </c>
      <c r="N271" s="1" t="s">
        <v>1737</v>
      </c>
      <c r="O271" s="1" t="s">
        <v>35</v>
      </c>
      <c r="P271" s="1" t="s">
        <v>1360</v>
      </c>
      <c r="Q271" s="1" t="s">
        <v>28</v>
      </c>
      <c r="R271" s="1" t="s">
        <v>37</v>
      </c>
      <c r="S271" s="1" t="s">
        <v>37</v>
      </c>
      <c r="T271" s="1" t="s">
        <v>37</v>
      </c>
      <c r="U271" s="1" t="s">
        <v>37</v>
      </c>
    </row>
    <row r="272" spans="1:21">
      <c r="A272" s="1" t="s">
        <v>1738</v>
      </c>
      <c r="B272" s="1" t="s">
        <v>115</v>
      </c>
      <c r="C272" s="1" t="s">
        <v>116</v>
      </c>
      <c r="D272" s="1" t="s">
        <v>41</v>
      </c>
      <c r="E272" s="1" t="s">
        <v>25</v>
      </c>
      <c r="F272" s="1" t="s">
        <v>72</v>
      </c>
      <c r="G272" s="1" t="s">
        <v>1739</v>
      </c>
      <c r="H272" s="1" t="s">
        <v>44</v>
      </c>
      <c r="I272" s="1" t="s">
        <v>1740</v>
      </c>
      <c r="J272" s="1" t="s">
        <v>1741</v>
      </c>
      <c r="K272" s="1" t="s">
        <v>508</v>
      </c>
      <c r="L272" s="1" t="s">
        <v>1742</v>
      </c>
      <c r="M272" s="1" t="s">
        <v>33</v>
      </c>
      <c r="N272" s="1" t="s">
        <v>1743</v>
      </c>
      <c r="O272" s="1" t="s">
        <v>35</v>
      </c>
      <c r="P272" s="1" t="s">
        <v>1740</v>
      </c>
      <c r="Q272" s="1" t="s">
        <v>359</v>
      </c>
      <c r="R272" s="1" t="s">
        <v>37</v>
      </c>
      <c r="S272" s="1" t="s">
        <v>37</v>
      </c>
      <c r="T272" s="1" t="s">
        <v>37</v>
      </c>
      <c r="U272" s="1" t="s">
        <v>37</v>
      </c>
    </row>
    <row r="273" spans="1:21">
      <c r="A273" s="1" t="s">
        <v>1744</v>
      </c>
      <c r="B273" s="1" t="s">
        <v>39</v>
      </c>
      <c r="C273" s="1" t="s">
        <v>40</v>
      </c>
      <c r="D273" s="1" t="s">
        <v>24</v>
      </c>
      <c r="E273" s="1" t="s">
        <v>25</v>
      </c>
      <c r="F273" s="1" t="s">
        <v>26</v>
      </c>
      <c r="G273" s="1" t="s">
        <v>1745</v>
      </c>
      <c r="H273" s="1" t="s">
        <v>107</v>
      </c>
      <c r="I273" s="1" t="s">
        <v>1746</v>
      </c>
      <c r="J273" s="1" t="s">
        <v>1747</v>
      </c>
      <c r="K273" s="1" t="s">
        <v>1164</v>
      </c>
      <c r="L273" s="1" t="s">
        <v>1176</v>
      </c>
      <c r="M273" s="1" t="s">
        <v>49</v>
      </c>
      <c r="N273" s="1" t="s">
        <v>1748</v>
      </c>
      <c r="O273" s="1" t="s">
        <v>35</v>
      </c>
      <c r="P273" s="1" t="s">
        <v>1746</v>
      </c>
      <c r="Q273" s="1" t="s">
        <v>1089</v>
      </c>
      <c r="R273" s="1" t="s">
        <v>37</v>
      </c>
      <c r="S273" s="1" t="s">
        <v>37</v>
      </c>
      <c r="T273" s="1" t="s">
        <v>37</v>
      </c>
      <c r="U273" s="1" t="s">
        <v>37</v>
      </c>
    </row>
    <row r="274" spans="1:21">
      <c r="A274" s="1" t="s">
        <v>1749</v>
      </c>
      <c r="B274" s="1" t="s">
        <v>22</v>
      </c>
      <c r="C274" s="1" t="s">
        <v>23</v>
      </c>
      <c r="D274" s="1" t="s">
        <v>24</v>
      </c>
      <c r="E274" s="1" t="s">
        <v>25</v>
      </c>
      <c r="F274" s="1" t="s">
        <v>53</v>
      </c>
      <c r="G274" s="1" t="s">
        <v>1750</v>
      </c>
      <c r="H274" s="1" t="s">
        <v>275</v>
      </c>
      <c r="I274" s="1" t="s">
        <v>1751</v>
      </c>
      <c r="J274" s="1" t="s">
        <v>1752</v>
      </c>
      <c r="K274" s="1" t="s">
        <v>316</v>
      </c>
      <c r="L274" s="1" t="s">
        <v>1753</v>
      </c>
      <c r="M274" s="1" t="s">
        <v>59</v>
      </c>
      <c r="N274" s="1" t="s">
        <v>1754</v>
      </c>
      <c r="O274" s="1" t="s">
        <v>35</v>
      </c>
      <c r="P274" s="1" t="s">
        <v>1751</v>
      </c>
      <c r="Q274" s="1" t="s">
        <v>944</v>
      </c>
      <c r="R274" s="1" t="s">
        <v>37</v>
      </c>
      <c r="S274" s="1" t="s">
        <v>37</v>
      </c>
      <c r="T274" s="1" t="s">
        <v>37</v>
      </c>
      <c r="U274" s="1" t="s">
        <v>37</v>
      </c>
    </row>
    <row r="275" spans="1:21">
      <c r="A275" s="1" t="s">
        <v>1755</v>
      </c>
      <c r="B275" s="1" t="s">
        <v>22</v>
      </c>
      <c r="C275" s="1" t="s">
        <v>23</v>
      </c>
      <c r="D275" s="1" t="s">
        <v>41</v>
      </c>
      <c r="E275" s="1" t="s">
        <v>25</v>
      </c>
      <c r="F275" s="1" t="s">
        <v>53</v>
      </c>
      <c r="G275" s="1" t="s">
        <v>1756</v>
      </c>
      <c r="H275" s="1" t="s">
        <v>107</v>
      </c>
      <c r="I275" s="1" t="s">
        <v>1757</v>
      </c>
      <c r="J275" s="1" t="s">
        <v>1758</v>
      </c>
      <c r="K275" s="1" t="s">
        <v>67</v>
      </c>
      <c r="L275" s="1" t="s">
        <v>1759</v>
      </c>
      <c r="M275" s="1" t="s">
        <v>49</v>
      </c>
      <c r="N275" s="1" t="s">
        <v>1760</v>
      </c>
      <c r="O275" s="1" t="s">
        <v>35</v>
      </c>
      <c r="P275" s="1" t="s">
        <v>1757</v>
      </c>
      <c r="Q275" s="1" t="s">
        <v>220</v>
      </c>
      <c r="R275" s="1" t="s">
        <v>37</v>
      </c>
      <c r="S275" s="1" t="s">
        <v>37</v>
      </c>
      <c r="T275" s="1" t="s">
        <v>37</v>
      </c>
      <c r="U275" s="1" t="s">
        <v>37</v>
      </c>
    </row>
    <row r="276" spans="1:21">
      <c r="A276" s="1" t="s">
        <v>1761</v>
      </c>
      <c r="B276" s="1" t="s">
        <v>115</v>
      </c>
      <c r="C276" s="1" t="s">
        <v>116</v>
      </c>
      <c r="D276" s="1" t="s">
        <v>41</v>
      </c>
      <c r="E276" s="1" t="s">
        <v>25</v>
      </c>
      <c r="F276" s="1" t="s">
        <v>26</v>
      </c>
      <c r="G276" s="1" t="s">
        <v>1762</v>
      </c>
      <c r="H276" s="1" t="s">
        <v>90</v>
      </c>
      <c r="I276" s="1" t="s">
        <v>1763</v>
      </c>
      <c r="J276" s="1" t="s">
        <v>1764</v>
      </c>
      <c r="K276" s="1" t="s">
        <v>1500</v>
      </c>
      <c r="L276" s="1" t="s">
        <v>1765</v>
      </c>
      <c r="M276" s="1" t="s">
        <v>33</v>
      </c>
      <c r="N276" s="1" t="s">
        <v>1766</v>
      </c>
      <c r="O276" s="1" t="s">
        <v>35</v>
      </c>
      <c r="P276" s="1" t="s">
        <v>1763</v>
      </c>
      <c r="Q276" s="1" t="s">
        <v>351</v>
      </c>
      <c r="R276" s="1" t="s">
        <v>37</v>
      </c>
      <c r="S276" s="1" t="s">
        <v>37</v>
      </c>
      <c r="T276" s="1" t="s">
        <v>37</v>
      </c>
      <c r="U276" s="1" t="s">
        <v>37</v>
      </c>
    </row>
    <row r="277" spans="1:21">
      <c r="A277" s="1" t="s">
        <v>1767</v>
      </c>
      <c r="B277" s="1" t="s">
        <v>115</v>
      </c>
      <c r="C277" s="1" t="s">
        <v>116</v>
      </c>
      <c r="D277" s="1" t="s">
        <v>41</v>
      </c>
      <c r="E277" s="1" t="s">
        <v>992</v>
      </c>
      <c r="F277" s="1" t="s">
        <v>127</v>
      </c>
      <c r="G277" s="1" t="s">
        <v>1768</v>
      </c>
      <c r="H277" s="1" t="s">
        <v>28</v>
      </c>
      <c r="I277" s="1" t="s">
        <v>1769</v>
      </c>
      <c r="J277" s="1" t="s">
        <v>1770</v>
      </c>
      <c r="K277" s="1" t="s">
        <v>316</v>
      </c>
      <c r="L277" s="1" t="s">
        <v>1771</v>
      </c>
      <c r="M277" s="1" t="s">
        <v>49</v>
      </c>
      <c r="N277" s="1" t="s">
        <v>1772</v>
      </c>
      <c r="O277" s="1" t="s">
        <v>35</v>
      </c>
      <c r="P277" s="1" t="s">
        <v>1769</v>
      </c>
      <c r="Q277" s="1" t="s">
        <v>957</v>
      </c>
      <c r="R277" s="1" t="s">
        <v>37</v>
      </c>
      <c r="S277" s="1" t="s">
        <v>37</v>
      </c>
      <c r="T277" s="1" t="s">
        <v>37</v>
      </c>
      <c r="U277" s="1" t="s">
        <v>37</v>
      </c>
    </row>
    <row r="278" spans="1:21">
      <c r="A278" s="1" t="s">
        <v>1773</v>
      </c>
      <c r="B278" s="1" t="s">
        <v>39</v>
      </c>
      <c r="C278" s="1" t="s">
        <v>40</v>
      </c>
      <c r="D278" s="1" t="s">
        <v>24</v>
      </c>
      <c r="E278" s="1" t="s">
        <v>25</v>
      </c>
      <c r="F278" s="1" t="s">
        <v>53</v>
      </c>
      <c r="G278" s="1" t="s">
        <v>1774</v>
      </c>
      <c r="H278" s="1" t="s">
        <v>99</v>
      </c>
      <c r="I278" s="1" t="s">
        <v>1775</v>
      </c>
      <c r="J278" s="1" t="s">
        <v>1776</v>
      </c>
      <c r="K278" s="1" t="s">
        <v>316</v>
      </c>
      <c r="L278" s="1" t="s">
        <v>241</v>
      </c>
      <c r="M278" s="1" t="s">
        <v>49</v>
      </c>
      <c r="N278" s="1" t="s">
        <v>1777</v>
      </c>
      <c r="O278" s="1" t="s">
        <v>35</v>
      </c>
      <c r="P278" s="1" t="s">
        <v>1775</v>
      </c>
      <c r="Q278" s="1" t="s">
        <v>151</v>
      </c>
      <c r="R278" s="1" t="s">
        <v>37</v>
      </c>
      <c r="S278" s="1" t="s">
        <v>37</v>
      </c>
      <c r="T278" s="1" t="s">
        <v>37</v>
      </c>
      <c r="U278" s="1" t="s">
        <v>37</v>
      </c>
    </row>
    <row r="279" spans="1:21">
      <c r="A279" s="1" t="s">
        <v>1778</v>
      </c>
      <c r="B279" s="1" t="s">
        <v>39</v>
      </c>
      <c r="C279" s="1" t="s">
        <v>40</v>
      </c>
      <c r="D279" s="1" t="s">
        <v>41</v>
      </c>
      <c r="E279" s="1" t="s">
        <v>25</v>
      </c>
      <c r="F279" s="1" t="s">
        <v>127</v>
      </c>
      <c r="G279" s="1" t="s">
        <v>1779</v>
      </c>
      <c r="H279" s="1" t="s">
        <v>129</v>
      </c>
      <c r="I279" s="1" t="s">
        <v>1780</v>
      </c>
      <c r="J279" s="1" t="s">
        <v>1781</v>
      </c>
      <c r="K279" s="1" t="s">
        <v>356</v>
      </c>
      <c r="L279" s="1" t="s">
        <v>58</v>
      </c>
      <c r="M279" s="1" t="s">
        <v>33</v>
      </c>
      <c r="N279" s="1" t="s">
        <v>1782</v>
      </c>
      <c r="O279" s="1" t="s">
        <v>35</v>
      </c>
      <c r="P279" s="1" t="s">
        <v>1780</v>
      </c>
      <c r="Q279" s="1" t="s">
        <v>544</v>
      </c>
      <c r="R279" s="1" t="s">
        <v>37</v>
      </c>
      <c r="S279" s="1" t="s">
        <v>37</v>
      </c>
      <c r="T279" s="1" t="s">
        <v>37</v>
      </c>
      <c r="U279" s="1" t="s">
        <v>37</v>
      </c>
    </row>
    <row r="280" spans="1:21">
      <c r="A280" s="1" t="s">
        <v>1783</v>
      </c>
      <c r="B280" s="1" t="s">
        <v>39</v>
      </c>
      <c r="C280" s="1" t="s">
        <v>40</v>
      </c>
      <c r="D280" s="1" t="s">
        <v>24</v>
      </c>
      <c r="E280" s="1" t="s">
        <v>992</v>
      </c>
      <c r="F280" s="1" t="s">
        <v>127</v>
      </c>
      <c r="G280" s="1" t="s">
        <v>1784</v>
      </c>
      <c r="H280" s="1" t="s">
        <v>99</v>
      </c>
      <c r="I280" s="1" t="s">
        <v>1785</v>
      </c>
      <c r="J280" s="1" t="s">
        <v>1786</v>
      </c>
      <c r="K280" s="1" t="s">
        <v>1408</v>
      </c>
      <c r="L280" s="1" t="s">
        <v>1787</v>
      </c>
      <c r="M280" s="1" t="s">
        <v>49</v>
      </c>
      <c r="N280" s="1" t="s">
        <v>1788</v>
      </c>
      <c r="O280" s="1" t="s">
        <v>35</v>
      </c>
      <c r="P280" s="1" t="s">
        <v>1785</v>
      </c>
      <c r="Q280" s="1" t="s">
        <v>167</v>
      </c>
      <c r="R280" s="1" t="s">
        <v>37</v>
      </c>
      <c r="S280" s="1" t="s">
        <v>37</v>
      </c>
      <c r="T280" s="1" t="s">
        <v>37</v>
      </c>
      <c r="U280" s="1" t="s">
        <v>37</v>
      </c>
    </row>
    <row r="281" spans="1:21">
      <c r="A281" s="1" t="s">
        <v>1789</v>
      </c>
      <c r="B281" s="1" t="s">
        <v>22</v>
      </c>
      <c r="C281" s="1" t="s">
        <v>23</v>
      </c>
      <c r="D281" s="1" t="s">
        <v>24</v>
      </c>
      <c r="E281" s="1" t="s">
        <v>992</v>
      </c>
      <c r="F281" s="1" t="s">
        <v>72</v>
      </c>
      <c r="G281" s="1" t="s">
        <v>1790</v>
      </c>
      <c r="H281" s="1" t="s">
        <v>99</v>
      </c>
      <c r="I281" s="1" t="s">
        <v>1791</v>
      </c>
      <c r="J281" s="1" t="s">
        <v>1792</v>
      </c>
      <c r="K281" s="1" t="s">
        <v>1408</v>
      </c>
      <c r="L281" s="1" t="s">
        <v>1002</v>
      </c>
      <c r="M281" s="1" t="s">
        <v>59</v>
      </c>
      <c r="N281" s="1" t="s">
        <v>1793</v>
      </c>
      <c r="O281" s="1" t="s">
        <v>35</v>
      </c>
      <c r="P281" s="1" t="s">
        <v>1791</v>
      </c>
      <c r="Q281" s="1" t="s">
        <v>51</v>
      </c>
      <c r="R281" s="1" t="s">
        <v>37</v>
      </c>
      <c r="S281" s="1" t="s">
        <v>37</v>
      </c>
      <c r="T281" s="1" t="s">
        <v>37</v>
      </c>
      <c r="U281" s="1" t="s">
        <v>37</v>
      </c>
    </row>
    <row r="282" spans="1:21">
      <c r="A282" s="1" t="s">
        <v>1794</v>
      </c>
      <c r="B282" s="1" t="s">
        <v>22</v>
      </c>
      <c r="C282" s="1" t="s">
        <v>23</v>
      </c>
      <c r="D282" s="1" t="s">
        <v>41</v>
      </c>
      <c r="E282" s="1" t="s">
        <v>25</v>
      </c>
      <c r="F282" s="1" t="s">
        <v>53</v>
      </c>
      <c r="G282" s="1" t="s">
        <v>1795</v>
      </c>
      <c r="H282" s="1" t="s">
        <v>64</v>
      </c>
      <c r="I282" s="1" t="s">
        <v>1796</v>
      </c>
      <c r="J282" s="1" t="s">
        <v>1797</v>
      </c>
      <c r="K282" s="1" t="s">
        <v>489</v>
      </c>
      <c r="L282" s="1" t="s">
        <v>1200</v>
      </c>
      <c r="M282" s="1" t="s">
        <v>59</v>
      </c>
      <c r="N282" s="1" t="s">
        <v>1798</v>
      </c>
      <c r="O282" s="1" t="s">
        <v>35</v>
      </c>
      <c r="P282" s="1" t="s">
        <v>1796</v>
      </c>
      <c r="Q282" s="1" t="s">
        <v>544</v>
      </c>
      <c r="R282" s="1" t="s">
        <v>37</v>
      </c>
      <c r="S282" s="1" t="s">
        <v>37</v>
      </c>
      <c r="T282" s="1" t="s">
        <v>37</v>
      </c>
      <c r="U282" s="1" t="s">
        <v>37</v>
      </c>
    </row>
    <row r="283" spans="1:21">
      <c r="A283" s="1" t="s">
        <v>1799</v>
      </c>
      <c r="B283" s="1" t="s">
        <v>39</v>
      </c>
      <c r="C283" s="1" t="s">
        <v>40</v>
      </c>
      <c r="D283" s="1" t="s">
        <v>41</v>
      </c>
      <c r="E283" s="1" t="s">
        <v>992</v>
      </c>
      <c r="F283" s="1" t="s">
        <v>53</v>
      </c>
      <c r="G283" s="1" t="s">
        <v>1800</v>
      </c>
      <c r="H283" s="1" t="s">
        <v>253</v>
      </c>
      <c r="I283" s="1" t="s">
        <v>1801</v>
      </c>
      <c r="J283" s="1" t="s">
        <v>1802</v>
      </c>
      <c r="K283" s="1" t="s">
        <v>508</v>
      </c>
      <c r="L283" s="1" t="s">
        <v>1803</v>
      </c>
      <c r="M283" s="1" t="s">
        <v>59</v>
      </c>
      <c r="N283" s="1" t="s">
        <v>1800</v>
      </c>
      <c r="O283" s="1" t="s">
        <v>35</v>
      </c>
      <c r="P283" s="1" t="s">
        <v>1801</v>
      </c>
      <c r="Q283" s="1" t="s">
        <v>351</v>
      </c>
      <c r="R283" s="1" t="s">
        <v>37</v>
      </c>
      <c r="S283" s="1" t="s">
        <v>37</v>
      </c>
      <c r="T283" s="1" t="s">
        <v>37</v>
      </c>
      <c r="U283" s="1" t="s">
        <v>37</v>
      </c>
    </row>
    <row r="284" spans="1:21">
      <c r="A284" s="1" t="s">
        <v>1804</v>
      </c>
      <c r="B284" s="1" t="s">
        <v>22</v>
      </c>
      <c r="C284" s="1" t="s">
        <v>23</v>
      </c>
      <c r="D284" s="1" t="s">
        <v>41</v>
      </c>
      <c r="E284" s="1" t="s">
        <v>25</v>
      </c>
      <c r="F284" s="1" t="s">
        <v>72</v>
      </c>
      <c r="G284" s="1" t="s">
        <v>1805</v>
      </c>
      <c r="H284" s="1" t="s">
        <v>253</v>
      </c>
      <c r="I284" s="1" t="s">
        <v>1806</v>
      </c>
      <c r="J284" s="1" t="s">
        <v>1807</v>
      </c>
      <c r="K284" s="1" t="s">
        <v>555</v>
      </c>
      <c r="L284" s="1" t="s">
        <v>1808</v>
      </c>
      <c r="M284" s="1" t="s">
        <v>49</v>
      </c>
      <c r="N284" s="1" t="s">
        <v>1805</v>
      </c>
      <c r="O284" s="1" t="s">
        <v>35</v>
      </c>
      <c r="P284" s="1" t="s">
        <v>1806</v>
      </c>
      <c r="Q284" s="1" t="s">
        <v>434</v>
      </c>
      <c r="R284" s="1" t="s">
        <v>37</v>
      </c>
      <c r="S284" s="1" t="s">
        <v>37</v>
      </c>
      <c r="T284" s="1" t="s">
        <v>37</v>
      </c>
      <c r="U284" s="1" t="s">
        <v>37</v>
      </c>
    </row>
    <row r="285" spans="1:21">
      <c r="A285" s="1" t="s">
        <v>1809</v>
      </c>
      <c r="B285" s="1" t="s">
        <v>22</v>
      </c>
      <c r="C285" s="1" t="s">
        <v>23</v>
      </c>
      <c r="D285" s="1" t="s">
        <v>24</v>
      </c>
      <c r="E285" s="1" t="s">
        <v>992</v>
      </c>
      <c r="F285" s="1" t="s">
        <v>26</v>
      </c>
      <c r="G285" s="1" t="s">
        <v>1810</v>
      </c>
      <c r="H285" s="1" t="s">
        <v>90</v>
      </c>
      <c r="I285" s="1" t="s">
        <v>1811</v>
      </c>
      <c r="J285" s="1" t="s">
        <v>1812</v>
      </c>
      <c r="K285" s="1" t="s">
        <v>371</v>
      </c>
      <c r="L285" s="1" t="s">
        <v>1813</v>
      </c>
      <c r="M285" s="1" t="s">
        <v>33</v>
      </c>
      <c r="N285" s="1" t="s">
        <v>1814</v>
      </c>
      <c r="O285" s="1" t="s">
        <v>35</v>
      </c>
      <c r="P285" s="1" t="s">
        <v>1811</v>
      </c>
      <c r="Q285" s="1" t="s">
        <v>250</v>
      </c>
      <c r="R285" s="1" t="s">
        <v>37</v>
      </c>
      <c r="S285" s="1" t="s">
        <v>37</v>
      </c>
      <c r="T285" s="1" t="s">
        <v>37</v>
      </c>
      <c r="U285" s="1" t="s">
        <v>37</v>
      </c>
    </row>
    <row r="286" spans="1:21">
      <c r="A286" s="1" t="s">
        <v>1815</v>
      </c>
      <c r="B286" s="1" t="s">
        <v>22</v>
      </c>
      <c r="C286" s="1" t="s">
        <v>23</v>
      </c>
      <c r="D286" s="1" t="s">
        <v>24</v>
      </c>
      <c r="E286" s="1" t="s">
        <v>25</v>
      </c>
      <c r="F286" s="1" t="s">
        <v>26</v>
      </c>
      <c r="G286" s="1" t="s">
        <v>1816</v>
      </c>
      <c r="H286" s="1" t="s">
        <v>129</v>
      </c>
      <c r="I286" s="1" t="s">
        <v>1817</v>
      </c>
      <c r="J286" s="1" t="s">
        <v>1818</v>
      </c>
      <c r="K286" s="1" t="s">
        <v>481</v>
      </c>
      <c r="L286" s="1" t="s">
        <v>1819</v>
      </c>
      <c r="M286" s="1" t="s">
        <v>49</v>
      </c>
      <c r="N286" s="1" t="s">
        <v>1820</v>
      </c>
      <c r="O286" s="1" t="s">
        <v>35</v>
      </c>
      <c r="P286" s="1" t="s">
        <v>1817</v>
      </c>
      <c r="Q286" s="1" t="s">
        <v>36</v>
      </c>
      <c r="R286" s="1" t="s">
        <v>37</v>
      </c>
      <c r="S286" s="1" t="s">
        <v>37</v>
      </c>
      <c r="T286" s="1" t="s">
        <v>37</v>
      </c>
      <c r="U286" s="1" t="s">
        <v>37</v>
      </c>
    </row>
    <row r="287" spans="1:21">
      <c r="A287" s="1" t="s">
        <v>1821</v>
      </c>
      <c r="B287" s="1" t="s">
        <v>115</v>
      </c>
      <c r="C287" s="1" t="s">
        <v>116</v>
      </c>
      <c r="D287" s="1" t="s">
        <v>41</v>
      </c>
      <c r="E287" s="1" t="s">
        <v>992</v>
      </c>
      <c r="F287" s="1" t="s">
        <v>26</v>
      </c>
      <c r="G287" s="1" t="s">
        <v>1822</v>
      </c>
      <c r="H287" s="1" t="s">
        <v>44</v>
      </c>
      <c r="I287" s="1" t="s">
        <v>1823</v>
      </c>
      <c r="J287" s="1" t="s">
        <v>1824</v>
      </c>
      <c r="K287" s="1" t="s">
        <v>122</v>
      </c>
      <c r="L287" s="1" t="s">
        <v>1825</v>
      </c>
      <c r="M287" s="1" t="s">
        <v>49</v>
      </c>
      <c r="N287" s="1" t="s">
        <v>1826</v>
      </c>
      <c r="O287" s="1" t="s">
        <v>35</v>
      </c>
      <c r="P287" s="1" t="s">
        <v>1823</v>
      </c>
      <c r="Q287" s="1" t="s">
        <v>338</v>
      </c>
      <c r="R287" s="1" t="s">
        <v>37</v>
      </c>
      <c r="S287" s="1" t="s">
        <v>37</v>
      </c>
      <c r="T287" s="1" t="s">
        <v>37</v>
      </c>
      <c r="U287" s="1" t="s">
        <v>37</v>
      </c>
    </row>
    <row r="288" spans="1:21">
      <c r="A288" s="1" t="s">
        <v>1827</v>
      </c>
      <c r="B288" s="1" t="s">
        <v>39</v>
      </c>
      <c r="C288" s="1" t="s">
        <v>40</v>
      </c>
      <c r="D288" s="1" t="s">
        <v>24</v>
      </c>
      <c r="E288" s="1" t="s">
        <v>992</v>
      </c>
      <c r="F288" s="1" t="s">
        <v>53</v>
      </c>
      <c r="G288" s="1" t="s">
        <v>1828</v>
      </c>
      <c r="H288" s="1" t="s">
        <v>253</v>
      </c>
      <c r="I288" s="1" t="s">
        <v>1829</v>
      </c>
      <c r="J288" s="1" t="s">
        <v>1830</v>
      </c>
      <c r="K288" s="1" t="s">
        <v>788</v>
      </c>
      <c r="L288" s="1" t="s">
        <v>297</v>
      </c>
      <c r="M288" s="1" t="s">
        <v>49</v>
      </c>
      <c r="N288" s="1" t="s">
        <v>1828</v>
      </c>
      <c r="O288" s="1" t="s">
        <v>35</v>
      </c>
      <c r="P288" s="1" t="s">
        <v>1829</v>
      </c>
      <c r="Q288" s="1" t="s">
        <v>190</v>
      </c>
      <c r="R288" s="1" t="s">
        <v>37</v>
      </c>
      <c r="S288" s="1" t="s">
        <v>37</v>
      </c>
      <c r="T288" s="1" t="s">
        <v>37</v>
      </c>
      <c r="U288" s="1" t="s">
        <v>37</v>
      </c>
    </row>
    <row r="289" spans="1:21">
      <c r="A289" s="1" t="s">
        <v>1831</v>
      </c>
      <c r="B289" s="1" t="s">
        <v>39</v>
      </c>
      <c r="C289" s="1" t="s">
        <v>40</v>
      </c>
      <c r="D289" s="1" t="s">
        <v>41</v>
      </c>
      <c r="E289" s="1" t="s">
        <v>25</v>
      </c>
      <c r="F289" s="1" t="s">
        <v>72</v>
      </c>
      <c r="G289" s="1" t="s">
        <v>1644</v>
      </c>
      <c r="H289" s="1" t="s">
        <v>275</v>
      </c>
      <c r="I289" s="1" t="s">
        <v>1832</v>
      </c>
      <c r="J289" s="1" t="s">
        <v>1833</v>
      </c>
      <c r="K289" s="1" t="s">
        <v>1452</v>
      </c>
      <c r="L289" s="1" t="s">
        <v>870</v>
      </c>
      <c r="M289" s="1" t="s">
        <v>49</v>
      </c>
      <c r="N289" s="1" t="s">
        <v>1834</v>
      </c>
      <c r="O289" s="1" t="s">
        <v>35</v>
      </c>
      <c r="P289" s="1" t="s">
        <v>1832</v>
      </c>
      <c r="Q289" s="1" t="s">
        <v>386</v>
      </c>
      <c r="R289" s="1" t="s">
        <v>37</v>
      </c>
      <c r="S289" s="1" t="s">
        <v>37</v>
      </c>
      <c r="T289" s="1" t="s">
        <v>37</v>
      </c>
      <c r="U289" s="1" t="s">
        <v>37</v>
      </c>
    </row>
    <row r="290" spans="1:21">
      <c r="A290" s="1" t="s">
        <v>1835</v>
      </c>
      <c r="B290" s="1" t="s">
        <v>115</v>
      </c>
      <c r="C290" s="1" t="s">
        <v>116</v>
      </c>
      <c r="D290" s="1" t="s">
        <v>41</v>
      </c>
      <c r="E290" s="1" t="s">
        <v>25</v>
      </c>
      <c r="F290" s="1" t="s">
        <v>117</v>
      </c>
      <c r="G290" s="1" t="s">
        <v>1836</v>
      </c>
      <c r="H290" s="1" t="s">
        <v>28</v>
      </c>
      <c r="I290" s="1" t="s">
        <v>1837</v>
      </c>
      <c r="J290" s="1" t="s">
        <v>1838</v>
      </c>
      <c r="K290" s="1" t="s">
        <v>270</v>
      </c>
      <c r="L290" s="1" t="s">
        <v>1839</v>
      </c>
      <c r="M290" s="1" t="s">
        <v>59</v>
      </c>
      <c r="N290" s="1" t="s">
        <v>1840</v>
      </c>
      <c r="O290" s="1" t="s">
        <v>35</v>
      </c>
      <c r="P290" s="1" t="s">
        <v>1837</v>
      </c>
      <c r="Q290" s="1" t="s">
        <v>849</v>
      </c>
      <c r="R290" s="1" t="s">
        <v>37</v>
      </c>
      <c r="S290" s="1" t="s">
        <v>37</v>
      </c>
      <c r="T290" s="1" t="s">
        <v>37</v>
      </c>
      <c r="U290" s="1" t="s">
        <v>37</v>
      </c>
    </row>
    <row r="291" spans="1:21">
      <c r="A291" s="1" t="s">
        <v>1841</v>
      </c>
      <c r="B291" s="1" t="s">
        <v>22</v>
      </c>
      <c r="C291" s="1" t="s">
        <v>23</v>
      </c>
      <c r="D291" s="1" t="s">
        <v>24</v>
      </c>
      <c r="E291" s="1" t="s">
        <v>25</v>
      </c>
      <c r="F291" s="1" t="s">
        <v>53</v>
      </c>
      <c r="G291" s="1" t="s">
        <v>1842</v>
      </c>
      <c r="H291" s="1" t="s">
        <v>28</v>
      </c>
      <c r="I291" s="1" t="s">
        <v>1843</v>
      </c>
      <c r="J291" s="1" t="s">
        <v>1844</v>
      </c>
      <c r="K291" s="1" t="s">
        <v>419</v>
      </c>
      <c r="L291" s="1" t="s">
        <v>1845</v>
      </c>
      <c r="M291" s="1" t="s">
        <v>49</v>
      </c>
      <c r="N291" s="1" t="s">
        <v>1846</v>
      </c>
      <c r="O291" s="1" t="s">
        <v>35</v>
      </c>
      <c r="P291" s="1" t="s">
        <v>1843</v>
      </c>
      <c r="Q291" s="1" t="s">
        <v>791</v>
      </c>
      <c r="R291" s="1" t="s">
        <v>37</v>
      </c>
      <c r="S291" s="1" t="s">
        <v>37</v>
      </c>
      <c r="T291" s="1" t="s">
        <v>37</v>
      </c>
      <c r="U291" s="1" t="s">
        <v>37</v>
      </c>
    </row>
    <row r="292" spans="1:21">
      <c r="A292" s="1" t="s">
        <v>1847</v>
      </c>
      <c r="B292" s="1" t="s">
        <v>115</v>
      </c>
      <c r="C292" s="1" t="s">
        <v>116</v>
      </c>
      <c r="D292" s="1" t="s">
        <v>24</v>
      </c>
      <c r="E292" s="1" t="s">
        <v>992</v>
      </c>
      <c r="F292" s="1" t="s">
        <v>42</v>
      </c>
      <c r="G292" s="1" t="s">
        <v>200</v>
      </c>
      <c r="H292" s="1" t="s">
        <v>99</v>
      </c>
      <c r="I292" s="1" t="s">
        <v>1848</v>
      </c>
      <c r="J292" s="1" t="s">
        <v>1849</v>
      </c>
      <c r="K292" s="1" t="s">
        <v>541</v>
      </c>
      <c r="L292" s="1" t="s">
        <v>1850</v>
      </c>
      <c r="M292" s="1" t="s">
        <v>59</v>
      </c>
      <c r="N292" s="1" t="s">
        <v>1851</v>
      </c>
      <c r="O292" s="1" t="s">
        <v>35</v>
      </c>
      <c r="P292" s="1" t="s">
        <v>1848</v>
      </c>
      <c r="Q292" s="1" t="s">
        <v>28</v>
      </c>
      <c r="R292" s="1" t="s">
        <v>37</v>
      </c>
      <c r="S292" s="1" t="s">
        <v>37</v>
      </c>
      <c r="T292" s="1" t="s">
        <v>37</v>
      </c>
      <c r="U292" s="1" t="s">
        <v>37</v>
      </c>
    </row>
    <row r="293" spans="1:21">
      <c r="A293" s="1" t="s">
        <v>1852</v>
      </c>
      <c r="B293" s="1" t="s">
        <v>39</v>
      </c>
      <c r="C293" s="1" t="s">
        <v>40</v>
      </c>
      <c r="D293" s="1" t="s">
        <v>41</v>
      </c>
      <c r="E293" s="1" t="s">
        <v>992</v>
      </c>
      <c r="F293" s="1" t="s">
        <v>42</v>
      </c>
      <c r="G293" s="1" t="s">
        <v>1853</v>
      </c>
      <c r="H293" s="1" t="s">
        <v>28</v>
      </c>
      <c r="I293" s="1" t="s">
        <v>1854</v>
      </c>
      <c r="J293" s="1" t="s">
        <v>1855</v>
      </c>
      <c r="K293" s="1" t="s">
        <v>1718</v>
      </c>
      <c r="L293" s="1" t="s">
        <v>1856</v>
      </c>
      <c r="M293" s="1" t="s">
        <v>33</v>
      </c>
      <c r="N293" s="1" t="s">
        <v>1857</v>
      </c>
      <c r="O293" s="1" t="s">
        <v>35</v>
      </c>
      <c r="P293" s="1" t="s">
        <v>1854</v>
      </c>
      <c r="Q293" s="1" t="s">
        <v>90</v>
      </c>
      <c r="R293" s="1" t="s">
        <v>37</v>
      </c>
      <c r="S293" s="1" t="s">
        <v>37</v>
      </c>
      <c r="T293" s="1" t="s">
        <v>37</v>
      </c>
      <c r="U293" s="1" t="s">
        <v>37</v>
      </c>
    </row>
    <row r="294" spans="1:21">
      <c r="A294" s="1" t="s">
        <v>1858</v>
      </c>
      <c r="B294" s="1" t="s">
        <v>22</v>
      </c>
      <c r="C294" s="1" t="s">
        <v>23</v>
      </c>
      <c r="D294" s="1" t="s">
        <v>24</v>
      </c>
      <c r="E294" s="1" t="s">
        <v>25</v>
      </c>
      <c r="F294" s="1" t="s">
        <v>42</v>
      </c>
      <c r="G294" s="1" t="s">
        <v>1859</v>
      </c>
      <c r="H294" s="1" t="s">
        <v>253</v>
      </c>
      <c r="I294" s="1" t="s">
        <v>1860</v>
      </c>
      <c r="J294" s="1" t="s">
        <v>1861</v>
      </c>
      <c r="K294" s="1" t="s">
        <v>955</v>
      </c>
      <c r="L294" s="1" t="s">
        <v>1862</v>
      </c>
      <c r="M294" s="1" t="s">
        <v>49</v>
      </c>
      <c r="N294" s="1" t="s">
        <v>1859</v>
      </c>
      <c r="O294" s="1" t="s">
        <v>35</v>
      </c>
      <c r="P294" s="1" t="s">
        <v>1860</v>
      </c>
      <c r="Q294" s="1" t="s">
        <v>330</v>
      </c>
      <c r="R294" s="1" t="s">
        <v>37</v>
      </c>
      <c r="S294" s="1" t="s">
        <v>37</v>
      </c>
      <c r="T294" s="1" t="s">
        <v>37</v>
      </c>
      <c r="U294" s="1" t="s">
        <v>37</v>
      </c>
    </row>
    <row r="295" spans="1:21">
      <c r="A295" s="1" t="s">
        <v>1863</v>
      </c>
      <c r="B295" s="1" t="s">
        <v>22</v>
      </c>
      <c r="C295" s="1" t="s">
        <v>23</v>
      </c>
      <c r="D295" s="1" t="s">
        <v>24</v>
      </c>
      <c r="E295" s="1" t="s">
        <v>25</v>
      </c>
      <c r="F295" s="1" t="s">
        <v>117</v>
      </c>
      <c r="G295" s="1" t="s">
        <v>1864</v>
      </c>
      <c r="H295" s="1" t="s">
        <v>107</v>
      </c>
      <c r="I295" s="1" t="s">
        <v>1865</v>
      </c>
      <c r="J295" s="1" t="s">
        <v>1866</v>
      </c>
      <c r="K295" s="1" t="s">
        <v>195</v>
      </c>
      <c r="L295" s="1" t="s">
        <v>1225</v>
      </c>
      <c r="M295" s="1" t="s">
        <v>49</v>
      </c>
      <c r="N295" s="1" t="s">
        <v>1867</v>
      </c>
      <c r="O295" s="1" t="s">
        <v>35</v>
      </c>
      <c r="P295" s="1" t="s">
        <v>1865</v>
      </c>
      <c r="Q295" s="1" t="s">
        <v>151</v>
      </c>
      <c r="R295" s="1" t="s">
        <v>37</v>
      </c>
      <c r="S295" s="1" t="s">
        <v>37</v>
      </c>
      <c r="T295" s="1" t="s">
        <v>37</v>
      </c>
      <c r="U295" s="1" t="s">
        <v>37</v>
      </c>
    </row>
    <row r="296" spans="1:21">
      <c r="A296" s="1" t="s">
        <v>1868</v>
      </c>
      <c r="B296" s="1" t="s">
        <v>115</v>
      </c>
      <c r="C296" s="1" t="s">
        <v>116</v>
      </c>
      <c r="D296" s="1" t="s">
        <v>41</v>
      </c>
      <c r="E296" s="1" t="s">
        <v>992</v>
      </c>
      <c r="F296" s="1" t="s">
        <v>26</v>
      </c>
      <c r="G296" s="1" t="s">
        <v>1869</v>
      </c>
      <c r="H296" s="1" t="s">
        <v>99</v>
      </c>
      <c r="I296" s="1" t="s">
        <v>1870</v>
      </c>
      <c r="J296" s="1" t="s">
        <v>1871</v>
      </c>
      <c r="K296" s="1" t="s">
        <v>522</v>
      </c>
      <c r="L296" s="1" t="s">
        <v>1872</v>
      </c>
      <c r="M296" s="1" t="s">
        <v>33</v>
      </c>
      <c r="N296" s="1" t="s">
        <v>1873</v>
      </c>
      <c r="O296" s="1" t="s">
        <v>35</v>
      </c>
      <c r="P296" s="1" t="s">
        <v>1870</v>
      </c>
      <c r="Q296" s="1" t="s">
        <v>125</v>
      </c>
      <c r="R296" s="1" t="s">
        <v>37</v>
      </c>
      <c r="S296" s="1" t="s">
        <v>37</v>
      </c>
      <c r="T296" s="1" t="s">
        <v>37</v>
      </c>
      <c r="U296" s="1" t="s">
        <v>37</v>
      </c>
    </row>
    <row r="297" spans="1:21">
      <c r="A297" s="1" t="s">
        <v>1874</v>
      </c>
      <c r="B297" s="1" t="s">
        <v>39</v>
      </c>
      <c r="C297" s="1" t="s">
        <v>40</v>
      </c>
      <c r="D297" s="1" t="s">
        <v>24</v>
      </c>
      <c r="E297" s="1" t="s">
        <v>25</v>
      </c>
      <c r="F297" s="1" t="s">
        <v>42</v>
      </c>
      <c r="G297" s="1" t="s">
        <v>1875</v>
      </c>
      <c r="H297" s="1" t="s">
        <v>44</v>
      </c>
      <c r="I297" s="1" t="s">
        <v>1876</v>
      </c>
      <c r="J297" s="1" t="s">
        <v>1877</v>
      </c>
      <c r="K297" s="1" t="s">
        <v>57</v>
      </c>
      <c r="L297" s="1" t="s">
        <v>1878</v>
      </c>
      <c r="M297" s="1" t="s">
        <v>49</v>
      </c>
      <c r="N297" s="1" t="s">
        <v>1879</v>
      </c>
      <c r="O297" s="1" t="s">
        <v>35</v>
      </c>
      <c r="P297" s="1" t="s">
        <v>1876</v>
      </c>
      <c r="Q297" s="1" t="s">
        <v>311</v>
      </c>
      <c r="R297" s="1" t="s">
        <v>37</v>
      </c>
      <c r="S297" s="1" t="s">
        <v>37</v>
      </c>
      <c r="T297" s="1" t="s">
        <v>37</v>
      </c>
      <c r="U297" s="1" t="s">
        <v>37</v>
      </c>
    </row>
    <row r="298" spans="1:21">
      <c r="A298" s="1" t="s">
        <v>1880</v>
      </c>
      <c r="B298" s="1" t="s">
        <v>39</v>
      </c>
      <c r="C298" s="1" t="s">
        <v>40</v>
      </c>
      <c r="D298" s="1" t="s">
        <v>41</v>
      </c>
      <c r="E298" s="1" t="s">
        <v>992</v>
      </c>
      <c r="F298" s="1" t="s">
        <v>42</v>
      </c>
      <c r="G298" s="1" t="s">
        <v>1881</v>
      </c>
      <c r="H298" s="1" t="s">
        <v>129</v>
      </c>
      <c r="I298" s="1" t="s">
        <v>1882</v>
      </c>
      <c r="J298" s="1" t="s">
        <v>1883</v>
      </c>
      <c r="K298" s="1" t="s">
        <v>164</v>
      </c>
      <c r="L298" s="1" t="s">
        <v>1884</v>
      </c>
      <c r="M298" s="1" t="s">
        <v>49</v>
      </c>
      <c r="N298" s="1" t="s">
        <v>1885</v>
      </c>
      <c r="O298" s="1" t="s">
        <v>35</v>
      </c>
      <c r="P298" s="1" t="s">
        <v>1882</v>
      </c>
      <c r="Q298" s="1" t="s">
        <v>544</v>
      </c>
      <c r="R298" s="1" t="s">
        <v>37</v>
      </c>
      <c r="S298" s="1" t="s">
        <v>37</v>
      </c>
      <c r="T298" s="1" t="s">
        <v>37</v>
      </c>
      <c r="U298" s="1" t="s">
        <v>37</v>
      </c>
    </row>
    <row r="299" spans="1:21">
      <c r="A299" s="1" t="s">
        <v>1886</v>
      </c>
      <c r="B299" s="1" t="s">
        <v>22</v>
      </c>
      <c r="C299" s="1" t="s">
        <v>23</v>
      </c>
      <c r="D299" s="1" t="s">
        <v>24</v>
      </c>
      <c r="E299" s="1" t="s">
        <v>992</v>
      </c>
      <c r="F299" s="1" t="s">
        <v>53</v>
      </c>
      <c r="G299" s="1" t="s">
        <v>1887</v>
      </c>
      <c r="H299" s="1" t="s">
        <v>90</v>
      </c>
      <c r="I299" s="1" t="s">
        <v>1888</v>
      </c>
      <c r="J299" s="1" t="s">
        <v>1889</v>
      </c>
      <c r="K299" s="1" t="s">
        <v>110</v>
      </c>
      <c r="L299" s="1" t="s">
        <v>1890</v>
      </c>
      <c r="M299" s="1" t="s">
        <v>33</v>
      </c>
      <c r="N299" s="1" t="s">
        <v>1891</v>
      </c>
      <c r="O299" s="1" t="s">
        <v>35</v>
      </c>
      <c r="P299" s="1" t="s">
        <v>1888</v>
      </c>
      <c r="Q299" s="1" t="s">
        <v>96</v>
      </c>
      <c r="R299" s="1" t="s">
        <v>37</v>
      </c>
      <c r="S299" s="1" t="s">
        <v>37</v>
      </c>
      <c r="T299" s="1" t="s">
        <v>37</v>
      </c>
      <c r="U299" s="1" t="s">
        <v>37</v>
      </c>
    </row>
    <row r="300" spans="1:21">
      <c r="A300" s="1" t="s">
        <v>1892</v>
      </c>
      <c r="B300" s="1" t="s">
        <v>22</v>
      </c>
      <c r="C300" s="1" t="s">
        <v>23</v>
      </c>
      <c r="D300" s="1" t="s">
        <v>24</v>
      </c>
      <c r="E300" s="1" t="s">
        <v>992</v>
      </c>
      <c r="F300" s="1" t="s">
        <v>53</v>
      </c>
      <c r="G300" s="1" t="s">
        <v>1893</v>
      </c>
      <c r="H300" s="1" t="s">
        <v>129</v>
      </c>
      <c r="I300" s="1" t="s">
        <v>1894</v>
      </c>
      <c r="J300" s="1" t="s">
        <v>1895</v>
      </c>
      <c r="K300" s="1" t="s">
        <v>270</v>
      </c>
      <c r="L300" s="1" t="s">
        <v>1896</v>
      </c>
      <c r="M300" s="1" t="s">
        <v>49</v>
      </c>
      <c r="N300" s="1" t="s">
        <v>1897</v>
      </c>
      <c r="O300" s="1" t="s">
        <v>35</v>
      </c>
      <c r="P300" s="1" t="s">
        <v>1894</v>
      </c>
      <c r="Q300" s="1" t="s">
        <v>135</v>
      </c>
      <c r="R300" s="1" t="s">
        <v>37</v>
      </c>
      <c r="S300" s="1" t="s">
        <v>37</v>
      </c>
      <c r="T300" s="1" t="s">
        <v>37</v>
      </c>
      <c r="U300" s="1" t="s">
        <v>37</v>
      </c>
    </row>
    <row r="301" spans="1:21">
      <c r="A301" s="1" t="s">
        <v>1898</v>
      </c>
      <c r="B301" s="1" t="s">
        <v>39</v>
      </c>
      <c r="C301" s="1" t="s">
        <v>40</v>
      </c>
      <c r="D301" s="1" t="s">
        <v>24</v>
      </c>
      <c r="E301" s="1" t="s">
        <v>25</v>
      </c>
      <c r="F301" s="1" t="s">
        <v>53</v>
      </c>
      <c r="G301" s="1" t="s">
        <v>1899</v>
      </c>
      <c r="H301" s="1" t="s">
        <v>253</v>
      </c>
      <c r="I301" s="1" t="s">
        <v>1900</v>
      </c>
      <c r="J301" s="1" t="s">
        <v>1901</v>
      </c>
      <c r="K301" s="1" t="s">
        <v>823</v>
      </c>
      <c r="L301" s="1" t="s">
        <v>1902</v>
      </c>
      <c r="M301" s="1" t="s">
        <v>49</v>
      </c>
      <c r="N301" s="1" t="s">
        <v>1899</v>
      </c>
      <c r="O301" s="1" t="s">
        <v>35</v>
      </c>
      <c r="P301" s="1" t="s">
        <v>1900</v>
      </c>
      <c r="Q301" s="1" t="s">
        <v>265</v>
      </c>
      <c r="R301" s="1" t="s">
        <v>37</v>
      </c>
      <c r="S301" s="1" t="s">
        <v>37</v>
      </c>
      <c r="T301" s="1" t="s">
        <v>37</v>
      </c>
      <c r="U301" s="1" t="s">
        <v>37</v>
      </c>
    </row>
    <row r="302" spans="1:21">
      <c r="A302" s="1" t="s">
        <v>1903</v>
      </c>
      <c r="B302" s="1" t="s">
        <v>39</v>
      </c>
      <c r="C302" s="1" t="s">
        <v>40</v>
      </c>
      <c r="D302" s="1" t="s">
        <v>41</v>
      </c>
      <c r="E302" s="1" t="s">
        <v>992</v>
      </c>
      <c r="F302" s="1" t="s">
        <v>127</v>
      </c>
      <c r="G302" s="1" t="s">
        <v>1904</v>
      </c>
      <c r="H302" s="1" t="s">
        <v>107</v>
      </c>
      <c r="I302" s="1" t="s">
        <v>1905</v>
      </c>
      <c r="J302" s="1" t="s">
        <v>1906</v>
      </c>
      <c r="K302" s="1" t="s">
        <v>668</v>
      </c>
      <c r="L302" s="1" t="s">
        <v>1543</v>
      </c>
      <c r="M302" s="1" t="s">
        <v>59</v>
      </c>
      <c r="N302" s="1" t="s">
        <v>1907</v>
      </c>
      <c r="O302" s="1" t="s">
        <v>35</v>
      </c>
      <c r="P302" s="1" t="s">
        <v>1905</v>
      </c>
      <c r="Q302" s="1" t="s">
        <v>257</v>
      </c>
      <c r="R302" s="1" t="s">
        <v>37</v>
      </c>
      <c r="S302" s="1" t="s">
        <v>37</v>
      </c>
      <c r="T302" s="1" t="s">
        <v>37</v>
      </c>
      <c r="U302" s="1" t="s">
        <v>37</v>
      </c>
    </row>
    <row r="303" spans="1:21">
      <c r="A303" s="1" t="s">
        <v>1908</v>
      </c>
      <c r="B303" s="1" t="s">
        <v>115</v>
      </c>
      <c r="C303" s="1" t="s">
        <v>116</v>
      </c>
      <c r="D303" s="1" t="s">
        <v>24</v>
      </c>
      <c r="E303" s="1" t="s">
        <v>992</v>
      </c>
      <c r="F303" s="1" t="s">
        <v>26</v>
      </c>
      <c r="G303" s="1" t="s">
        <v>1909</v>
      </c>
      <c r="H303" s="1" t="s">
        <v>253</v>
      </c>
      <c r="I303" s="1" t="s">
        <v>1910</v>
      </c>
      <c r="J303" s="1" t="s">
        <v>1911</v>
      </c>
      <c r="K303" s="1" t="s">
        <v>481</v>
      </c>
      <c r="L303" s="1" t="s">
        <v>1912</v>
      </c>
      <c r="M303" s="1" t="s">
        <v>59</v>
      </c>
      <c r="N303" s="1" t="s">
        <v>1909</v>
      </c>
      <c r="O303" s="1" t="s">
        <v>35</v>
      </c>
      <c r="P303" s="1" t="s">
        <v>1910</v>
      </c>
      <c r="Q303" s="1" t="s">
        <v>330</v>
      </c>
      <c r="R303" s="1" t="s">
        <v>37</v>
      </c>
      <c r="S303" s="1" t="s">
        <v>37</v>
      </c>
      <c r="T303" s="1" t="s">
        <v>37</v>
      </c>
      <c r="U303" s="1" t="s">
        <v>37</v>
      </c>
    </row>
    <row r="304" spans="1:21">
      <c r="A304" s="1" t="s">
        <v>1913</v>
      </c>
      <c r="B304" s="1" t="s">
        <v>39</v>
      </c>
      <c r="C304" s="1" t="s">
        <v>40</v>
      </c>
      <c r="D304" s="1" t="s">
        <v>41</v>
      </c>
      <c r="E304" s="1" t="s">
        <v>992</v>
      </c>
      <c r="F304" s="1" t="s">
        <v>117</v>
      </c>
      <c r="G304" s="1" t="s">
        <v>1914</v>
      </c>
      <c r="H304" s="1" t="s">
        <v>253</v>
      </c>
      <c r="I304" s="1" t="s">
        <v>1915</v>
      </c>
      <c r="J304" s="1" t="s">
        <v>1916</v>
      </c>
      <c r="K304" s="1" t="s">
        <v>93</v>
      </c>
      <c r="L304" s="1" t="s">
        <v>256</v>
      </c>
      <c r="M304" s="1" t="s">
        <v>49</v>
      </c>
      <c r="N304" s="1" t="s">
        <v>1914</v>
      </c>
      <c r="O304" s="1" t="s">
        <v>35</v>
      </c>
      <c r="P304" s="1" t="s">
        <v>1915</v>
      </c>
      <c r="Q304" s="1" t="s">
        <v>205</v>
      </c>
      <c r="R304" s="1" t="s">
        <v>37</v>
      </c>
      <c r="S304" s="1" t="s">
        <v>37</v>
      </c>
      <c r="T304" s="1" t="s">
        <v>37</v>
      </c>
      <c r="U304" s="1" t="s">
        <v>37</v>
      </c>
    </row>
    <row r="305" spans="1:21">
      <c r="A305" s="1" t="s">
        <v>1917</v>
      </c>
      <c r="B305" s="1" t="s">
        <v>22</v>
      </c>
      <c r="C305" s="1" t="s">
        <v>23</v>
      </c>
      <c r="D305" s="1" t="s">
        <v>41</v>
      </c>
      <c r="E305" s="1" t="s">
        <v>25</v>
      </c>
      <c r="F305" s="1" t="s">
        <v>42</v>
      </c>
      <c r="G305" s="1" t="s">
        <v>1918</v>
      </c>
      <c r="H305" s="1" t="s">
        <v>129</v>
      </c>
      <c r="I305" s="1" t="s">
        <v>1919</v>
      </c>
      <c r="J305" s="1" t="s">
        <v>1920</v>
      </c>
      <c r="K305" s="1" t="s">
        <v>1379</v>
      </c>
      <c r="L305" s="1" t="s">
        <v>111</v>
      </c>
      <c r="M305" s="1" t="s">
        <v>59</v>
      </c>
      <c r="N305" s="1" t="s">
        <v>1921</v>
      </c>
      <c r="O305" s="1" t="s">
        <v>35</v>
      </c>
      <c r="P305" s="1" t="s">
        <v>1919</v>
      </c>
      <c r="Q305" s="1" t="s">
        <v>330</v>
      </c>
      <c r="R305" s="1" t="s">
        <v>37</v>
      </c>
      <c r="S305" s="1" t="s">
        <v>37</v>
      </c>
      <c r="T305" s="1" t="s">
        <v>37</v>
      </c>
      <c r="U305" s="1" t="s">
        <v>37</v>
      </c>
    </row>
    <row r="306" spans="1:21">
      <c r="A306" s="1" t="s">
        <v>1922</v>
      </c>
      <c r="B306" s="1" t="s">
        <v>115</v>
      </c>
      <c r="C306" s="1" t="s">
        <v>116</v>
      </c>
      <c r="D306" s="1" t="s">
        <v>41</v>
      </c>
      <c r="E306" s="1" t="s">
        <v>25</v>
      </c>
      <c r="F306" s="1" t="s">
        <v>42</v>
      </c>
      <c r="G306" s="1" t="s">
        <v>1923</v>
      </c>
      <c r="H306" s="1" t="s">
        <v>64</v>
      </c>
      <c r="I306" s="1" t="s">
        <v>1924</v>
      </c>
      <c r="J306" s="1" t="s">
        <v>1925</v>
      </c>
      <c r="K306" s="1" t="s">
        <v>636</v>
      </c>
      <c r="L306" s="1" t="s">
        <v>841</v>
      </c>
      <c r="M306" s="1" t="s">
        <v>49</v>
      </c>
      <c r="N306" s="1" t="s">
        <v>1926</v>
      </c>
      <c r="O306" s="1" t="s">
        <v>35</v>
      </c>
      <c r="P306" s="1" t="s">
        <v>1924</v>
      </c>
      <c r="Q306" s="1" t="s">
        <v>198</v>
      </c>
      <c r="R306" s="1" t="s">
        <v>37</v>
      </c>
      <c r="S306" s="1" t="s">
        <v>37</v>
      </c>
      <c r="T306" s="1" t="s">
        <v>37</v>
      </c>
      <c r="U306" s="1" t="s">
        <v>37</v>
      </c>
    </row>
    <row r="307" spans="1:21">
      <c r="A307" s="1" t="s">
        <v>1927</v>
      </c>
      <c r="B307" s="1" t="s">
        <v>22</v>
      </c>
      <c r="C307" s="1" t="s">
        <v>23</v>
      </c>
      <c r="D307" s="1" t="s">
        <v>24</v>
      </c>
      <c r="E307" s="1" t="s">
        <v>992</v>
      </c>
      <c r="F307" s="1" t="s">
        <v>42</v>
      </c>
      <c r="G307" s="1" t="s">
        <v>1928</v>
      </c>
      <c r="H307" s="1" t="s">
        <v>28</v>
      </c>
      <c r="I307" s="1" t="s">
        <v>1929</v>
      </c>
      <c r="J307" s="1" t="s">
        <v>1930</v>
      </c>
      <c r="K307" s="1" t="s">
        <v>737</v>
      </c>
      <c r="L307" s="1" t="s">
        <v>1931</v>
      </c>
      <c r="M307" s="1" t="s">
        <v>33</v>
      </c>
      <c r="N307" s="1" t="s">
        <v>1932</v>
      </c>
      <c r="O307" s="1" t="s">
        <v>35</v>
      </c>
      <c r="P307" s="1" t="s">
        <v>1929</v>
      </c>
      <c r="Q307" s="1" t="s">
        <v>550</v>
      </c>
      <c r="R307" s="1" t="s">
        <v>37</v>
      </c>
      <c r="S307" s="1" t="s">
        <v>37</v>
      </c>
      <c r="T307" s="1" t="s">
        <v>37</v>
      </c>
      <c r="U307" s="1" t="s">
        <v>37</v>
      </c>
    </row>
    <row r="308" spans="1:21">
      <c r="A308" s="1" t="s">
        <v>1933</v>
      </c>
      <c r="B308" s="1" t="s">
        <v>22</v>
      </c>
      <c r="C308" s="1" t="s">
        <v>23</v>
      </c>
      <c r="D308" s="1" t="s">
        <v>41</v>
      </c>
      <c r="E308" s="1" t="s">
        <v>25</v>
      </c>
      <c r="F308" s="1" t="s">
        <v>72</v>
      </c>
      <c r="G308" s="1" t="s">
        <v>1934</v>
      </c>
      <c r="H308" s="1" t="s">
        <v>28</v>
      </c>
      <c r="I308" s="1" t="s">
        <v>1935</v>
      </c>
      <c r="J308" s="1" t="s">
        <v>1936</v>
      </c>
      <c r="K308" s="1" t="s">
        <v>1094</v>
      </c>
      <c r="L308" s="1" t="s">
        <v>743</v>
      </c>
      <c r="M308" s="1" t="s">
        <v>49</v>
      </c>
      <c r="N308" s="1" t="s">
        <v>1937</v>
      </c>
      <c r="O308" s="1" t="s">
        <v>35</v>
      </c>
      <c r="P308" s="1" t="s">
        <v>1935</v>
      </c>
      <c r="Q308" s="1" t="s">
        <v>51</v>
      </c>
      <c r="R308" s="1" t="s">
        <v>37</v>
      </c>
      <c r="S308" s="1" t="s">
        <v>37</v>
      </c>
      <c r="T308" s="1" t="s">
        <v>37</v>
      </c>
      <c r="U308" s="1" t="s">
        <v>37</v>
      </c>
    </row>
    <row r="309" spans="1:21">
      <c r="A309" s="1" t="s">
        <v>1938</v>
      </c>
      <c r="B309" s="1" t="s">
        <v>22</v>
      </c>
      <c r="C309" s="1" t="s">
        <v>23</v>
      </c>
      <c r="D309" s="1" t="s">
        <v>24</v>
      </c>
      <c r="E309" s="1" t="s">
        <v>25</v>
      </c>
      <c r="F309" s="1" t="s">
        <v>53</v>
      </c>
      <c r="G309" s="1" t="s">
        <v>1939</v>
      </c>
      <c r="H309" s="1" t="s">
        <v>64</v>
      </c>
      <c r="I309" s="1" t="s">
        <v>1940</v>
      </c>
      <c r="J309" s="1" t="s">
        <v>1941</v>
      </c>
      <c r="K309" s="1" t="s">
        <v>232</v>
      </c>
      <c r="L309" s="1" t="s">
        <v>1942</v>
      </c>
      <c r="M309" s="1" t="s">
        <v>49</v>
      </c>
      <c r="N309" s="1" t="s">
        <v>1943</v>
      </c>
      <c r="O309" s="1" t="s">
        <v>35</v>
      </c>
      <c r="P309" s="1" t="s">
        <v>1940</v>
      </c>
      <c r="Q309" s="1" t="s">
        <v>87</v>
      </c>
      <c r="R309" s="1" t="s">
        <v>37</v>
      </c>
      <c r="S309" s="1" t="s">
        <v>37</v>
      </c>
      <c r="T309" s="1" t="s">
        <v>37</v>
      </c>
      <c r="U309" s="1" t="s">
        <v>37</v>
      </c>
    </row>
    <row r="310" spans="1:21">
      <c r="A310" s="1" t="s">
        <v>1944</v>
      </c>
      <c r="B310" s="1" t="s">
        <v>22</v>
      </c>
      <c r="C310" s="1" t="s">
        <v>23</v>
      </c>
      <c r="D310" s="1" t="s">
        <v>24</v>
      </c>
      <c r="E310" s="1" t="s">
        <v>25</v>
      </c>
      <c r="F310" s="1" t="s">
        <v>42</v>
      </c>
      <c r="G310" s="1" t="s">
        <v>1945</v>
      </c>
      <c r="H310" s="1" t="s">
        <v>119</v>
      </c>
      <c r="I310" s="1" t="s">
        <v>1946</v>
      </c>
      <c r="J310" s="1" t="s">
        <v>1947</v>
      </c>
      <c r="K310" s="1" t="s">
        <v>1194</v>
      </c>
      <c r="L310" s="1" t="s">
        <v>218</v>
      </c>
      <c r="M310" s="1" t="s">
        <v>33</v>
      </c>
      <c r="N310" s="1" t="s">
        <v>1948</v>
      </c>
      <c r="O310" s="1" t="s">
        <v>35</v>
      </c>
      <c r="P310" s="1" t="s">
        <v>1946</v>
      </c>
      <c r="Q310" s="1" t="s">
        <v>330</v>
      </c>
      <c r="R310" s="1" t="s">
        <v>37</v>
      </c>
      <c r="S310" s="1" t="s">
        <v>37</v>
      </c>
      <c r="T310" s="1" t="s">
        <v>37</v>
      </c>
      <c r="U310" s="1" t="s">
        <v>37</v>
      </c>
    </row>
    <row r="311" spans="1:21">
      <c r="A311" s="1" t="s">
        <v>1949</v>
      </c>
      <c r="B311" s="1" t="s">
        <v>22</v>
      </c>
      <c r="C311" s="1" t="s">
        <v>23</v>
      </c>
      <c r="D311" s="1" t="s">
        <v>41</v>
      </c>
      <c r="E311" s="1" t="s">
        <v>25</v>
      </c>
      <c r="F311" s="1" t="s">
        <v>127</v>
      </c>
      <c r="G311" s="1" t="s">
        <v>1950</v>
      </c>
      <c r="H311" s="1" t="s">
        <v>107</v>
      </c>
      <c r="I311" s="1" t="s">
        <v>1951</v>
      </c>
      <c r="J311" s="1" t="s">
        <v>1952</v>
      </c>
      <c r="K311" s="1" t="s">
        <v>217</v>
      </c>
      <c r="L311" s="1" t="s">
        <v>1953</v>
      </c>
      <c r="M311" s="1" t="s">
        <v>49</v>
      </c>
      <c r="N311" s="1" t="s">
        <v>1954</v>
      </c>
      <c r="O311" s="1" t="s">
        <v>35</v>
      </c>
      <c r="P311" s="1" t="s">
        <v>1951</v>
      </c>
      <c r="Q311" s="1" t="s">
        <v>812</v>
      </c>
      <c r="R311" s="1" t="s">
        <v>37</v>
      </c>
      <c r="S311" s="1" t="s">
        <v>37</v>
      </c>
      <c r="T311" s="1" t="s">
        <v>37</v>
      </c>
      <c r="U311" s="1" t="s">
        <v>37</v>
      </c>
    </row>
    <row r="312" spans="1:21">
      <c r="A312" s="1" t="s">
        <v>1955</v>
      </c>
      <c r="B312" s="1" t="s">
        <v>115</v>
      </c>
      <c r="C312" s="1" t="s">
        <v>116</v>
      </c>
      <c r="D312" s="1" t="s">
        <v>24</v>
      </c>
      <c r="E312" s="1" t="s">
        <v>992</v>
      </c>
      <c r="F312" s="1" t="s">
        <v>72</v>
      </c>
      <c r="G312" s="1" t="s">
        <v>1956</v>
      </c>
      <c r="H312" s="1" t="s">
        <v>90</v>
      </c>
      <c r="I312" s="1" t="s">
        <v>1957</v>
      </c>
      <c r="J312" s="1" t="s">
        <v>1958</v>
      </c>
      <c r="K312" s="1" t="s">
        <v>1452</v>
      </c>
      <c r="L312" s="1" t="s">
        <v>1613</v>
      </c>
      <c r="M312" s="1" t="s">
        <v>49</v>
      </c>
      <c r="N312" s="1" t="s">
        <v>1959</v>
      </c>
      <c r="O312" s="1" t="s">
        <v>35</v>
      </c>
      <c r="P312" s="1" t="s">
        <v>1957</v>
      </c>
      <c r="Q312" s="1" t="s">
        <v>618</v>
      </c>
      <c r="R312" s="1" t="s">
        <v>37</v>
      </c>
      <c r="S312" s="1" t="s">
        <v>37</v>
      </c>
      <c r="T312" s="1" t="s">
        <v>37</v>
      </c>
      <c r="U312" s="1" t="s">
        <v>37</v>
      </c>
    </row>
    <row r="313" spans="1:21">
      <c r="A313" s="1" t="s">
        <v>1960</v>
      </c>
      <c r="B313" s="1" t="s">
        <v>39</v>
      </c>
      <c r="C313" s="1" t="s">
        <v>40</v>
      </c>
      <c r="D313" s="1" t="s">
        <v>24</v>
      </c>
      <c r="E313" s="1" t="s">
        <v>992</v>
      </c>
      <c r="F313" s="1" t="s">
        <v>127</v>
      </c>
      <c r="G313" s="1" t="s">
        <v>1961</v>
      </c>
      <c r="H313" s="1" t="s">
        <v>107</v>
      </c>
      <c r="I313" s="1" t="s">
        <v>1962</v>
      </c>
      <c r="J313" s="1" t="s">
        <v>1963</v>
      </c>
      <c r="K313" s="1" t="s">
        <v>803</v>
      </c>
      <c r="L313" s="1" t="s">
        <v>1964</v>
      </c>
      <c r="M313" s="1" t="s">
        <v>33</v>
      </c>
      <c r="N313" s="1" t="s">
        <v>1965</v>
      </c>
      <c r="O313" s="1" t="s">
        <v>35</v>
      </c>
      <c r="P313" s="1" t="s">
        <v>1962</v>
      </c>
      <c r="Q313" s="1" t="s">
        <v>1089</v>
      </c>
      <c r="R313" s="1" t="s">
        <v>37</v>
      </c>
      <c r="S313" s="1" t="s">
        <v>37</v>
      </c>
      <c r="T313" s="1" t="s">
        <v>37</v>
      </c>
      <c r="U313" s="1" t="s">
        <v>37</v>
      </c>
    </row>
    <row r="314" spans="1:21">
      <c r="A314" s="1" t="s">
        <v>1966</v>
      </c>
      <c r="B314" s="1" t="s">
        <v>22</v>
      </c>
      <c r="C314" s="1" t="s">
        <v>23</v>
      </c>
      <c r="D314" s="1" t="s">
        <v>24</v>
      </c>
      <c r="E314" s="1" t="s">
        <v>25</v>
      </c>
      <c r="F314" s="1" t="s">
        <v>117</v>
      </c>
      <c r="G314" s="1" t="s">
        <v>1967</v>
      </c>
      <c r="H314" s="1" t="s">
        <v>44</v>
      </c>
      <c r="I314" s="1" t="s">
        <v>1968</v>
      </c>
      <c r="J314" s="1" t="s">
        <v>1969</v>
      </c>
      <c r="K314" s="1" t="s">
        <v>749</v>
      </c>
      <c r="L314" s="1" t="s">
        <v>1970</v>
      </c>
      <c r="M314" s="1" t="s">
        <v>59</v>
      </c>
      <c r="N314" s="1" t="s">
        <v>1971</v>
      </c>
      <c r="O314" s="1" t="s">
        <v>35</v>
      </c>
      <c r="P314" s="1" t="s">
        <v>1968</v>
      </c>
      <c r="Q314" s="1" t="s">
        <v>205</v>
      </c>
      <c r="R314" s="1" t="s">
        <v>37</v>
      </c>
      <c r="S314" s="1" t="s">
        <v>37</v>
      </c>
      <c r="T314" s="1" t="s">
        <v>37</v>
      </c>
      <c r="U314" s="1" t="s">
        <v>37</v>
      </c>
    </row>
    <row r="315" spans="1:21">
      <c r="A315" s="1" t="s">
        <v>1972</v>
      </c>
      <c r="B315" s="1" t="s">
        <v>22</v>
      </c>
      <c r="C315" s="1" t="s">
        <v>23</v>
      </c>
      <c r="D315" s="1" t="s">
        <v>24</v>
      </c>
      <c r="E315" s="1" t="s">
        <v>25</v>
      </c>
      <c r="F315" s="1" t="s">
        <v>26</v>
      </c>
      <c r="G315" s="1" t="s">
        <v>1973</v>
      </c>
      <c r="H315" s="1" t="s">
        <v>275</v>
      </c>
      <c r="I315" s="1" t="s">
        <v>1974</v>
      </c>
      <c r="J315" s="1" t="s">
        <v>1975</v>
      </c>
      <c r="K315" s="1" t="s">
        <v>445</v>
      </c>
      <c r="L315" s="1" t="s">
        <v>1976</v>
      </c>
      <c r="M315" s="1" t="s">
        <v>49</v>
      </c>
      <c r="N315" s="1" t="s">
        <v>1977</v>
      </c>
      <c r="O315" s="1" t="s">
        <v>35</v>
      </c>
      <c r="P315" s="1" t="s">
        <v>1974</v>
      </c>
      <c r="Q315" s="1" t="s">
        <v>44</v>
      </c>
      <c r="R315" s="1" t="s">
        <v>37</v>
      </c>
      <c r="S315" s="1" t="s">
        <v>37</v>
      </c>
      <c r="T315" s="1" t="s">
        <v>37</v>
      </c>
      <c r="U315" s="1" t="s">
        <v>37</v>
      </c>
    </row>
    <row r="316" spans="1:21">
      <c r="A316" s="1" t="s">
        <v>1978</v>
      </c>
      <c r="B316" s="1" t="s">
        <v>39</v>
      </c>
      <c r="C316" s="1" t="s">
        <v>40</v>
      </c>
      <c r="D316" s="1" t="s">
        <v>24</v>
      </c>
      <c r="E316" s="1" t="s">
        <v>25</v>
      </c>
      <c r="F316" s="1" t="s">
        <v>42</v>
      </c>
      <c r="G316" s="1" t="s">
        <v>1979</v>
      </c>
      <c r="H316" s="1" t="s">
        <v>99</v>
      </c>
      <c r="I316" s="1" t="s">
        <v>1980</v>
      </c>
      <c r="J316" s="1" t="s">
        <v>1981</v>
      </c>
      <c r="K316" s="1" t="s">
        <v>404</v>
      </c>
      <c r="L316" s="1" t="s">
        <v>1982</v>
      </c>
      <c r="M316" s="1" t="s">
        <v>49</v>
      </c>
      <c r="N316" s="1" t="s">
        <v>1983</v>
      </c>
      <c r="O316" s="1" t="s">
        <v>35</v>
      </c>
      <c r="P316" s="1" t="s">
        <v>1980</v>
      </c>
      <c r="Q316" s="1" t="s">
        <v>205</v>
      </c>
      <c r="R316" s="1" t="s">
        <v>37</v>
      </c>
      <c r="S316" s="1" t="s">
        <v>37</v>
      </c>
      <c r="T316" s="1" t="s">
        <v>37</v>
      </c>
      <c r="U316" s="1" t="s">
        <v>37</v>
      </c>
    </row>
    <row r="317" spans="1:21">
      <c r="A317" s="1" t="s">
        <v>1984</v>
      </c>
      <c r="B317" s="1" t="s">
        <v>39</v>
      </c>
      <c r="C317" s="1" t="s">
        <v>40</v>
      </c>
      <c r="D317" s="1" t="s">
        <v>24</v>
      </c>
      <c r="E317" s="1" t="s">
        <v>992</v>
      </c>
      <c r="F317" s="1" t="s">
        <v>117</v>
      </c>
      <c r="G317" s="1" t="s">
        <v>1985</v>
      </c>
      <c r="H317" s="1" t="s">
        <v>107</v>
      </c>
      <c r="I317" s="1" t="s">
        <v>1986</v>
      </c>
      <c r="J317" s="1" t="s">
        <v>1987</v>
      </c>
      <c r="K317" s="1" t="s">
        <v>515</v>
      </c>
      <c r="L317" s="1" t="s">
        <v>1988</v>
      </c>
      <c r="M317" s="1" t="s">
        <v>49</v>
      </c>
      <c r="N317" s="1" t="s">
        <v>1989</v>
      </c>
      <c r="O317" s="1" t="s">
        <v>35</v>
      </c>
      <c r="P317" s="1" t="s">
        <v>1986</v>
      </c>
      <c r="Q317" s="1" t="s">
        <v>849</v>
      </c>
      <c r="R317" s="1" t="s">
        <v>37</v>
      </c>
      <c r="S317" s="1" t="s">
        <v>37</v>
      </c>
      <c r="T317" s="1" t="s">
        <v>37</v>
      </c>
      <c r="U317" s="1" t="s">
        <v>37</v>
      </c>
    </row>
    <row r="318" spans="1:21">
      <c r="A318" s="1" t="s">
        <v>1990</v>
      </c>
      <c r="B318" s="1" t="s">
        <v>39</v>
      </c>
      <c r="C318" s="1" t="s">
        <v>40</v>
      </c>
      <c r="D318" s="1" t="s">
        <v>24</v>
      </c>
      <c r="E318" s="1" t="s">
        <v>25</v>
      </c>
      <c r="F318" s="1" t="s">
        <v>117</v>
      </c>
      <c r="G318" s="1" t="s">
        <v>1991</v>
      </c>
      <c r="H318" s="1" t="s">
        <v>119</v>
      </c>
      <c r="I318" s="1" t="s">
        <v>1992</v>
      </c>
      <c r="J318" s="1" t="s">
        <v>1993</v>
      </c>
      <c r="K318" s="1" t="s">
        <v>718</v>
      </c>
      <c r="L318" s="1" t="s">
        <v>149</v>
      </c>
      <c r="M318" s="1" t="s">
        <v>49</v>
      </c>
      <c r="N318" s="1" t="s">
        <v>1994</v>
      </c>
      <c r="O318" s="1" t="s">
        <v>35</v>
      </c>
      <c r="P318" s="1" t="s">
        <v>1992</v>
      </c>
      <c r="Q318" s="1" t="s">
        <v>663</v>
      </c>
      <c r="R318" s="1" t="s">
        <v>37</v>
      </c>
      <c r="S318" s="1" t="s">
        <v>37</v>
      </c>
      <c r="T318" s="1" t="s">
        <v>37</v>
      </c>
      <c r="U318" s="1" t="s">
        <v>37</v>
      </c>
    </row>
    <row r="319" spans="1:21">
      <c r="A319" s="1" t="s">
        <v>1995</v>
      </c>
      <c r="B319" s="1" t="s">
        <v>39</v>
      </c>
      <c r="C319" s="1" t="s">
        <v>40</v>
      </c>
      <c r="D319" s="1" t="s">
        <v>24</v>
      </c>
      <c r="E319" s="1" t="s">
        <v>992</v>
      </c>
      <c r="F319" s="1" t="s">
        <v>42</v>
      </c>
      <c r="G319" s="1" t="s">
        <v>1996</v>
      </c>
      <c r="H319" s="1" t="s">
        <v>44</v>
      </c>
      <c r="I319" s="1" t="s">
        <v>1997</v>
      </c>
      <c r="J319" s="1" t="s">
        <v>1998</v>
      </c>
      <c r="K319" s="1" t="s">
        <v>110</v>
      </c>
      <c r="L319" s="1" t="s">
        <v>1999</v>
      </c>
      <c r="M319" s="1" t="s">
        <v>49</v>
      </c>
      <c r="N319" s="1" t="s">
        <v>2000</v>
      </c>
      <c r="O319" s="1" t="s">
        <v>35</v>
      </c>
      <c r="P319" s="1" t="s">
        <v>1997</v>
      </c>
      <c r="Q319" s="1" t="s">
        <v>752</v>
      </c>
      <c r="R319" s="1" t="s">
        <v>37</v>
      </c>
      <c r="S319" s="1" t="s">
        <v>37</v>
      </c>
      <c r="T319" s="1" t="s">
        <v>37</v>
      </c>
      <c r="U319" s="1" t="s">
        <v>37</v>
      </c>
    </row>
    <row r="320" spans="1:21">
      <c r="A320" s="1" t="s">
        <v>2001</v>
      </c>
      <c r="B320" s="1" t="s">
        <v>39</v>
      </c>
      <c r="C320" s="1" t="s">
        <v>40</v>
      </c>
      <c r="D320" s="1" t="s">
        <v>24</v>
      </c>
      <c r="E320" s="1" t="s">
        <v>25</v>
      </c>
      <c r="F320" s="1" t="s">
        <v>26</v>
      </c>
      <c r="G320" s="1" t="s">
        <v>2002</v>
      </c>
      <c r="H320" s="1" t="s">
        <v>28</v>
      </c>
      <c r="I320" s="1" t="s">
        <v>2003</v>
      </c>
      <c r="J320" s="1" t="s">
        <v>2004</v>
      </c>
      <c r="K320" s="1" t="s">
        <v>179</v>
      </c>
      <c r="L320" s="1" t="s">
        <v>2005</v>
      </c>
      <c r="M320" s="1" t="s">
        <v>59</v>
      </c>
      <c r="N320" s="1" t="s">
        <v>2006</v>
      </c>
      <c r="O320" s="1" t="s">
        <v>35</v>
      </c>
      <c r="P320" s="1" t="s">
        <v>2003</v>
      </c>
      <c r="Q320" s="1" t="s">
        <v>407</v>
      </c>
      <c r="R320" s="1" t="s">
        <v>37</v>
      </c>
      <c r="S320" s="1" t="s">
        <v>37</v>
      </c>
      <c r="T320" s="1" t="s">
        <v>37</v>
      </c>
      <c r="U320" s="1" t="s">
        <v>37</v>
      </c>
    </row>
    <row r="321" spans="1:21">
      <c r="A321" s="1" t="s">
        <v>2007</v>
      </c>
      <c r="B321" s="1" t="s">
        <v>39</v>
      </c>
      <c r="C321" s="1" t="s">
        <v>40</v>
      </c>
      <c r="D321" s="1" t="s">
        <v>24</v>
      </c>
      <c r="E321" s="1" t="s">
        <v>992</v>
      </c>
      <c r="F321" s="1" t="s">
        <v>26</v>
      </c>
      <c r="G321" s="1" t="s">
        <v>2008</v>
      </c>
      <c r="H321" s="1" t="s">
        <v>129</v>
      </c>
      <c r="I321" s="1" t="s">
        <v>2009</v>
      </c>
      <c r="J321" s="1" t="s">
        <v>2010</v>
      </c>
      <c r="K321" s="1" t="s">
        <v>955</v>
      </c>
      <c r="L321" s="1" t="s">
        <v>1787</v>
      </c>
      <c r="M321" s="1" t="s">
        <v>33</v>
      </c>
      <c r="N321" s="1" t="s">
        <v>2011</v>
      </c>
      <c r="O321" s="1" t="s">
        <v>35</v>
      </c>
      <c r="P321" s="1" t="s">
        <v>2009</v>
      </c>
      <c r="Q321" s="1" t="s">
        <v>70</v>
      </c>
      <c r="R321" s="1" t="s">
        <v>37</v>
      </c>
      <c r="S321" s="1" t="s">
        <v>37</v>
      </c>
      <c r="T321" s="1" t="s">
        <v>37</v>
      </c>
      <c r="U321" s="1" t="s">
        <v>37</v>
      </c>
    </row>
    <row r="322" spans="1:21">
      <c r="A322" s="1" t="s">
        <v>2012</v>
      </c>
      <c r="B322" s="1" t="s">
        <v>39</v>
      </c>
      <c r="C322" s="1" t="s">
        <v>40</v>
      </c>
      <c r="D322" s="1" t="s">
        <v>41</v>
      </c>
      <c r="E322" s="1" t="s">
        <v>25</v>
      </c>
      <c r="F322" s="1" t="s">
        <v>117</v>
      </c>
      <c r="G322" s="1" t="s">
        <v>2013</v>
      </c>
      <c r="H322" s="1" t="s">
        <v>275</v>
      </c>
      <c r="I322" s="1" t="s">
        <v>2014</v>
      </c>
      <c r="J322" s="1" t="s">
        <v>2015</v>
      </c>
      <c r="K322" s="1" t="s">
        <v>1500</v>
      </c>
      <c r="L322" s="1" t="s">
        <v>2016</v>
      </c>
      <c r="M322" s="1" t="s">
        <v>49</v>
      </c>
      <c r="N322" s="1" t="s">
        <v>2017</v>
      </c>
      <c r="O322" s="1" t="s">
        <v>35</v>
      </c>
      <c r="P322" s="1" t="s">
        <v>2014</v>
      </c>
      <c r="Q322" s="1" t="s">
        <v>618</v>
      </c>
      <c r="R322" s="1" t="s">
        <v>37</v>
      </c>
      <c r="S322" s="1" t="s">
        <v>37</v>
      </c>
      <c r="T322" s="1" t="s">
        <v>37</v>
      </c>
      <c r="U322" s="1" t="s">
        <v>37</v>
      </c>
    </row>
    <row r="323" spans="1:21">
      <c r="A323" s="1" t="s">
        <v>2018</v>
      </c>
      <c r="B323" s="1" t="s">
        <v>39</v>
      </c>
      <c r="C323" s="1" t="s">
        <v>40</v>
      </c>
      <c r="D323" s="1" t="s">
        <v>41</v>
      </c>
      <c r="E323" s="1" t="s">
        <v>25</v>
      </c>
      <c r="F323" s="1" t="s">
        <v>26</v>
      </c>
      <c r="G323" s="1" t="s">
        <v>2019</v>
      </c>
      <c r="H323" s="1" t="s">
        <v>253</v>
      </c>
      <c r="I323" s="1" t="s">
        <v>2020</v>
      </c>
      <c r="J323" s="1" t="s">
        <v>2021</v>
      </c>
      <c r="K323" s="1" t="s">
        <v>962</v>
      </c>
      <c r="L323" s="1" t="s">
        <v>2022</v>
      </c>
      <c r="M323" s="1" t="s">
        <v>49</v>
      </c>
      <c r="N323" s="1" t="s">
        <v>2019</v>
      </c>
      <c r="O323" s="1" t="s">
        <v>35</v>
      </c>
      <c r="P323" s="1" t="s">
        <v>2020</v>
      </c>
      <c r="Q323" s="1" t="s">
        <v>70</v>
      </c>
      <c r="R323" s="1" t="s">
        <v>37</v>
      </c>
      <c r="S323" s="1" t="s">
        <v>37</v>
      </c>
      <c r="T323" s="1" t="s">
        <v>37</v>
      </c>
      <c r="U323" s="1" t="s">
        <v>37</v>
      </c>
    </row>
    <row r="324" spans="1:21">
      <c r="A324" s="1" t="s">
        <v>2023</v>
      </c>
      <c r="B324" s="1" t="s">
        <v>22</v>
      </c>
      <c r="C324" s="1" t="s">
        <v>23</v>
      </c>
      <c r="D324" s="1" t="s">
        <v>41</v>
      </c>
      <c r="E324" s="1" t="s">
        <v>992</v>
      </c>
      <c r="F324" s="1" t="s">
        <v>26</v>
      </c>
      <c r="G324" s="1" t="s">
        <v>2024</v>
      </c>
      <c r="H324" s="1" t="s">
        <v>90</v>
      </c>
      <c r="I324" s="1" t="s">
        <v>2025</v>
      </c>
      <c r="J324" s="1" t="s">
        <v>2026</v>
      </c>
      <c r="K324" s="1" t="s">
        <v>489</v>
      </c>
      <c r="L324" s="1" t="s">
        <v>1317</v>
      </c>
      <c r="M324" s="1" t="s">
        <v>33</v>
      </c>
      <c r="N324" s="1" t="s">
        <v>2027</v>
      </c>
      <c r="O324" s="1" t="s">
        <v>35</v>
      </c>
      <c r="P324" s="1" t="s">
        <v>2025</v>
      </c>
      <c r="Q324" s="1" t="s">
        <v>971</v>
      </c>
      <c r="R324" s="1" t="s">
        <v>37</v>
      </c>
      <c r="S324" s="1" t="s">
        <v>37</v>
      </c>
      <c r="T324" s="1" t="s">
        <v>37</v>
      </c>
      <c r="U324" s="1" t="s">
        <v>37</v>
      </c>
    </row>
    <row r="325" spans="1:21">
      <c r="A325" s="1" t="s">
        <v>2028</v>
      </c>
      <c r="B325" s="1" t="s">
        <v>22</v>
      </c>
      <c r="C325" s="1" t="s">
        <v>23</v>
      </c>
      <c r="D325" s="1" t="s">
        <v>41</v>
      </c>
      <c r="E325" s="1" t="s">
        <v>25</v>
      </c>
      <c r="F325" s="1" t="s">
        <v>127</v>
      </c>
      <c r="G325" s="1" t="s">
        <v>2029</v>
      </c>
      <c r="H325" s="1" t="s">
        <v>44</v>
      </c>
      <c r="I325" s="1" t="s">
        <v>2030</v>
      </c>
      <c r="J325" s="1" t="s">
        <v>2031</v>
      </c>
      <c r="K325" s="1" t="s">
        <v>47</v>
      </c>
      <c r="L325" s="1" t="s">
        <v>2032</v>
      </c>
      <c r="M325" s="1" t="s">
        <v>49</v>
      </c>
      <c r="N325" s="1" t="s">
        <v>2033</v>
      </c>
      <c r="O325" s="1" t="s">
        <v>35</v>
      </c>
      <c r="P325" s="1" t="s">
        <v>2030</v>
      </c>
      <c r="Q325" s="1" t="s">
        <v>257</v>
      </c>
      <c r="R325" s="1" t="s">
        <v>37</v>
      </c>
      <c r="S325" s="1" t="s">
        <v>37</v>
      </c>
      <c r="T325" s="1" t="s">
        <v>37</v>
      </c>
      <c r="U325" s="1" t="s">
        <v>37</v>
      </c>
    </row>
    <row r="326" spans="1:21">
      <c r="A326" s="1" t="s">
        <v>2034</v>
      </c>
      <c r="B326" s="1" t="s">
        <v>22</v>
      </c>
      <c r="C326" s="1" t="s">
        <v>23</v>
      </c>
      <c r="D326" s="1" t="s">
        <v>41</v>
      </c>
      <c r="E326" s="1" t="s">
        <v>992</v>
      </c>
      <c r="F326" s="1" t="s">
        <v>53</v>
      </c>
      <c r="G326" s="1" t="s">
        <v>2035</v>
      </c>
      <c r="H326" s="1" t="s">
        <v>90</v>
      </c>
      <c r="I326" s="1" t="s">
        <v>2036</v>
      </c>
      <c r="J326" s="1" t="s">
        <v>2037</v>
      </c>
      <c r="K326" s="1" t="s">
        <v>349</v>
      </c>
      <c r="L326" s="1" t="s">
        <v>2038</v>
      </c>
      <c r="M326" s="1" t="s">
        <v>59</v>
      </c>
      <c r="N326" s="1" t="s">
        <v>2039</v>
      </c>
      <c r="O326" s="1" t="s">
        <v>35</v>
      </c>
      <c r="P326" s="1" t="s">
        <v>2036</v>
      </c>
      <c r="Q326" s="1" t="s">
        <v>583</v>
      </c>
      <c r="R326" s="1" t="s">
        <v>37</v>
      </c>
      <c r="S326" s="1" t="s">
        <v>37</v>
      </c>
      <c r="T326" s="1" t="s">
        <v>37</v>
      </c>
      <c r="U326" s="1" t="s">
        <v>37</v>
      </c>
    </row>
    <row r="327" spans="1:21">
      <c r="A327" s="1" t="s">
        <v>2040</v>
      </c>
      <c r="B327" s="1" t="s">
        <v>115</v>
      </c>
      <c r="C327" s="1" t="s">
        <v>116</v>
      </c>
      <c r="D327" s="1" t="s">
        <v>41</v>
      </c>
      <c r="E327" s="1" t="s">
        <v>992</v>
      </c>
      <c r="F327" s="1" t="s">
        <v>72</v>
      </c>
      <c r="G327" s="1" t="s">
        <v>2041</v>
      </c>
      <c r="H327" s="1" t="s">
        <v>129</v>
      </c>
      <c r="I327" s="1" t="s">
        <v>2042</v>
      </c>
      <c r="J327" s="1" t="s">
        <v>2043</v>
      </c>
      <c r="K327" s="1" t="s">
        <v>481</v>
      </c>
      <c r="L327" s="1" t="s">
        <v>2044</v>
      </c>
      <c r="M327" s="1" t="s">
        <v>33</v>
      </c>
      <c r="N327" s="1" t="s">
        <v>2045</v>
      </c>
      <c r="O327" s="1" t="s">
        <v>35</v>
      </c>
      <c r="P327" s="1" t="s">
        <v>2042</v>
      </c>
      <c r="Q327" s="1" t="s">
        <v>544</v>
      </c>
      <c r="R327" s="1" t="s">
        <v>37</v>
      </c>
      <c r="S327" s="1" t="s">
        <v>37</v>
      </c>
      <c r="T327" s="1" t="s">
        <v>37</v>
      </c>
      <c r="U327" s="1" t="s">
        <v>37</v>
      </c>
    </row>
    <row r="328" spans="1:21">
      <c r="A328" s="1" t="s">
        <v>2046</v>
      </c>
      <c r="B328" s="1" t="s">
        <v>22</v>
      </c>
      <c r="C328" s="1" t="s">
        <v>23</v>
      </c>
      <c r="D328" s="1" t="s">
        <v>24</v>
      </c>
      <c r="E328" s="1" t="s">
        <v>992</v>
      </c>
      <c r="F328" s="1" t="s">
        <v>117</v>
      </c>
      <c r="G328" s="1" t="s">
        <v>2047</v>
      </c>
      <c r="H328" s="1" t="s">
        <v>44</v>
      </c>
      <c r="I328" s="1" t="s">
        <v>2048</v>
      </c>
      <c r="J328" s="1" t="s">
        <v>2049</v>
      </c>
      <c r="K328" s="1" t="s">
        <v>140</v>
      </c>
      <c r="L328" s="1" t="s">
        <v>2050</v>
      </c>
      <c r="M328" s="1" t="s">
        <v>49</v>
      </c>
      <c r="N328" s="1" t="s">
        <v>2051</v>
      </c>
      <c r="O328" s="1" t="s">
        <v>35</v>
      </c>
      <c r="P328" s="1" t="s">
        <v>2048</v>
      </c>
      <c r="Q328" s="1" t="s">
        <v>476</v>
      </c>
      <c r="R328" s="1" t="s">
        <v>37</v>
      </c>
      <c r="S328" s="1" t="s">
        <v>37</v>
      </c>
      <c r="T328" s="1" t="s">
        <v>37</v>
      </c>
      <c r="U328" s="1" t="s">
        <v>37</v>
      </c>
    </row>
    <row r="329" spans="1:21">
      <c r="A329" s="1" t="s">
        <v>2052</v>
      </c>
      <c r="B329" s="1" t="s">
        <v>39</v>
      </c>
      <c r="C329" s="1" t="s">
        <v>40</v>
      </c>
      <c r="D329" s="1" t="s">
        <v>24</v>
      </c>
      <c r="E329" s="1" t="s">
        <v>992</v>
      </c>
      <c r="F329" s="1" t="s">
        <v>117</v>
      </c>
      <c r="G329" s="1" t="s">
        <v>2053</v>
      </c>
      <c r="H329" s="1" t="s">
        <v>129</v>
      </c>
      <c r="I329" s="1" t="s">
        <v>2054</v>
      </c>
      <c r="J329" s="1" t="s">
        <v>2055</v>
      </c>
      <c r="K329" s="1" t="s">
        <v>481</v>
      </c>
      <c r="L329" s="1" t="s">
        <v>2056</v>
      </c>
      <c r="M329" s="1" t="s">
        <v>49</v>
      </c>
      <c r="N329" s="1" t="s">
        <v>2057</v>
      </c>
      <c r="O329" s="1" t="s">
        <v>35</v>
      </c>
      <c r="P329" s="1" t="s">
        <v>2054</v>
      </c>
      <c r="Q329" s="1" t="s">
        <v>198</v>
      </c>
      <c r="R329" s="1" t="s">
        <v>37</v>
      </c>
      <c r="S329" s="1" t="s">
        <v>37</v>
      </c>
      <c r="T329" s="1" t="s">
        <v>37</v>
      </c>
      <c r="U329" s="1" t="s">
        <v>37</v>
      </c>
    </row>
    <row r="330" spans="1:21">
      <c r="A330" s="1" t="s">
        <v>2058</v>
      </c>
      <c r="B330" s="1" t="s">
        <v>115</v>
      </c>
      <c r="C330" s="1" t="s">
        <v>116</v>
      </c>
      <c r="D330" s="1" t="s">
        <v>24</v>
      </c>
      <c r="E330" s="1" t="s">
        <v>992</v>
      </c>
      <c r="F330" s="1" t="s">
        <v>26</v>
      </c>
      <c r="G330" s="1" t="s">
        <v>2059</v>
      </c>
      <c r="H330" s="1" t="s">
        <v>129</v>
      </c>
      <c r="I330" s="1" t="s">
        <v>2060</v>
      </c>
      <c r="J330" s="1" t="s">
        <v>2061</v>
      </c>
      <c r="K330" s="1" t="s">
        <v>270</v>
      </c>
      <c r="L330" s="1" t="s">
        <v>357</v>
      </c>
      <c r="M330" s="1" t="s">
        <v>59</v>
      </c>
      <c r="N330" s="1" t="s">
        <v>2062</v>
      </c>
      <c r="O330" s="1" t="s">
        <v>35</v>
      </c>
      <c r="P330" s="1" t="s">
        <v>2060</v>
      </c>
      <c r="Q330" s="1" t="s">
        <v>129</v>
      </c>
      <c r="R330" s="1" t="s">
        <v>37</v>
      </c>
      <c r="S330" s="1" t="s">
        <v>37</v>
      </c>
      <c r="T330" s="1" t="s">
        <v>37</v>
      </c>
      <c r="U330" s="1" t="s">
        <v>37</v>
      </c>
    </row>
    <row r="331" spans="1:21">
      <c r="A331" s="1" t="s">
        <v>2063</v>
      </c>
      <c r="B331" s="1" t="s">
        <v>22</v>
      </c>
      <c r="C331" s="1" t="s">
        <v>23</v>
      </c>
      <c r="D331" s="1" t="s">
        <v>24</v>
      </c>
      <c r="E331" s="1" t="s">
        <v>992</v>
      </c>
      <c r="F331" s="1" t="s">
        <v>42</v>
      </c>
      <c r="G331" s="1" t="s">
        <v>1864</v>
      </c>
      <c r="H331" s="1" t="s">
        <v>129</v>
      </c>
      <c r="I331" s="1" t="s">
        <v>2064</v>
      </c>
      <c r="J331" s="1" t="s">
        <v>2065</v>
      </c>
      <c r="K331" s="1" t="s">
        <v>84</v>
      </c>
      <c r="L331" s="1" t="s">
        <v>2066</v>
      </c>
      <c r="M331" s="1" t="s">
        <v>49</v>
      </c>
      <c r="N331" s="1" t="s">
        <v>2067</v>
      </c>
      <c r="O331" s="1" t="s">
        <v>35</v>
      </c>
      <c r="P331" s="1" t="s">
        <v>2064</v>
      </c>
      <c r="Q331" s="1" t="s">
        <v>338</v>
      </c>
      <c r="R331" s="1" t="s">
        <v>37</v>
      </c>
      <c r="S331" s="1" t="s">
        <v>37</v>
      </c>
      <c r="T331" s="1" t="s">
        <v>37</v>
      </c>
      <c r="U331" s="1" t="s">
        <v>37</v>
      </c>
    </row>
    <row r="332" spans="1:21">
      <c r="A332" s="1" t="s">
        <v>2068</v>
      </c>
      <c r="B332" s="1" t="s">
        <v>115</v>
      </c>
      <c r="C332" s="1" t="s">
        <v>116</v>
      </c>
      <c r="D332" s="1" t="s">
        <v>41</v>
      </c>
      <c r="E332" s="1" t="s">
        <v>992</v>
      </c>
      <c r="F332" s="1" t="s">
        <v>53</v>
      </c>
      <c r="G332" s="1" t="s">
        <v>2069</v>
      </c>
      <c r="H332" s="1" t="s">
        <v>275</v>
      </c>
      <c r="I332" s="1" t="s">
        <v>2070</v>
      </c>
      <c r="J332" s="1" t="s">
        <v>2071</v>
      </c>
      <c r="K332" s="1" t="s">
        <v>156</v>
      </c>
      <c r="L332" s="1" t="s">
        <v>2072</v>
      </c>
      <c r="M332" s="1" t="s">
        <v>49</v>
      </c>
      <c r="N332" s="1" t="s">
        <v>2073</v>
      </c>
      <c r="O332" s="1" t="s">
        <v>35</v>
      </c>
      <c r="P332" s="1" t="s">
        <v>2070</v>
      </c>
      <c r="Q332" s="1" t="s">
        <v>143</v>
      </c>
      <c r="R332" s="1" t="s">
        <v>37</v>
      </c>
      <c r="S332" s="1" t="s">
        <v>37</v>
      </c>
      <c r="T332" s="1" t="s">
        <v>37</v>
      </c>
      <c r="U332" s="1" t="s">
        <v>37</v>
      </c>
    </row>
    <row r="333" spans="1:21">
      <c r="A333" s="1" t="s">
        <v>2074</v>
      </c>
      <c r="B333" s="1" t="s">
        <v>22</v>
      </c>
      <c r="C333" s="1" t="s">
        <v>23</v>
      </c>
      <c r="D333" s="1" t="s">
        <v>41</v>
      </c>
      <c r="E333" s="1" t="s">
        <v>992</v>
      </c>
      <c r="F333" s="1" t="s">
        <v>117</v>
      </c>
      <c r="G333" s="1" t="s">
        <v>2075</v>
      </c>
      <c r="H333" s="1" t="s">
        <v>119</v>
      </c>
      <c r="I333" s="1" t="s">
        <v>2076</v>
      </c>
      <c r="J333" s="1" t="s">
        <v>2077</v>
      </c>
      <c r="K333" s="1" t="s">
        <v>232</v>
      </c>
      <c r="L333" s="1" t="s">
        <v>2078</v>
      </c>
      <c r="M333" s="1" t="s">
        <v>59</v>
      </c>
      <c r="N333" s="1" t="s">
        <v>368</v>
      </c>
      <c r="O333" s="1" t="s">
        <v>35</v>
      </c>
      <c r="P333" s="1" t="s">
        <v>2076</v>
      </c>
      <c r="Q333" s="1" t="s">
        <v>36</v>
      </c>
      <c r="R333" s="1" t="s">
        <v>37</v>
      </c>
      <c r="S333" s="1" t="s">
        <v>37</v>
      </c>
      <c r="T333" s="1" t="s">
        <v>37</v>
      </c>
      <c r="U333" s="1" t="s">
        <v>37</v>
      </c>
    </row>
    <row r="334" spans="1:21">
      <c r="A334" s="1" t="s">
        <v>2079</v>
      </c>
      <c r="B334" s="1" t="s">
        <v>22</v>
      </c>
      <c r="C334" s="1" t="s">
        <v>23</v>
      </c>
      <c r="D334" s="1" t="s">
        <v>41</v>
      </c>
      <c r="E334" s="1" t="s">
        <v>992</v>
      </c>
      <c r="F334" s="1" t="s">
        <v>127</v>
      </c>
      <c r="G334" s="1" t="s">
        <v>2080</v>
      </c>
      <c r="H334" s="1" t="s">
        <v>44</v>
      </c>
      <c r="I334" s="1" t="s">
        <v>2081</v>
      </c>
      <c r="J334" s="1" t="s">
        <v>2082</v>
      </c>
      <c r="K334" s="1" t="s">
        <v>419</v>
      </c>
      <c r="L334" s="1" t="s">
        <v>2083</v>
      </c>
      <c r="M334" s="1" t="s">
        <v>49</v>
      </c>
      <c r="N334" s="1" t="s">
        <v>2084</v>
      </c>
      <c r="O334" s="1" t="s">
        <v>35</v>
      </c>
      <c r="P334" s="1" t="s">
        <v>2081</v>
      </c>
      <c r="Q334" s="1" t="s">
        <v>618</v>
      </c>
      <c r="R334" s="1" t="s">
        <v>37</v>
      </c>
      <c r="S334" s="1" t="s">
        <v>37</v>
      </c>
      <c r="T334" s="1" t="s">
        <v>37</v>
      </c>
      <c r="U334" s="1" t="s">
        <v>37</v>
      </c>
    </row>
    <row r="335" spans="1:21">
      <c r="A335" s="1" t="s">
        <v>2085</v>
      </c>
      <c r="B335" s="1" t="s">
        <v>22</v>
      </c>
      <c r="C335" s="1" t="s">
        <v>23</v>
      </c>
      <c r="D335" s="1" t="s">
        <v>24</v>
      </c>
      <c r="E335" s="1" t="s">
        <v>992</v>
      </c>
      <c r="F335" s="1" t="s">
        <v>117</v>
      </c>
      <c r="G335" s="1" t="s">
        <v>2086</v>
      </c>
      <c r="H335" s="1" t="s">
        <v>107</v>
      </c>
      <c r="I335" s="1" t="s">
        <v>2087</v>
      </c>
      <c r="J335" s="1" t="s">
        <v>2088</v>
      </c>
      <c r="K335" s="1" t="s">
        <v>1718</v>
      </c>
      <c r="L335" s="1" t="s">
        <v>2089</v>
      </c>
      <c r="M335" s="1" t="s">
        <v>59</v>
      </c>
      <c r="N335" s="1" t="s">
        <v>2090</v>
      </c>
      <c r="O335" s="1" t="s">
        <v>35</v>
      </c>
      <c r="P335" s="1" t="s">
        <v>2087</v>
      </c>
      <c r="Q335" s="1" t="s">
        <v>351</v>
      </c>
      <c r="R335" s="1" t="s">
        <v>37</v>
      </c>
      <c r="S335" s="1" t="s">
        <v>37</v>
      </c>
      <c r="T335" s="1" t="s">
        <v>37</v>
      </c>
      <c r="U335" s="1" t="s">
        <v>37</v>
      </c>
    </row>
    <row r="336" spans="1:21">
      <c r="A336" s="1" t="s">
        <v>2091</v>
      </c>
      <c r="B336" s="1" t="s">
        <v>39</v>
      </c>
      <c r="C336" s="1" t="s">
        <v>40</v>
      </c>
      <c r="D336" s="1" t="s">
        <v>24</v>
      </c>
      <c r="E336" s="1" t="s">
        <v>992</v>
      </c>
      <c r="F336" s="1" t="s">
        <v>72</v>
      </c>
      <c r="G336" s="1" t="s">
        <v>2092</v>
      </c>
      <c r="H336" s="1" t="s">
        <v>44</v>
      </c>
      <c r="I336" s="1" t="s">
        <v>2093</v>
      </c>
      <c r="J336" s="1" t="s">
        <v>2094</v>
      </c>
      <c r="K336" s="1" t="s">
        <v>788</v>
      </c>
      <c r="L336" s="1" t="s">
        <v>996</v>
      </c>
      <c r="M336" s="1" t="s">
        <v>33</v>
      </c>
      <c r="N336" s="1" t="s">
        <v>2095</v>
      </c>
      <c r="O336" s="1" t="s">
        <v>35</v>
      </c>
      <c r="P336" s="1" t="s">
        <v>2093</v>
      </c>
      <c r="Q336" s="1" t="s">
        <v>250</v>
      </c>
      <c r="R336" s="1" t="s">
        <v>37</v>
      </c>
      <c r="S336" s="1" t="s">
        <v>37</v>
      </c>
      <c r="T336" s="1" t="s">
        <v>37</v>
      </c>
      <c r="U336" s="1" t="s">
        <v>37</v>
      </c>
    </row>
    <row r="337" spans="1:21">
      <c r="A337" s="1" t="s">
        <v>2096</v>
      </c>
      <c r="B337" s="1" t="s">
        <v>22</v>
      </c>
      <c r="C337" s="1" t="s">
        <v>23</v>
      </c>
      <c r="D337" s="1" t="s">
        <v>24</v>
      </c>
      <c r="E337" s="1" t="s">
        <v>25</v>
      </c>
      <c r="F337" s="1" t="s">
        <v>42</v>
      </c>
      <c r="G337" s="1" t="s">
        <v>2097</v>
      </c>
      <c r="H337" s="1" t="s">
        <v>44</v>
      </c>
      <c r="I337" s="1" t="s">
        <v>2098</v>
      </c>
      <c r="J337" s="1" t="s">
        <v>2099</v>
      </c>
      <c r="K337" s="1" t="s">
        <v>1194</v>
      </c>
      <c r="L337" s="1" t="s">
        <v>643</v>
      </c>
      <c r="M337" s="1" t="s">
        <v>59</v>
      </c>
      <c r="N337" s="1" t="s">
        <v>2100</v>
      </c>
      <c r="O337" s="1" t="s">
        <v>35</v>
      </c>
      <c r="P337" s="1" t="s">
        <v>2098</v>
      </c>
      <c r="Q337" s="1" t="s">
        <v>36</v>
      </c>
      <c r="R337" s="1" t="s">
        <v>37</v>
      </c>
      <c r="S337" s="1" t="s">
        <v>37</v>
      </c>
      <c r="T337" s="1" t="s">
        <v>37</v>
      </c>
      <c r="U337" s="1" t="s">
        <v>37</v>
      </c>
    </row>
    <row r="338" spans="1:21">
      <c r="A338" s="1" t="s">
        <v>2101</v>
      </c>
      <c r="B338" s="1" t="s">
        <v>22</v>
      </c>
      <c r="C338" s="1" t="s">
        <v>23</v>
      </c>
      <c r="D338" s="1" t="s">
        <v>41</v>
      </c>
      <c r="E338" s="1" t="s">
        <v>992</v>
      </c>
      <c r="F338" s="1" t="s">
        <v>127</v>
      </c>
      <c r="G338" s="1" t="s">
        <v>50</v>
      </c>
      <c r="H338" s="1" t="s">
        <v>275</v>
      </c>
      <c r="I338" s="1" t="s">
        <v>2102</v>
      </c>
      <c r="J338" s="1" t="s">
        <v>2103</v>
      </c>
      <c r="K338" s="1" t="s">
        <v>412</v>
      </c>
      <c r="L338" s="1" t="s">
        <v>2104</v>
      </c>
      <c r="M338" s="1" t="s">
        <v>33</v>
      </c>
      <c r="N338" s="1" t="s">
        <v>2105</v>
      </c>
      <c r="O338" s="1" t="s">
        <v>35</v>
      </c>
      <c r="P338" s="1" t="s">
        <v>2102</v>
      </c>
      <c r="Q338" s="1" t="s">
        <v>311</v>
      </c>
      <c r="R338" s="1" t="s">
        <v>37</v>
      </c>
      <c r="S338" s="1" t="s">
        <v>37</v>
      </c>
      <c r="T338" s="1" t="s">
        <v>37</v>
      </c>
      <c r="U338" s="1" t="s">
        <v>37</v>
      </c>
    </row>
    <row r="339" spans="1:21">
      <c r="A339" s="1" t="s">
        <v>2106</v>
      </c>
      <c r="B339" s="1" t="s">
        <v>115</v>
      </c>
      <c r="C339" s="1" t="s">
        <v>116</v>
      </c>
      <c r="D339" s="1" t="s">
        <v>41</v>
      </c>
      <c r="E339" s="1" t="s">
        <v>25</v>
      </c>
      <c r="F339" s="1" t="s">
        <v>72</v>
      </c>
      <c r="G339" s="1" t="s">
        <v>2107</v>
      </c>
      <c r="H339" s="1" t="s">
        <v>90</v>
      </c>
      <c r="I339" s="1" t="s">
        <v>2108</v>
      </c>
      <c r="J339" s="1" t="s">
        <v>2109</v>
      </c>
      <c r="K339" s="1" t="s">
        <v>102</v>
      </c>
      <c r="L339" s="1" t="s">
        <v>2110</v>
      </c>
      <c r="M339" s="1" t="s">
        <v>49</v>
      </c>
      <c r="N339" s="1" t="s">
        <v>2111</v>
      </c>
      <c r="O339" s="1" t="s">
        <v>35</v>
      </c>
      <c r="P339" s="1" t="s">
        <v>2108</v>
      </c>
      <c r="Q339" s="1" t="s">
        <v>849</v>
      </c>
      <c r="R339" s="1" t="s">
        <v>37</v>
      </c>
      <c r="S339" s="1" t="s">
        <v>37</v>
      </c>
      <c r="T339" s="1" t="s">
        <v>37</v>
      </c>
      <c r="U339" s="1" t="s">
        <v>37</v>
      </c>
    </row>
    <row r="340" spans="1:21">
      <c r="A340" s="1" t="s">
        <v>2112</v>
      </c>
      <c r="B340" s="1" t="s">
        <v>39</v>
      </c>
      <c r="C340" s="1" t="s">
        <v>40</v>
      </c>
      <c r="D340" s="1" t="s">
        <v>41</v>
      </c>
      <c r="E340" s="1" t="s">
        <v>25</v>
      </c>
      <c r="F340" s="1" t="s">
        <v>42</v>
      </c>
      <c r="G340" s="1" t="s">
        <v>2113</v>
      </c>
      <c r="H340" s="1" t="s">
        <v>119</v>
      </c>
      <c r="I340" s="1" t="s">
        <v>2114</v>
      </c>
      <c r="J340" s="1" t="s">
        <v>2115</v>
      </c>
      <c r="K340" s="1" t="s">
        <v>757</v>
      </c>
      <c r="L340" s="1" t="s">
        <v>1440</v>
      </c>
      <c r="M340" s="1" t="s">
        <v>59</v>
      </c>
      <c r="N340" s="1" t="s">
        <v>2116</v>
      </c>
      <c r="O340" s="1" t="s">
        <v>35</v>
      </c>
      <c r="P340" s="1" t="s">
        <v>2114</v>
      </c>
      <c r="Q340" s="1" t="s">
        <v>386</v>
      </c>
      <c r="R340" s="1" t="s">
        <v>37</v>
      </c>
      <c r="S340" s="1" t="s">
        <v>37</v>
      </c>
      <c r="T340" s="1" t="s">
        <v>37</v>
      </c>
      <c r="U340" s="1" t="s">
        <v>37</v>
      </c>
    </row>
    <row r="341" spans="1:21">
      <c r="A341" s="1" t="s">
        <v>2117</v>
      </c>
      <c r="B341" s="1" t="s">
        <v>115</v>
      </c>
      <c r="C341" s="1" t="s">
        <v>116</v>
      </c>
      <c r="D341" s="1" t="s">
        <v>24</v>
      </c>
      <c r="E341" s="1" t="s">
        <v>25</v>
      </c>
      <c r="F341" s="1" t="s">
        <v>117</v>
      </c>
      <c r="G341" s="1" t="s">
        <v>2118</v>
      </c>
      <c r="H341" s="1" t="s">
        <v>275</v>
      </c>
      <c r="I341" s="1" t="s">
        <v>2119</v>
      </c>
      <c r="J341" s="1" t="s">
        <v>2120</v>
      </c>
      <c r="K341" s="1" t="s">
        <v>803</v>
      </c>
      <c r="L341" s="1" t="s">
        <v>848</v>
      </c>
      <c r="M341" s="1" t="s">
        <v>59</v>
      </c>
      <c r="N341" s="1" t="s">
        <v>2121</v>
      </c>
      <c r="O341" s="1" t="s">
        <v>35</v>
      </c>
      <c r="P341" s="1" t="s">
        <v>2119</v>
      </c>
      <c r="Q341" s="1" t="s">
        <v>1655</v>
      </c>
      <c r="R341" s="1" t="s">
        <v>37</v>
      </c>
      <c r="S341" s="1" t="s">
        <v>37</v>
      </c>
      <c r="T341" s="1" t="s">
        <v>37</v>
      </c>
      <c r="U341" s="1" t="s">
        <v>37</v>
      </c>
    </row>
    <row r="342" spans="1:21">
      <c r="A342" s="1" t="s">
        <v>2122</v>
      </c>
      <c r="B342" s="1" t="s">
        <v>115</v>
      </c>
      <c r="C342" s="1" t="s">
        <v>116</v>
      </c>
      <c r="D342" s="1" t="s">
        <v>24</v>
      </c>
      <c r="E342" s="1" t="s">
        <v>992</v>
      </c>
      <c r="F342" s="1" t="s">
        <v>42</v>
      </c>
      <c r="G342" s="1" t="s">
        <v>2123</v>
      </c>
      <c r="H342" s="1" t="s">
        <v>119</v>
      </c>
      <c r="I342" s="1" t="s">
        <v>2124</v>
      </c>
      <c r="J342" s="1" t="s">
        <v>2125</v>
      </c>
      <c r="K342" s="1" t="s">
        <v>404</v>
      </c>
      <c r="L342" s="1" t="s">
        <v>1064</v>
      </c>
      <c r="M342" s="1" t="s">
        <v>59</v>
      </c>
      <c r="N342" s="1" t="s">
        <v>2126</v>
      </c>
      <c r="O342" s="1" t="s">
        <v>35</v>
      </c>
      <c r="P342" s="1" t="s">
        <v>2124</v>
      </c>
      <c r="Q342" s="1" t="s">
        <v>812</v>
      </c>
      <c r="R342" s="1" t="s">
        <v>37</v>
      </c>
      <c r="S342" s="1" t="s">
        <v>37</v>
      </c>
      <c r="T342" s="1" t="s">
        <v>37</v>
      </c>
      <c r="U342" s="1" t="s">
        <v>37</v>
      </c>
    </row>
    <row r="343" spans="1:21">
      <c r="A343" s="1" t="s">
        <v>2127</v>
      </c>
      <c r="B343" s="1" t="s">
        <v>115</v>
      </c>
      <c r="C343" s="1" t="s">
        <v>116</v>
      </c>
      <c r="D343" s="1" t="s">
        <v>24</v>
      </c>
      <c r="E343" s="1" t="s">
        <v>25</v>
      </c>
      <c r="F343" s="1" t="s">
        <v>26</v>
      </c>
      <c r="G343" s="1" t="s">
        <v>2128</v>
      </c>
      <c r="H343" s="1" t="s">
        <v>28</v>
      </c>
      <c r="I343" s="1" t="s">
        <v>2129</v>
      </c>
      <c r="J343" s="1" t="s">
        <v>2130</v>
      </c>
      <c r="K343" s="1" t="s">
        <v>217</v>
      </c>
      <c r="L343" s="1" t="s">
        <v>1625</v>
      </c>
      <c r="M343" s="1" t="s">
        <v>33</v>
      </c>
      <c r="N343" s="1" t="s">
        <v>2131</v>
      </c>
      <c r="O343" s="1" t="s">
        <v>35</v>
      </c>
      <c r="P343" s="1" t="s">
        <v>2129</v>
      </c>
      <c r="Q343" s="1" t="s">
        <v>1655</v>
      </c>
      <c r="R343" s="1" t="s">
        <v>37</v>
      </c>
      <c r="S343" s="1" t="s">
        <v>37</v>
      </c>
      <c r="T343" s="1" t="s">
        <v>37</v>
      </c>
      <c r="U343" s="1" t="s">
        <v>37</v>
      </c>
    </row>
    <row r="344" spans="1:21">
      <c r="A344" s="1" t="s">
        <v>2132</v>
      </c>
      <c r="B344" s="1" t="s">
        <v>115</v>
      </c>
      <c r="C344" s="1" t="s">
        <v>116</v>
      </c>
      <c r="D344" s="1" t="s">
        <v>24</v>
      </c>
      <c r="E344" s="1" t="s">
        <v>25</v>
      </c>
      <c r="F344" s="1" t="s">
        <v>26</v>
      </c>
      <c r="G344" s="1" t="s">
        <v>2133</v>
      </c>
      <c r="H344" s="1" t="s">
        <v>28</v>
      </c>
      <c r="I344" s="1" t="s">
        <v>2134</v>
      </c>
      <c r="J344" s="1" t="s">
        <v>2135</v>
      </c>
      <c r="K344" s="1" t="s">
        <v>489</v>
      </c>
      <c r="L344" s="1" t="s">
        <v>2136</v>
      </c>
      <c r="M344" s="1" t="s">
        <v>49</v>
      </c>
      <c r="N344" s="1" t="s">
        <v>2137</v>
      </c>
      <c r="O344" s="1" t="s">
        <v>35</v>
      </c>
      <c r="P344" s="1" t="s">
        <v>2134</v>
      </c>
      <c r="Q344" s="1" t="s">
        <v>265</v>
      </c>
      <c r="R344" s="1" t="s">
        <v>37</v>
      </c>
      <c r="S344" s="1" t="s">
        <v>37</v>
      </c>
      <c r="T344" s="1" t="s">
        <v>37</v>
      </c>
      <c r="U344" s="1" t="s">
        <v>37</v>
      </c>
    </row>
    <row r="345" spans="1:21">
      <c r="A345" s="1" t="s">
        <v>2138</v>
      </c>
      <c r="B345" s="1" t="s">
        <v>39</v>
      </c>
      <c r="C345" s="1" t="s">
        <v>40</v>
      </c>
      <c r="D345" s="1" t="s">
        <v>41</v>
      </c>
      <c r="E345" s="1" t="s">
        <v>25</v>
      </c>
      <c r="F345" s="1" t="s">
        <v>117</v>
      </c>
      <c r="G345" s="1" t="s">
        <v>2139</v>
      </c>
      <c r="H345" s="1" t="s">
        <v>44</v>
      </c>
      <c r="I345" s="1" t="s">
        <v>2140</v>
      </c>
      <c r="J345" s="1" t="s">
        <v>2141</v>
      </c>
      <c r="K345" s="1" t="s">
        <v>1122</v>
      </c>
      <c r="L345" s="1" t="s">
        <v>605</v>
      </c>
      <c r="M345" s="1" t="s">
        <v>33</v>
      </c>
      <c r="N345" s="1" t="s">
        <v>2142</v>
      </c>
      <c r="O345" s="1" t="s">
        <v>35</v>
      </c>
      <c r="P345" s="1" t="s">
        <v>2140</v>
      </c>
      <c r="Q345" s="1" t="s">
        <v>484</v>
      </c>
      <c r="R345" s="1" t="s">
        <v>37</v>
      </c>
      <c r="S345" s="1" t="s">
        <v>37</v>
      </c>
      <c r="T345" s="1" t="s">
        <v>37</v>
      </c>
      <c r="U345" s="1" t="s">
        <v>37</v>
      </c>
    </row>
    <row r="346" spans="1:21">
      <c r="A346" s="1" t="s">
        <v>2143</v>
      </c>
      <c r="B346" s="1" t="s">
        <v>22</v>
      </c>
      <c r="C346" s="1" t="s">
        <v>23</v>
      </c>
      <c r="D346" s="1" t="s">
        <v>41</v>
      </c>
      <c r="E346" s="1" t="s">
        <v>992</v>
      </c>
      <c r="F346" s="1" t="s">
        <v>72</v>
      </c>
      <c r="G346" s="1" t="s">
        <v>2144</v>
      </c>
      <c r="H346" s="1" t="s">
        <v>119</v>
      </c>
      <c r="I346" s="1" t="s">
        <v>2145</v>
      </c>
      <c r="J346" s="1" t="s">
        <v>2146</v>
      </c>
      <c r="K346" s="1" t="s">
        <v>515</v>
      </c>
      <c r="L346" s="1" t="s">
        <v>2147</v>
      </c>
      <c r="M346" s="1" t="s">
        <v>49</v>
      </c>
      <c r="N346" s="1" t="s">
        <v>2148</v>
      </c>
      <c r="O346" s="1" t="s">
        <v>35</v>
      </c>
      <c r="P346" s="1" t="s">
        <v>2145</v>
      </c>
      <c r="Q346" s="1" t="s">
        <v>957</v>
      </c>
      <c r="R346" s="1" t="s">
        <v>37</v>
      </c>
      <c r="S346" s="1" t="s">
        <v>37</v>
      </c>
      <c r="T346" s="1" t="s">
        <v>37</v>
      </c>
      <c r="U346" s="1" t="s">
        <v>37</v>
      </c>
    </row>
    <row r="347" spans="1:21">
      <c r="A347" s="1" t="s">
        <v>2149</v>
      </c>
      <c r="B347" s="1" t="s">
        <v>22</v>
      </c>
      <c r="C347" s="1" t="s">
        <v>23</v>
      </c>
      <c r="D347" s="1" t="s">
        <v>41</v>
      </c>
      <c r="E347" s="1" t="s">
        <v>25</v>
      </c>
      <c r="F347" s="1" t="s">
        <v>127</v>
      </c>
      <c r="G347" s="1" t="s">
        <v>2150</v>
      </c>
      <c r="H347" s="1" t="s">
        <v>275</v>
      </c>
      <c r="I347" s="1" t="s">
        <v>2151</v>
      </c>
      <c r="J347" s="1" t="s">
        <v>2152</v>
      </c>
      <c r="K347" s="1" t="s">
        <v>391</v>
      </c>
      <c r="L347" s="1" t="s">
        <v>2153</v>
      </c>
      <c r="M347" s="1" t="s">
        <v>33</v>
      </c>
      <c r="N347" s="1" t="s">
        <v>2154</v>
      </c>
      <c r="O347" s="1" t="s">
        <v>35</v>
      </c>
      <c r="P347" s="1" t="s">
        <v>2151</v>
      </c>
      <c r="Q347" s="1" t="s">
        <v>338</v>
      </c>
      <c r="R347" s="1" t="s">
        <v>37</v>
      </c>
      <c r="S347" s="1" t="s">
        <v>37</v>
      </c>
      <c r="T347" s="1" t="s">
        <v>37</v>
      </c>
      <c r="U347" s="1" t="s">
        <v>37</v>
      </c>
    </row>
    <row r="348" spans="1:21">
      <c r="A348" s="1" t="s">
        <v>2155</v>
      </c>
      <c r="B348" s="1" t="s">
        <v>22</v>
      </c>
      <c r="C348" s="1" t="s">
        <v>23</v>
      </c>
      <c r="D348" s="1" t="s">
        <v>24</v>
      </c>
      <c r="E348" s="1" t="s">
        <v>992</v>
      </c>
      <c r="F348" s="1" t="s">
        <v>42</v>
      </c>
      <c r="G348" s="1" t="s">
        <v>2156</v>
      </c>
      <c r="H348" s="1" t="s">
        <v>253</v>
      </c>
      <c r="I348" s="1" t="s">
        <v>2157</v>
      </c>
      <c r="J348" s="1" t="s">
        <v>2158</v>
      </c>
      <c r="K348" s="1" t="s">
        <v>2159</v>
      </c>
      <c r="L348" s="1" t="s">
        <v>2160</v>
      </c>
      <c r="M348" s="1" t="s">
        <v>49</v>
      </c>
      <c r="N348" s="1" t="s">
        <v>2156</v>
      </c>
      <c r="O348" s="1" t="s">
        <v>35</v>
      </c>
      <c r="P348" s="1" t="s">
        <v>2157</v>
      </c>
      <c r="Q348" s="1" t="s">
        <v>663</v>
      </c>
      <c r="R348" s="1" t="s">
        <v>37</v>
      </c>
      <c r="S348" s="1" t="s">
        <v>37</v>
      </c>
      <c r="T348" s="1" t="s">
        <v>37</v>
      </c>
      <c r="U348" s="1" t="s">
        <v>37</v>
      </c>
    </row>
    <row r="349" spans="1:21">
      <c r="A349" s="1" t="s">
        <v>2161</v>
      </c>
      <c r="B349" s="1" t="s">
        <v>39</v>
      </c>
      <c r="C349" s="1" t="s">
        <v>40</v>
      </c>
      <c r="D349" s="1" t="s">
        <v>24</v>
      </c>
      <c r="E349" s="1" t="s">
        <v>25</v>
      </c>
      <c r="F349" s="1" t="s">
        <v>53</v>
      </c>
      <c r="G349" s="1" t="s">
        <v>2162</v>
      </c>
      <c r="H349" s="1" t="s">
        <v>64</v>
      </c>
      <c r="I349" s="1" t="s">
        <v>2163</v>
      </c>
      <c r="J349" s="1" t="s">
        <v>2164</v>
      </c>
      <c r="K349" s="1" t="s">
        <v>473</v>
      </c>
      <c r="L349" s="1" t="s">
        <v>1323</v>
      </c>
      <c r="M349" s="1" t="s">
        <v>49</v>
      </c>
      <c r="N349" s="1" t="s">
        <v>2165</v>
      </c>
      <c r="O349" s="1" t="s">
        <v>35</v>
      </c>
      <c r="P349" s="1" t="s">
        <v>2163</v>
      </c>
      <c r="Q349" s="1" t="s">
        <v>330</v>
      </c>
      <c r="R349" s="1" t="s">
        <v>37</v>
      </c>
      <c r="S349" s="1" t="s">
        <v>37</v>
      </c>
      <c r="T349" s="1" t="s">
        <v>37</v>
      </c>
      <c r="U349" s="1" t="s">
        <v>37</v>
      </c>
    </row>
    <row r="350" spans="1:21">
      <c r="A350" s="1" t="s">
        <v>2166</v>
      </c>
      <c r="B350" s="1" t="s">
        <v>22</v>
      </c>
      <c r="C350" s="1" t="s">
        <v>23</v>
      </c>
      <c r="D350" s="1" t="s">
        <v>41</v>
      </c>
      <c r="E350" s="1" t="s">
        <v>992</v>
      </c>
      <c r="F350" s="1" t="s">
        <v>42</v>
      </c>
      <c r="G350" s="1" t="s">
        <v>2167</v>
      </c>
      <c r="H350" s="1" t="s">
        <v>28</v>
      </c>
      <c r="I350" s="1" t="s">
        <v>2168</v>
      </c>
      <c r="J350" s="1" t="s">
        <v>2169</v>
      </c>
      <c r="K350" s="1" t="s">
        <v>757</v>
      </c>
      <c r="L350" s="1" t="s">
        <v>1380</v>
      </c>
      <c r="M350" s="1" t="s">
        <v>49</v>
      </c>
      <c r="N350" s="1" t="s">
        <v>2170</v>
      </c>
      <c r="O350" s="1" t="s">
        <v>35</v>
      </c>
      <c r="P350" s="1" t="s">
        <v>2168</v>
      </c>
      <c r="Q350" s="1" t="s">
        <v>220</v>
      </c>
      <c r="R350" s="1" t="s">
        <v>37</v>
      </c>
      <c r="S350" s="1" t="s">
        <v>37</v>
      </c>
      <c r="T350" s="1" t="s">
        <v>37</v>
      </c>
      <c r="U350" s="1" t="s">
        <v>37</v>
      </c>
    </row>
    <row r="351" spans="1:21">
      <c r="A351" s="1" t="s">
        <v>2171</v>
      </c>
      <c r="B351" s="1" t="s">
        <v>115</v>
      </c>
      <c r="C351" s="1" t="s">
        <v>116</v>
      </c>
      <c r="D351" s="1" t="s">
        <v>41</v>
      </c>
      <c r="E351" s="1" t="s">
        <v>25</v>
      </c>
      <c r="F351" s="1" t="s">
        <v>26</v>
      </c>
      <c r="G351" s="1" t="s">
        <v>2172</v>
      </c>
      <c r="H351" s="1" t="s">
        <v>99</v>
      </c>
      <c r="I351" s="1" t="s">
        <v>2173</v>
      </c>
      <c r="J351" s="1" t="s">
        <v>2174</v>
      </c>
      <c r="K351" s="1" t="s">
        <v>391</v>
      </c>
      <c r="L351" s="1" t="s">
        <v>2175</v>
      </c>
      <c r="M351" s="1" t="s">
        <v>59</v>
      </c>
      <c r="N351" s="1" t="s">
        <v>2176</v>
      </c>
      <c r="O351" s="1" t="s">
        <v>35</v>
      </c>
      <c r="P351" s="1" t="s">
        <v>2173</v>
      </c>
      <c r="Q351" s="1" t="s">
        <v>212</v>
      </c>
      <c r="R351" s="1" t="s">
        <v>37</v>
      </c>
      <c r="S351" s="1" t="s">
        <v>37</v>
      </c>
      <c r="T351" s="1" t="s">
        <v>37</v>
      </c>
      <c r="U351" s="1" t="s">
        <v>37</v>
      </c>
    </row>
    <row r="352" spans="1:21">
      <c r="A352" s="1" t="s">
        <v>2177</v>
      </c>
      <c r="B352" s="1" t="s">
        <v>39</v>
      </c>
      <c r="C352" s="1" t="s">
        <v>40</v>
      </c>
      <c r="D352" s="1" t="s">
        <v>24</v>
      </c>
      <c r="E352" s="1" t="s">
        <v>25</v>
      </c>
      <c r="F352" s="1" t="s">
        <v>127</v>
      </c>
      <c r="G352" s="1" t="s">
        <v>2178</v>
      </c>
      <c r="H352" s="1" t="s">
        <v>99</v>
      </c>
      <c r="I352" s="1" t="s">
        <v>2179</v>
      </c>
      <c r="J352" s="1" t="s">
        <v>2180</v>
      </c>
      <c r="K352" s="1" t="s">
        <v>489</v>
      </c>
      <c r="L352" s="1" t="s">
        <v>1690</v>
      </c>
      <c r="M352" s="1" t="s">
        <v>59</v>
      </c>
      <c r="N352" s="1" t="s">
        <v>2181</v>
      </c>
      <c r="O352" s="1" t="s">
        <v>35</v>
      </c>
      <c r="P352" s="1" t="s">
        <v>2179</v>
      </c>
      <c r="Q352" s="1" t="s">
        <v>468</v>
      </c>
      <c r="R352" s="1" t="s">
        <v>37</v>
      </c>
      <c r="S352" s="1" t="s">
        <v>37</v>
      </c>
      <c r="T352" s="1" t="s">
        <v>37</v>
      </c>
      <c r="U352" s="1" t="s">
        <v>37</v>
      </c>
    </row>
    <row r="353" spans="1:21">
      <c r="A353" s="1" t="s">
        <v>2182</v>
      </c>
      <c r="B353" s="1" t="s">
        <v>22</v>
      </c>
      <c r="C353" s="1" t="s">
        <v>23</v>
      </c>
      <c r="D353" s="1" t="s">
        <v>41</v>
      </c>
      <c r="E353" s="1" t="s">
        <v>992</v>
      </c>
      <c r="F353" s="1" t="s">
        <v>42</v>
      </c>
      <c r="G353" s="1" t="s">
        <v>2183</v>
      </c>
      <c r="H353" s="1" t="s">
        <v>28</v>
      </c>
      <c r="I353" s="1" t="s">
        <v>2184</v>
      </c>
      <c r="J353" s="1" t="s">
        <v>2185</v>
      </c>
      <c r="K353" s="1" t="s">
        <v>623</v>
      </c>
      <c r="L353" s="1" t="s">
        <v>2186</v>
      </c>
      <c r="M353" s="1" t="s">
        <v>49</v>
      </c>
      <c r="N353" s="1" t="s">
        <v>2187</v>
      </c>
      <c r="O353" s="1" t="s">
        <v>35</v>
      </c>
      <c r="P353" s="1" t="s">
        <v>2184</v>
      </c>
      <c r="Q353" s="1" t="s">
        <v>618</v>
      </c>
      <c r="R353" s="1" t="s">
        <v>37</v>
      </c>
      <c r="S353" s="1" t="s">
        <v>37</v>
      </c>
      <c r="T353" s="1" t="s">
        <v>37</v>
      </c>
      <c r="U353" s="1" t="s">
        <v>37</v>
      </c>
    </row>
    <row r="354" spans="1:21">
      <c r="A354" s="1" t="s">
        <v>2188</v>
      </c>
      <c r="B354" s="1" t="s">
        <v>115</v>
      </c>
      <c r="C354" s="1" t="s">
        <v>116</v>
      </c>
      <c r="D354" s="1" t="s">
        <v>24</v>
      </c>
      <c r="E354" s="1" t="s">
        <v>25</v>
      </c>
      <c r="F354" s="1" t="s">
        <v>127</v>
      </c>
      <c r="G354" s="1" t="s">
        <v>2189</v>
      </c>
      <c r="H354" s="1" t="s">
        <v>28</v>
      </c>
      <c r="I354" s="1" t="s">
        <v>2190</v>
      </c>
      <c r="J354" s="1" t="s">
        <v>2191</v>
      </c>
      <c r="K354" s="1" t="s">
        <v>1718</v>
      </c>
      <c r="L354" s="1" t="s">
        <v>2192</v>
      </c>
      <c r="M354" s="1" t="s">
        <v>59</v>
      </c>
      <c r="N354" s="1" t="s">
        <v>2193</v>
      </c>
      <c r="O354" s="1" t="s">
        <v>35</v>
      </c>
      <c r="P354" s="1" t="s">
        <v>2190</v>
      </c>
      <c r="Q354" s="1" t="s">
        <v>250</v>
      </c>
      <c r="R354" s="1" t="s">
        <v>37</v>
      </c>
      <c r="S354" s="1" t="s">
        <v>37</v>
      </c>
      <c r="T354" s="1" t="s">
        <v>37</v>
      </c>
      <c r="U354" s="1" t="s">
        <v>37</v>
      </c>
    </row>
    <row r="355" spans="1:21">
      <c r="A355" s="1" t="s">
        <v>2194</v>
      </c>
      <c r="B355" s="1" t="s">
        <v>115</v>
      </c>
      <c r="C355" s="1" t="s">
        <v>116</v>
      </c>
      <c r="D355" s="1" t="s">
        <v>24</v>
      </c>
      <c r="E355" s="1" t="s">
        <v>992</v>
      </c>
      <c r="F355" s="1" t="s">
        <v>53</v>
      </c>
      <c r="G355" s="1" t="s">
        <v>2195</v>
      </c>
      <c r="H355" s="1" t="s">
        <v>275</v>
      </c>
      <c r="I355" s="1" t="s">
        <v>2196</v>
      </c>
      <c r="J355" s="1" t="s">
        <v>2197</v>
      </c>
      <c r="K355" s="1" t="s">
        <v>240</v>
      </c>
      <c r="L355" s="1" t="s">
        <v>1890</v>
      </c>
      <c r="M355" s="1" t="s">
        <v>49</v>
      </c>
      <c r="N355" s="1" t="s">
        <v>2198</v>
      </c>
      <c r="O355" s="1" t="s">
        <v>35</v>
      </c>
      <c r="P355" s="1" t="s">
        <v>2196</v>
      </c>
      <c r="Q355" s="1" t="s">
        <v>212</v>
      </c>
      <c r="R355" s="1" t="s">
        <v>37</v>
      </c>
      <c r="S355" s="1" t="s">
        <v>37</v>
      </c>
      <c r="T355" s="1" t="s">
        <v>37</v>
      </c>
      <c r="U355" s="1" t="s">
        <v>37</v>
      </c>
    </row>
    <row r="356" spans="1:21">
      <c r="A356" s="1" t="s">
        <v>2199</v>
      </c>
      <c r="B356" s="1" t="s">
        <v>39</v>
      </c>
      <c r="C356" s="1" t="s">
        <v>40</v>
      </c>
      <c r="D356" s="1" t="s">
        <v>41</v>
      </c>
      <c r="E356" s="1" t="s">
        <v>25</v>
      </c>
      <c r="F356" s="1" t="s">
        <v>42</v>
      </c>
      <c r="G356" s="1" t="s">
        <v>2200</v>
      </c>
      <c r="H356" s="1" t="s">
        <v>253</v>
      </c>
      <c r="I356" s="1" t="s">
        <v>2201</v>
      </c>
      <c r="J356" s="1" t="s">
        <v>2202</v>
      </c>
      <c r="K356" s="1" t="s">
        <v>371</v>
      </c>
      <c r="L356" s="1" t="s">
        <v>2203</v>
      </c>
      <c r="M356" s="1" t="s">
        <v>49</v>
      </c>
      <c r="N356" s="1" t="s">
        <v>2200</v>
      </c>
      <c r="O356" s="1" t="s">
        <v>35</v>
      </c>
      <c r="P356" s="1" t="s">
        <v>2201</v>
      </c>
      <c r="Q356" s="1" t="s">
        <v>70</v>
      </c>
      <c r="R356" s="1" t="s">
        <v>37</v>
      </c>
      <c r="S356" s="1" t="s">
        <v>37</v>
      </c>
      <c r="T356" s="1" t="s">
        <v>37</v>
      </c>
      <c r="U356" s="1" t="s">
        <v>37</v>
      </c>
    </row>
    <row r="357" spans="1:21">
      <c r="A357" s="1" t="s">
        <v>2204</v>
      </c>
      <c r="B357" s="1" t="s">
        <v>115</v>
      </c>
      <c r="C357" s="1" t="s">
        <v>116</v>
      </c>
      <c r="D357" s="1" t="s">
        <v>24</v>
      </c>
      <c r="E357" s="1" t="s">
        <v>25</v>
      </c>
      <c r="F357" s="1" t="s">
        <v>117</v>
      </c>
      <c r="G357" s="1" t="s">
        <v>2205</v>
      </c>
      <c r="H357" s="1" t="s">
        <v>129</v>
      </c>
      <c r="I357" s="1" t="s">
        <v>2206</v>
      </c>
      <c r="J357" s="1" t="s">
        <v>2207</v>
      </c>
      <c r="K357" s="1" t="s">
        <v>316</v>
      </c>
      <c r="L357" s="1" t="s">
        <v>226</v>
      </c>
      <c r="M357" s="1" t="s">
        <v>59</v>
      </c>
      <c r="N357" s="1" t="s">
        <v>2208</v>
      </c>
      <c r="O357" s="1" t="s">
        <v>35</v>
      </c>
      <c r="P357" s="1" t="s">
        <v>2206</v>
      </c>
      <c r="Q357" s="1" t="s">
        <v>812</v>
      </c>
      <c r="R357" s="1" t="s">
        <v>37</v>
      </c>
      <c r="S357" s="1" t="s">
        <v>37</v>
      </c>
      <c r="T357" s="1" t="s">
        <v>37</v>
      </c>
      <c r="U357" s="1" t="s">
        <v>37</v>
      </c>
    </row>
    <row r="358" spans="1:21">
      <c r="A358" s="1" t="s">
        <v>2209</v>
      </c>
      <c r="B358" s="1" t="s">
        <v>39</v>
      </c>
      <c r="C358" s="1" t="s">
        <v>40</v>
      </c>
      <c r="D358" s="1" t="s">
        <v>41</v>
      </c>
      <c r="E358" s="1" t="s">
        <v>25</v>
      </c>
      <c r="F358" s="1" t="s">
        <v>127</v>
      </c>
      <c r="G358" s="1" t="s">
        <v>2210</v>
      </c>
      <c r="H358" s="1" t="s">
        <v>99</v>
      </c>
      <c r="I358" s="1" t="s">
        <v>2211</v>
      </c>
      <c r="J358" s="1" t="s">
        <v>2212</v>
      </c>
      <c r="K358" s="1" t="s">
        <v>47</v>
      </c>
      <c r="L358" s="1" t="s">
        <v>2213</v>
      </c>
      <c r="M358" s="1" t="s">
        <v>59</v>
      </c>
      <c r="N358" s="1" t="s">
        <v>2214</v>
      </c>
      <c r="O358" s="1" t="s">
        <v>35</v>
      </c>
      <c r="P358" s="1" t="s">
        <v>2211</v>
      </c>
      <c r="Q358" s="1" t="s">
        <v>484</v>
      </c>
      <c r="R358" s="1" t="s">
        <v>37</v>
      </c>
      <c r="S358" s="1" t="s">
        <v>37</v>
      </c>
      <c r="T358" s="1" t="s">
        <v>37</v>
      </c>
      <c r="U358" s="1" t="s">
        <v>37</v>
      </c>
    </row>
    <row r="359" spans="1:21">
      <c r="A359" s="1" t="s">
        <v>2215</v>
      </c>
      <c r="B359" s="1" t="s">
        <v>39</v>
      </c>
      <c r="C359" s="1" t="s">
        <v>40</v>
      </c>
      <c r="D359" s="1" t="s">
        <v>41</v>
      </c>
      <c r="E359" s="1" t="s">
        <v>25</v>
      </c>
      <c r="F359" s="1" t="s">
        <v>72</v>
      </c>
      <c r="G359" s="1" t="s">
        <v>2216</v>
      </c>
      <c r="H359" s="1" t="s">
        <v>99</v>
      </c>
      <c r="I359" s="1" t="s">
        <v>2217</v>
      </c>
      <c r="J359" s="1" t="s">
        <v>2218</v>
      </c>
      <c r="K359" s="1" t="s">
        <v>595</v>
      </c>
      <c r="L359" s="1" t="s">
        <v>2219</v>
      </c>
      <c r="M359" s="1" t="s">
        <v>49</v>
      </c>
      <c r="N359" s="1" t="s">
        <v>2220</v>
      </c>
      <c r="O359" s="1" t="s">
        <v>35</v>
      </c>
      <c r="P359" s="1" t="s">
        <v>2217</v>
      </c>
      <c r="Q359" s="1" t="s">
        <v>849</v>
      </c>
      <c r="R359" s="1" t="s">
        <v>37</v>
      </c>
      <c r="S359" s="1" t="s">
        <v>37</v>
      </c>
      <c r="T359" s="1" t="s">
        <v>37</v>
      </c>
      <c r="U359" s="1" t="s">
        <v>37</v>
      </c>
    </row>
    <row r="360" spans="1:21">
      <c r="A360" s="1" t="s">
        <v>2221</v>
      </c>
      <c r="B360" s="1" t="s">
        <v>115</v>
      </c>
      <c r="C360" s="1" t="s">
        <v>116</v>
      </c>
      <c r="D360" s="1" t="s">
        <v>41</v>
      </c>
      <c r="E360" s="1" t="s">
        <v>992</v>
      </c>
      <c r="F360" s="1" t="s">
        <v>42</v>
      </c>
      <c r="G360" s="1" t="s">
        <v>2222</v>
      </c>
      <c r="H360" s="1" t="s">
        <v>119</v>
      </c>
      <c r="I360" s="1" t="s">
        <v>2223</v>
      </c>
      <c r="J360" s="1" t="s">
        <v>2224</v>
      </c>
      <c r="K360" s="1" t="s">
        <v>742</v>
      </c>
      <c r="L360" s="1" t="s">
        <v>2225</v>
      </c>
      <c r="M360" s="1" t="s">
        <v>33</v>
      </c>
      <c r="N360" s="1" t="s">
        <v>2226</v>
      </c>
      <c r="O360" s="1" t="s">
        <v>35</v>
      </c>
      <c r="P360" s="1" t="s">
        <v>2223</v>
      </c>
      <c r="Q360" s="1" t="s">
        <v>434</v>
      </c>
      <c r="R360" s="1" t="s">
        <v>37</v>
      </c>
      <c r="S360" s="1" t="s">
        <v>37</v>
      </c>
      <c r="T360" s="1" t="s">
        <v>37</v>
      </c>
      <c r="U360" s="1" t="s">
        <v>37</v>
      </c>
    </row>
    <row r="361" spans="1:21">
      <c r="A361" s="1" t="s">
        <v>2227</v>
      </c>
      <c r="B361" s="1" t="s">
        <v>115</v>
      </c>
      <c r="C361" s="1" t="s">
        <v>116</v>
      </c>
      <c r="D361" s="1" t="s">
        <v>41</v>
      </c>
      <c r="E361" s="1" t="s">
        <v>992</v>
      </c>
      <c r="F361" s="1" t="s">
        <v>72</v>
      </c>
      <c r="G361" s="1" t="s">
        <v>2228</v>
      </c>
      <c r="H361" s="1" t="s">
        <v>253</v>
      </c>
      <c r="I361" s="1" t="s">
        <v>2229</v>
      </c>
      <c r="J361" s="1" t="s">
        <v>2230</v>
      </c>
      <c r="K361" s="1" t="s">
        <v>378</v>
      </c>
      <c r="L361" s="1" t="s">
        <v>2231</v>
      </c>
      <c r="M361" s="1" t="s">
        <v>49</v>
      </c>
      <c r="N361" s="1" t="s">
        <v>2228</v>
      </c>
      <c r="O361" s="1" t="s">
        <v>35</v>
      </c>
      <c r="P361" s="1" t="s">
        <v>2229</v>
      </c>
      <c r="Q361" s="1" t="s">
        <v>366</v>
      </c>
      <c r="R361" s="1" t="s">
        <v>37</v>
      </c>
      <c r="S361" s="1" t="s">
        <v>37</v>
      </c>
      <c r="T361" s="1" t="s">
        <v>37</v>
      </c>
      <c r="U361" s="1" t="s">
        <v>37</v>
      </c>
    </row>
    <row r="362" spans="1:21">
      <c r="A362" s="1" t="s">
        <v>2232</v>
      </c>
      <c r="B362" s="1" t="s">
        <v>22</v>
      </c>
      <c r="C362" s="1" t="s">
        <v>23</v>
      </c>
      <c r="D362" s="1" t="s">
        <v>24</v>
      </c>
      <c r="E362" s="1" t="s">
        <v>992</v>
      </c>
      <c r="F362" s="1" t="s">
        <v>117</v>
      </c>
      <c r="G362" s="1" t="s">
        <v>2233</v>
      </c>
      <c r="H362" s="1" t="s">
        <v>64</v>
      </c>
      <c r="I362" s="1" t="s">
        <v>2234</v>
      </c>
      <c r="J362" s="1" t="s">
        <v>2235</v>
      </c>
      <c r="K362" s="1" t="s">
        <v>232</v>
      </c>
      <c r="L362" s="1" t="s">
        <v>2236</v>
      </c>
      <c r="M362" s="1" t="s">
        <v>59</v>
      </c>
      <c r="N362" s="1" t="s">
        <v>2237</v>
      </c>
      <c r="O362" s="1" t="s">
        <v>35</v>
      </c>
      <c r="P362" s="1" t="s">
        <v>2234</v>
      </c>
      <c r="Q362" s="1" t="s">
        <v>61</v>
      </c>
      <c r="R362" s="1" t="s">
        <v>37</v>
      </c>
      <c r="S362" s="1" t="s">
        <v>37</v>
      </c>
      <c r="T362" s="1" t="s">
        <v>37</v>
      </c>
      <c r="U362" s="1" t="s">
        <v>37</v>
      </c>
    </row>
    <row r="363" spans="1:21">
      <c r="A363" s="1" t="s">
        <v>2238</v>
      </c>
      <c r="B363" s="1" t="s">
        <v>39</v>
      </c>
      <c r="C363" s="1" t="s">
        <v>40</v>
      </c>
      <c r="D363" s="1" t="s">
        <v>41</v>
      </c>
      <c r="E363" s="1" t="s">
        <v>25</v>
      </c>
      <c r="F363" s="1" t="s">
        <v>117</v>
      </c>
      <c r="G363" s="1" t="s">
        <v>2239</v>
      </c>
      <c r="H363" s="1" t="s">
        <v>64</v>
      </c>
      <c r="I363" s="1" t="s">
        <v>2240</v>
      </c>
      <c r="J363" s="1" t="s">
        <v>2241</v>
      </c>
      <c r="K363" s="1" t="s">
        <v>391</v>
      </c>
      <c r="L363" s="1" t="s">
        <v>2242</v>
      </c>
      <c r="M363" s="1" t="s">
        <v>49</v>
      </c>
      <c r="N363" s="1" t="s">
        <v>2243</v>
      </c>
      <c r="O363" s="1" t="s">
        <v>35</v>
      </c>
      <c r="P363" s="1" t="s">
        <v>2240</v>
      </c>
      <c r="Q363" s="1" t="s">
        <v>36</v>
      </c>
      <c r="R363" s="1" t="s">
        <v>37</v>
      </c>
      <c r="S363" s="1" t="s">
        <v>37</v>
      </c>
      <c r="T363" s="1" t="s">
        <v>37</v>
      </c>
      <c r="U363" s="1" t="s">
        <v>37</v>
      </c>
    </row>
    <row r="364" spans="1:21">
      <c r="A364" s="1" t="s">
        <v>2244</v>
      </c>
      <c r="B364" s="1" t="s">
        <v>39</v>
      </c>
      <c r="C364" s="1" t="s">
        <v>40</v>
      </c>
      <c r="D364" s="1" t="s">
        <v>41</v>
      </c>
      <c r="E364" s="1" t="s">
        <v>992</v>
      </c>
      <c r="F364" s="1" t="s">
        <v>117</v>
      </c>
      <c r="G364" s="1" t="s">
        <v>2245</v>
      </c>
      <c r="H364" s="1" t="s">
        <v>107</v>
      </c>
      <c r="I364" s="1" t="s">
        <v>2246</v>
      </c>
      <c r="J364" s="1" t="s">
        <v>2247</v>
      </c>
      <c r="K364" s="1" t="s">
        <v>445</v>
      </c>
      <c r="L364" s="1" t="s">
        <v>2248</v>
      </c>
      <c r="M364" s="1" t="s">
        <v>33</v>
      </c>
      <c r="N364" s="1" t="s">
        <v>2249</v>
      </c>
      <c r="O364" s="1" t="s">
        <v>35</v>
      </c>
      <c r="P364" s="1" t="s">
        <v>2246</v>
      </c>
      <c r="Q364" s="1" t="s">
        <v>64</v>
      </c>
      <c r="R364" s="1" t="s">
        <v>37</v>
      </c>
      <c r="S364" s="1" t="s">
        <v>37</v>
      </c>
      <c r="T364" s="1" t="s">
        <v>37</v>
      </c>
      <c r="U364" s="1" t="s">
        <v>37</v>
      </c>
    </row>
    <row r="365" spans="1:21">
      <c r="A365" s="1" t="s">
        <v>2250</v>
      </c>
      <c r="B365" s="1" t="s">
        <v>22</v>
      </c>
      <c r="C365" s="1" t="s">
        <v>23</v>
      </c>
      <c r="D365" s="1" t="s">
        <v>41</v>
      </c>
      <c r="E365" s="1" t="s">
        <v>992</v>
      </c>
      <c r="F365" s="1" t="s">
        <v>53</v>
      </c>
      <c r="G365" s="1" t="s">
        <v>2251</v>
      </c>
      <c r="H365" s="1" t="s">
        <v>90</v>
      </c>
      <c r="I365" s="1" t="s">
        <v>2252</v>
      </c>
      <c r="J365" s="1" t="s">
        <v>2253</v>
      </c>
      <c r="K365" s="1" t="s">
        <v>195</v>
      </c>
      <c r="L365" s="1" t="s">
        <v>2254</v>
      </c>
      <c r="M365" s="1" t="s">
        <v>49</v>
      </c>
      <c r="N365" s="1" t="s">
        <v>2255</v>
      </c>
      <c r="O365" s="1" t="s">
        <v>35</v>
      </c>
      <c r="P365" s="1" t="s">
        <v>2252</v>
      </c>
      <c r="Q365" s="1" t="s">
        <v>113</v>
      </c>
      <c r="R365" s="1" t="s">
        <v>37</v>
      </c>
      <c r="S365" s="1" t="s">
        <v>37</v>
      </c>
      <c r="T365" s="1" t="s">
        <v>37</v>
      </c>
      <c r="U365" s="1" t="s">
        <v>37</v>
      </c>
    </row>
    <row r="366" spans="1:21">
      <c r="A366" s="1" t="s">
        <v>2256</v>
      </c>
      <c r="B366" s="1" t="s">
        <v>39</v>
      </c>
      <c r="C366" s="1" t="s">
        <v>40</v>
      </c>
      <c r="D366" s="1" t="s">
        <v>41</v>
      </c>
      <c r="E366" s="1" t="s">
        <v>25</v>
      </c>
      <c r="F366" s="1" t="s">
        <v>117</v>
      </c>
      <c r="G366" s="1" t="s">
        <v>2257</v>
      </c>
      <c r="H366" s="1" t="s">
        <v>129</v>
      </c>
      <c r="I366" s="1" t="s">
        <v>2258</v>
      </c>
      <c r="J366" s="1" t="s">
        <v>2259</v>
      </c>
      <c r="K366" s="1" t="s">
        <v>2260</v>
      </c>
      <c r="L366" s="1" t="s">
        <v>2261</v>
      </c>
      <c r="M366" s="1" t="s">
        <v>49</v>
      </c>
      <c r="N366" s="1" t="s">
        <v>2262</v>
      </c>
      <c r="O366" s="1" t="s">
        <v>35</v>
      </c>
      <c r="P366" s="1" t="s">
        <v>2258</v>
      </c>
      <c r="Q366" s="1" t="s">
        <v>151</v>
      </c>
      <c r="R366" s="1" t="s">
        <v>37</v>
      </c>
      <c r="S366" s="1" t="s">
        <v>37</v>
      </c>
      <c r="T366" s="1" t="s">
        <v>37</v>
      </c>
      <c r="U366" s="1" t="s">
        <v>37</v>
      </c>
    </row>
    <row r="367" spans="1:21">
      <c r="A367" s="1" t="s">
        <v>2263</v>
      </c>
      <c r="B367" s="1" t="s">
        <v>39</v>
      </c>
      <c r="C367" s="1" t="s">
        <v>40</v>
      </c>
      <c r="D367" s="1" t="s">
        <v>41</v>
      </c>
      <c r="E367" s="1" t="s">
        <v>25</v>
      </c>
      <c r="F367" s="1" t="s">
        <v>127</v>
      </c>
      <c r="G367" s="1" t="s">
        <v>2264</v>
      </c>
      <c r="H367" s="1" t="s">
        <v>129</v>
      </c>
      <c r="I367" s="1" t="s">
        <v>2265</v>
      </c>
      <c r="J367" s="1" t="s">
        <v>2266</v>
      </c>
      <c r="K367" s="1" t="s">
        <v>555</v>
      </c>
      <c r="L367" s="1" t="s">
        <v>2267</v>
      </c>
      <c r="M367" s="1" t="s">
        <v>49</v>
      </c>
      <c r="N367" s="1" t="s">
        <v>2268</v>
      </c>
      <c r="O367" s="1" t="s">
        <v>35</v>
      </c>
      <c r="P367" s="1" t="s">
        <v>2265</v>
      </c>
      <c r="Q367" s="1" t="s">
        <v>36</v>
      </c>
      <c r="R367" s="1" t="s">
        <v>37</v>
      </c>
      <c r="S367" s="1" t="s">
        <v>37</v>
      </c>
      <c r="T367" s="1" t="s">
        <v>37</v>
      </c>
      <c r="U367" s="1" t="s">
        <v>37</v>
      </c>
    </row>
    <row r="368" spans="1:21">
      <c r="A368" s="1" t="s">
        <v>2269</v>
      </c>
      <c r="B368" s="1" t="s">
        <v>39</v>
      </c>
      <c r="C368" s="1" t="s">
        <v>40</v>
      </c>
      <c r="D368" s="1" t="s">
        <v>41</v>
      </c>
      <c r="E368" s="1" t="s">
        <v>25</v>
      </c>
      <c r="F368" s="1" t="s">
        <v>42</v>
      </c>
      <c r="G368" s="1" t="s">
        <v>2270</v>
      </c>
      <c r="H368" s="1" t="s">
        <v>275</v>
      </c>
      <c r="I368" s="1" t="s">
        <v>2271</v>
      </c>
      <c r="J368" s="1" t="s">
        <v>2272</v>
      </c>
      <c r="K368" s="1" t="s">
        <v>1718</v>
      </c>
      <c r="L368" s="1" t="s">
        <v>2273</v>
      </c>
      <c r="M368" s="1" t="s">
        <v>49</v>
      </c>
      <c r="N368" s="1" t="s">
        <v>2274</v>
      </c>
      <c r="O368" s="1" t="s">
        <v>35</v>
      </c>
      <c r="P368" s="1" t="s">
        <v>2271</v>
      </c>
      <c r="Q368" s="1" t="s">
        <v>366</v>
      </c>
      <c r="R368" s="1" t="s">
        <v>37</v>
      </c>
      <c r="S368" s="1" t="s">
        <v>37</v>
      </c>
      <c r="T368" s="1" t="s">
        <v>37</v>
      </c>
      <c r="U368" s="1" t="s">
        <v>37</v>
      </c>
    </row>
    <row r="369" spans="1:21">
      <c r="A369" s="1" t="s">
        <v>2275</v>
      </c>
      <c r="B369" s="1" t="s">
        <v>22</v>
      </c>
      <c r="C369" s="1" t="s">
        <v>23</v>
      </c>
      <c r="D369" s="1" t="s">
        <v>24</v>
      </c>
      <c r="E369" s="1" t="s">
        <v>992</v>
      </c>
      <c r="F369" s="1" t="s">
        <v>53</v>
      </c>
      <c r="G369" s="1" t="s">
        <v>1676</v>
      </c>
      <c r="H369" s="1" t="s">
        <v>129</v>
      </c>
      <c r="I369" s="1" t="s">
        <v>1677</v>
      </c>
      <c r="J369" s="1" t="s">
        <v>1678</v>
      </c>
      <c r="K369" s="1" t="s">
        <v>788</v>
      </c>
      <c r="L369" s="1" t="s">
        <v>48</v>
      </c>
      <c r="M369" s="1" t="s">
        <v>49</v>
      </c>
      <c r="N369" s="1" t="s">
        <v>1679</v>
      </c>
      <c r="O369" s="1" t="s">
        <v>35</v>
      </c>
      <c r="P369" s="1" t="s">
        <v>1677</v>
      </c>
      <c r="Q369" s="1" t="s">
        <v>90</v>
      </c>
      <c r="R369" s="1" t="s">
        <v>37</v>
      </c>
      <c r="S369" s="1" t="s">
        <v>37</v>
      </c>
      <c r="T369" s="1" t="s">
        <v>37</v>
      </c>
      <c r="U369" s="1" t="s">
        <v>37</v>
      </c>
    </row>
    <row r="370" spans="1:21">
      <c r="A370" s="1" t="s">
        <v>2276</v>
      </c>
      <c r="B370" s="1" t="s">
        <v>39</v>
      </c>
      <c r="C370" s="1" t="s">
        <v>40</v>
      </c>
      <c r="D370" s="1" t="s">
        <v>41</v>
      </c>
      <c r="E370" s="1" t="s">
        <v>25</v>
      </c>
      <c r="F370" s="1" t="s">
        <v>72</v>
      </c>
      <c r="G370" s="1" t="s">
        <v>2277</v>
      </c>
      <c r="H370" s="1" t="s">
        <v>99</v>
      </c>
      <c r="I370" s="1" t="s">
        <v>2278</v>
      </c>
      <c r="J370" s="1" t="s">
        <v>2279</v>
      </c>
      <c r="K370" s="1" t="s">
        <v>67</v>
      </c>
      <c r="L370" s="1" t="s">
        <v>2280</v>
      </c>
      <c r="M370" s="1" t="s">
        <v>49</v>
      </c>
      <c r="N370" s="1" t="s">
        <v>2281</v>
      </c>
      <c r="O370" s="1" t="s">
        <v>35</v>
      </c>
      <c r="P370" s="1" t="s">
        <v>2278</v>
      </c>
      <c r="Q370" s="1" t="s">
        <v>476</v>
      </c>
      <c r="R370" s="1" t="s">
        <v>37</v>
      </c>
      <c r="S370" s="1" t="s">
        <v>37</v>
      </c>
      <c r="T370" s="1" t="s">
        <v>37</v>
      </c>
      <c r="U370" s="1" t="s">
        <v>37</v>
      </c>
    </row>
    <row r="371" spans="1:21">
      <c r="A371" s="1" t="s">
        <v>2282</v>
      </c>
      <c r="B371" s="1" t="s">
        <v>22</v>
      </c>
      <c r="C371" s="1" t="s">
        <v>23</v>
      </c>
      <c r="D371" s="1" t="s">
        <v>24</v>
      </c>
      <c r="E371" s="1" t="s">
        <v>992</v>
      </c>
      <c r="F371" s="1" t="s">
        <v>42</v>
      </c>
      <c r="G371" s="1" t="s">
        <v>2283</v>
      </c>
      <c r="H371" s="1" t="s">
        <v>275</v>
      </c>
      <c r="I371" s="1" t="s">
        <v>2284</v>
      </c>
      <c r="J371" s="1" t="s">
        <v>2285</v>
      </c>
      <c r="K371" s="1" t="s">
        <v>508</v>
      </c>
      <c r="L371" s="1" t="s">
        <v>556</v>
      </c>
      <c r="M371" s="1" t="s">
        <v>59</v>
      </c>
      <c r="N371" s="1" t="s">
        <v>2286</v>
      </c>
      <c r="O371" s="1" t="s">
        <v>35</v>
      </c>
      <c r="P371" s="1" t="s">
        <v>2284</v>
      </c>
      <c r="Q371" s="1" t="s">
        <v>812</v>
      </c>
      <c r="R371" s="1" t="s">
        <v>37</v>
      </c>
      <c r="S371" s="1" t="s">
        <v>37</v>
      </c>
      <c r="T371" s="1" t="s">
        <v>37</v>
      </c>
      <c r="U371" s="1" t="s">
        <v>37</v>
      </c>
    </row>
    <row r="372" spans="1:21">
      <c r="A372" s="1" t="s">
        <v>2287</v>
      </c>
      <c r="B372" s="1" t="s">
        <v>115</v>
      </c>
      <c r="C372" s="1" t="s">
        <v>116</v>
      </c>
      <c r="D372" s="1" t="s">
        <v>24</v>
      </c>
      <c r="E372" s="1" t="s">
        <v>25</v>
      </c>
      <c r="F372" s="1" t="s">
        <v>42</v>
      </c>
      <c r="G372" s="1" t="s">
        <v>2288</v>
      </c>
      <c r="H372" s="1" t="s">
        <v>28</v>
      </c>
      <c r="I372" s="1" t="s">
        <v>2289</v>
      </c>
      <c r="J372" s="1" t="s">
        <v>2290</v>
      </c>
      <c r="K372" s="1" t="s">
        <v>356</v>
      </c>
      <c r="L372" s="1" t="s">
        <v>1082</v>
      </c>
      <c r="M372" s="1" t="s">
        <v>49</v>
      </c>
      <c r="N372" s="1" t="s">
        <v>2291</v>
      </c>
      <c r="O372" s="1" t="s">
        <v>35</v>
      </c>
      <c r="P372" s="1" t="s">
        <v>2289</v>
      </c>
      <c r="Q372" s="1" t="s">
        <v>235</v>
      </c>
      <c r="R372" s="1" t="s">
        <v>37</v>
      </c>
      <c r="S372" s="1" t="s">
        <v>37</v>
      </c>
      <c r="T372" s="1" t="s">
        <v>37</v>
      </c>
      <c r="U372" s="1" t="s">
        <v>37</v>
      </c>
    </row>
    <row r="373" spans="1:21">
      <c r="A373" s="1" t="s">
        <v>2292</v>
      </c>
      <c r="B373" s="1" t="s">
        <v>115</v>
      </c>
      <c r="C373" s="1" t="s">
        <v>116</v>
      </c>
      <c r="D373" s="1" t="s">
        <v>41</v>
      </c>
      <c r="E373" s="1" t="s">
        <v>25</v>
      </c>
      <c r="F373" s="1" t="s">
        <v>127</v>
      </c>
      <c r="G373" s="1" t="s">
        <v>2293</v>
      </c>
      <c r="H373" s="1" t="s">
        <v>107</v>
      </c>
      <c r="I373" s="1" t="s">
        <v>2294</v>
      </c>
      <c r="J373" s="1" t="s">
        <v>2295</v>
      </c>
      <c r="K373" s="1" t="s">
        <v>270</v>
      </c>
      <c r="L373" s="1" t="s">
        <v>284</v>
      </c>
      <c r="M373" s="1" t="s">
        <v>59</v>
      </c>
      <c r="N373" s="1" t="s">
        <v>2296</v>
      </c>
      <c r="O373" s="1" t="s">
        <v>35</v>
      </c>
      <c r="P373" s="1" t="s">
        <v>2294</v>
      </c>
      <c r="Q373" s="1" t="s">
        <v>752</v>
      </c>
      <c r="R373" s="1" t="s">
        <v>37</v>
      </c>
      <c r="S373" s="1" t="s">
        <v>37</v>
      </c>
      <c r="T373" s="1" t="s">
        <v>37</v>
      </c>
      <c r="U373" s="1" t="s">
        <v>37</v>
      </c>
    </row>
    <row r="374" spans="1:21">
      <c r="A374" s="1" t="s">
        <v>2297</v>
      </c>
      <c r="B374" s="1" t="s">
        <v>39</v>
      </c>
      <c r="C374" s="1" t="s">
        <v>40</v>
      </c>
      <c r="D374" s="1" t="s">
        <v>41</v>
      </c>
      <c r="E374" s="1" t="s">
        <v>25</v>
      </c>
      <c r="F374" s="1" t="s">
        <v>53</v>
      </c>
      <c r="G374" s="1" t="s">
        <v>2298</v>
      </c>
      <c r="H374" s="1" t="s">
        <v>90</v>
      </c>
      <c r="I374" s="1" t="s">
        <v>2299</v>
      </c>
      <c r="J374" s="1" t="s">
        <v>2300</v>
      </c>
      <c r="K374" s="1" t="s">
        <v>1718</v>
      </c>
      <c r="L374" s="1" t="s">
        <v>2301</v>
      </c>
      <c r="M374" s="1" t="s">
        <v>33</v>
      </c>
      <c r="N374" s="1" t="s">
        <v>2302</v>
      </c>
      <c r="O374" s="1" t="s">
        <v>35</v>
      </c>
      <c r="P374" s="1" t="s">
        <v>2299</v>
      </c>
      <c r="Q374" s="1" t="s">
        <v>849</v>
      </c>
      <c r="R374" s="1" t="s">
        <v>37</v>
      </c>
      <c r="S374" s="1" t="s">
        <v>37</v>
      </c>
      <c r="T374" s="1" t="s">
        <v>37</v>
      </c>
      <c r="U374" s="1" t="s">
        <v>37</v>
      </c>
    </row>
    <row r="375" spans="1:21">
      <c r="A375" s="1" t="s">
        <v>2303</v>
      </c>
      <c r="B375" s="1" t="s">
        <v>39</v>
      </c>
      <c r="C375" s="1" t="s">
        <v>40</v>
      </c>
      <c r="D375" s="1" t="s">
        <v>41</v>
      </c>
      <c r="E375" s="1" t="s">
        <v>992</v>
      </c>
      <c r="F375" s="1" t="s">
        <v>127</v>
      </c>
      <c r="G375" s="1" t="s">
        <v>2304</v>
      </c>
      <c r="H375" s="1" t="s">
        <v>90</v>
      </c>
      <c r="I375" s="1" t="s">
        <v>2305</v>
      </c>
      <c r="J375" s="1" t="s">
        <v>2306</v>
      </c>
      <c r="K375" s="1" t="s">
        <v>1057</v>
      </c>
      <c r="L375" s="1" t="s">
        <v>2307</v>
      </c>
      <c r="M375" s="1" t="s">
        <v>49</v>
      </c>
      <c r="N375" s="1" t="s">
        <v>2308</v>
      </c>
      <c r="O375" s="1" t="s">
        <v>35</v>
      </c>
      <c r="P375" s="1" t="s">
        <v>2305</v>
      </c>
      <c r="Q375" s="1" t="s">
        <v>1655</v>
      </c>
      <c r="R375" s="1" t="s">
        <v>37</v>
      </c>
      <c r="S375" s="1" t="s">
        <v>37</v>
      </c>
      <c r="T375" s="1" t="s">
        <v>37</v>
      </c>
      <c r="U375" s="1" t="s">
        <v>37</v>
      </c>
    </row>
    <row r="376" spans="1:21">
      <c r="A376" s="1" t="s">
        <v>2309</v>
      </c>
      <c r="B376" s="1" t="s">
        <v>22</v>
      </c>
      <c r="C376" s="1" t="s">
        <v>23</v>
      </c>
      <c r="D376" s="1" t="s">
        <v>41</v>
      </c>
      <c r="E376" s="1" t="s">
        <v>25</v>
      </c>
      <c r="F376" s="1" t="s">
        <v>53</v>
      </c>
      <c r="G376" s="1" t="s">
        <v>2310</v>
      </c>
      <c r="H376" s="1" t="s">
        <v>44</v>
      </c>
      <c r="I376" s="1" t="s">
        <v>2311</v>
      </c>
      <c r="J376" s="1" t="s">
        <v>2312</v>
      </c>
      <c r="K376" s="1" t="s">
        <v>1164</v>
      </c>
      <c r="L376" s="1" t="s">
        <v>1219</v>
      </c>
      <c r="M376" s="1" t="s">
        <v>59</v>
      </c>
      <c r="N376" s="1" t="s">
        <v>2313</v>
      </c>
      <c r="O376" s="1" t="s">
        <v>35</v>
      </c>
      <c r="P376" s="1" t="s">
        <v>2311</v>
      </c>
      <c r="Q376" s="1" t="s">
        <v>36</v>
      </c>
      <c r="R376" s="1" t="s">
        <v>37</v>
      </c>
      <c r="S376" s="1" t="s">
        <v>37</v>
      </c>
      <c r="T376" s="1" t="s">
        <v>37</v>
      </c>
      <c r="U376" s="1" t="s">
        <v>37</v>
      </c>
    </row>
    <row r="377" spans="1:21">
      <c r="A377" s="1" t="s">
        <v>2314</v>
      </c>
      <c r="B377" s="1" t="s">
        <v>22</v>
      </c>
      <c r="C377" s="1" t="s">
        <v>23</v>
      </c>
      <c r="D377" s="1" t="s">
        <v>24</v>
      </c>
      <c r="E377" s="1" t="s">
        <v>25</v>
      </c>
      <c r="F377" s="1" t="s">
        <v>127</v>
      </c>
      <c r="G377" s="1" t="s">
        <v>2315</v>
      </c>
      <c r="H377" s="1" t="s">
        <v>44</v>
      </c>
      <c r="I377" s="1" t="s">
        <v>2316</v>
      </c>
      <c r="J377" s="1" t="s">
        <v>2317</v>
      </c>
      <c r="K377" s="1" t="s">
        <v>1350</v>
      </c>
      <c r="L377" s="1" t="s">
        <v>2318</v>
      </c>
      <c r="M377" s="1" t="s">
        <v>33</v>
      </c>
      <c r="N377" s="1" t="s">
        <v>2319</v>
      </c>
      <c r="O377" s="1" t="s">
        <v>35</v>
      </c>
      <c r="P377" s="1" t="s">
        <v>2316</v>
      </c>
      <c r="Q377" s="1" t="s">
        <v>28</v>
      </c>
      <c r="R377" s="1" t="s">
        <v>37</v>
      </c>
      <c r="S377" s="1" t="s">
        <v>37</v>
      </c>
      <c r="T377" s="1" t="s">
        <v>37</v>
      </c>
      <c r="U377" s="1" t="s">
        <v>37</v>
      </c>
    </row>
    <row r="378" spans="1:21">
      <c r="A378" s="1" t="s">
        <v>2320</v>
      </c>
      <c r="B378" s="1" t="s">
        <v>115</v>
      </c>
      <c r="C378" s="1" t="s">
        <v>116</v>
      </c>
      <c r="D378" s="1" t="s">
        <v>24</v>
      </c>
      <c r="E378" s="1" t="s">
        <v>25</v>
      </c>
      <c r="F378" s="1" t="s">
        <v>53</v>
      </c>
      <c r="G378" s="1" t="s">
        <v>2321</v>
      </c>
      <c r="H378" s="1" t="s">
        <v>275</v>
      </c>
      <c r="I378" s="1" t="s">
        <v>2322</v>
      </c>
      <c r="J378" s="1" t="s">
        <v>2323</v>
      </c>
      <c r="K378" s="1" t="s">
        <v>31</v>
      </c>
      <c r="L378" s="1" t="s">
        <v>2324</v>
      </c>
      <c r="M378" s="1" t="s">
        <v>59</v>
      </c>
      <c r="N378" s="1" t="s">
        <v>2325</v>
      </c>
      <c r="O378" s="1" t="s">
        <v>35</v>
      </c>
      <c r="P378" s="1" t="s">
        <v>2322</v>
      </c>
      <c r="Q378" s="1" t="s">
        <v>51</v>
      </c>
      <c r="R378" s="1" t="s">
        <v>37</v>
      </c>
      <c r="S378" s="1" t="s">
        <v>37</v>
      </c>
      <c r="T378" s="1" t="s">
        <v>37</v>
      </c>
      <c r="U378" s="1" t="s">
        <v>37</v>
      </c>
    </row>
    <row r="379" spans="1:21">
      <c r="A379" s="1" t="s">
        <v>2326</v>
      </c>
      <c r="B379" s="1" t="s">
        <v>39</v>
      </c>
      <c r="C379" s="1" t="s">
        <v>40</v>
      </c>
      <c r="D379" s="1" t="s">
        <v>41</v>
      </c>
      <c r="E379" s="1" t="s">
        <v>992</v>
      </c>
      <c r="F379" s="1" t="s">
        <v>72</v>
      </c>
      <c r="G379" s="1" t="s">
        <v>2327</v>
      </c>
      <c r="H379" s="1" t="s">
        <v>28</v>
      </c>
      <c r="I379" s="1" t="s">
        <v>2328</v>
      </c>
      <c r="J379" s="1" t="s">
        <v>2329</v>
      </c>
      <c r="K379" s="1" t="s">
        <v>1008</v>
      </c>
      <c r="L379" s="1" t="s">
        <v>568</v>
      </c>
      <c r="M379" s="1" t="s">
        <v>33</v>
      </c>
      <c r="N379" s="1" t="s">
        <v>2330</v>
      </c>
      <c r="O379" s="1" t="s">
        <v>35</v>
      </c>
      <c r="P379" s="1" t="s">
        <v>2328</v>
      </c>
      <c r="Q379" s="1" t="s">
        <v>576</v>
      </c>
      <c r="R379" s="1" t="s">
        <v>37</v>
      </c>
      <c r="S379" s="1" t="s">
        <v>37</v>
      </c>
      <c r="T379" s="1" t="s">
        <v>37</v>
      </c>
      <c r="U379" s="1" t="s">
        <v>37</v>
      </c>
    </row>
    <row r="380" spans="1:21">
      <c r="A380" s="1" t="s">
        <v>2331</v>
      </c>
      <c r="B380" s="1" t="s">
        <v>39</v>
      </c>
      <c r="C380" s="1" t="s">
        <v>40</v>
      </c>
      <c r="D380" s="1" t="s">
        <v>24</v>
      </c>
      <c r="E380" s="1" t="s">
        <v>992</v>
      </c>
      <c r="F380" s="1" t="s">
        <v>127</v>
      </c>
      <c r="G380" s="1" t="s">
        <v>2332</v>
      </c>
      <c r="H380" s="1" t="s">
        <v>129</v>
      </c>
      <c r="I380" s="1" t="s">
        <v>2333</v>
      </c>
      <c r="J380" s="1" t="s">
        <v>2334</v>
      </c>
      <c r="K380" s="1" t="s">
        <v>132</v>
      </c>
      <c r="L380" s="1" t="s">
        <v>1856</v>
      </c>
      <c r="M380" s="1" t="s">
        <v>33</v>
      </c>
      <c r="N380" s="1" t="s">
        <v>2335</v>
      </c>
      <c r="O380" s="1" t="s">
        <v>35</v>
      </c>
      <c r="P380" s="1" t="s">
        <v>2333</v>
      </c>
      <c r="Q380" s="1" t="s">
        <v>583</v>
      </c>
      <c r="R380" s="1" t="s">
        <v>37</v>
      </c>
      <c r="S380" s="1" t="s">
        <v>37</v>
      </c>
      <c r="T380" s="1" t="s">
        <v>37</v>
      </c>
      <c r="U380" s="1" t="s">
        <v>37</v>
      </c>
    </row>
    <row r="381" spans="1:21">
      <c r="A381" s="1" t="s">
        <v>2336</v>
      </c>
      <c r="B381" s="1" t="s">
        <v>115</v>
      </c>
      <c r="C381" s="1" t="s">
        <v>116</v>
      </c>
      <c r="D381" s="1" t="s">
        <v>41</v>
      </c>
      <c r="E381" s="1" t="s">
        <v>25</v>
      </c>
      <c r="F381" s="1" t="s">
        <v>42</v>
      </c>
      <c r="G381" s="1" t="s">
        <v>2337</v>
      </c>
      <c r="H381" s="1" t="s">
        <v>129</v>
      </c>
      <c r="I381" s="1" t="s">
        <v>2338</v>
      </c>
      <c r="J381" s="1" t="s">
        <v>2339</v>
      </c>
      <c r="K381" s="1" t="s">
        <v>1122</v>
      </c>
      <c r="L381" s="1" t="s">
        <v>1141</v>
      </c>
      <c r="M381" s="1" t="s">
        <v>59</v>
      </c>
      <c r="N381" s="1" t="s">
        <v>2340</v>
      </c>
      <c r="O381" s="1" t="s">
        <v>35</v>
      </c>
      <c r="P381" s="1" t="s">
        <v>2338</v>
      </c>
      <c r="Q381" s="1" t="s">
        <v>129</v>
      </c>
      <c r="R381" s="1" t="s">
        <v>37</v>
      </c>
      <c r="S381" s="1" t="s">
        <v>37</v>
      </c>
      <c r="T381" s="1" t="s">
        <v>37</v>
      </c>
      <c r="U381" s="1" t="s">
        <v>37</v>
      </c>
    </row>
    <row r="382" spans="1:21">
      <c r="A382" s="1" t="s">
        <v>2341</v>
      </c>
      <c r="B382" s="1" t="s">
        <v>22</v>
      </c>
      <c r="C382" s="1" t="s">
        <v>23</v>
      </c>
      <c r="D382" s="1" t="s">
        <v>24</v>
      </c>
      <c r="E382" s="1" t="s">
        <v>992</v>
      </c>
      <c r="F382" s="1" t="s">
        <v>72</v>
      </c>
      <c r="G382" s="1" t="s">
        <v>2342</v>
      </c>
      <c r="H382" s="1" t="s">
        <v>129</v>
      </c>
      <c r="I382" s="1" t="s">
        <v>2343</v>
      </c>
      <c r="J382" s="1" t="s">
        <v>2344</v>
      </c>
      <c r="K382" s="1" t="s">
        <v>1482</v>
      </c>
      <c r="L382" s="1" t="s">
        <v>77</v>
      </c>
      <c r="M382" s="1" t="s">
        <v>59</v>
      </c>
      <c r="N382" s="1" t="s">
        <v>2345</v>
      </c>
      <c r="O382" s="1" t="s">
        <v>35</v>
      </c>
      <c r="P382" s="1" t="s">
        <v>2343</v>
      </c>
      <c r="Q382" s="1" t="s">
        <v>311</v>
      </c>
      <c r="R382" s="1" t="s">
        <v>37</v>
      </c>
      <c r="S382" s="1" t="s">
        <v>37</v>
      </c>
      <c r="T382" s="1" t="s">
        <v>37</v>
      </c>
      <c r="U382" s="1" t="s">
        <v>37</v>
      </c>
    </row>
    <row r="383" spans="1:21">
      <c r="A383" s="1" t="s">
        <v>2346</v>
      </c>
      <c r="B383" s="1" t="s">
        <v>39</v>
      </c>
      <c r="C383" s="1" t="s">
        <v>40</v>
      </c>
      <c r="D383" s="1" t="s">
        <v>41</v>
      </c>
      <c r="E383" s="1" t="s">
        <v>25</v>
      </c>
      <c r="F383" s="1" t="s">
        <v>42</v>
      </c>
      <c r="G383" s="1" t="s">
        <v>2347</v>
      </c>
      <c r="H383" s="1" t="s">
        <v>107</v>
      </c>
      <c r="I383" s="1" t="s">
        <v>2348</v>
      </c>
      <c r="J383" s="1" t="s">
        <v>2349</v>
      </c>
      <c r="K383" s="1" t="s">
        <v>412</v>
      </c>
      <c r="L383" s="1" t="s">
        <v>516</v>
      </c>
      <c r="M383" s="1" t="s">
        <v>49</v>
      </c>
      <c r="N383" s="1" t="s">
        <v>2350</v>
      </c>
      <c r="O383" s="1" t="s">
        <v>35</v>
      </c>
      <c r="P383" s="1" t="s">
        <v>2348</v>
      </c>
      <c r="Q383" s="1" t="s">
        <v>791</v>
      </c>
      <c r="R383" s="1" t="s">
        <v>37</v>
      </c>
      <c r="S383" s="1" t="s">
        <v>37</v>
      </c>
      <c r="T383" s="1" t="s">
        <v>37</v>
      </c>
      <c r="U383" s="1" t="s">
        <v>37</v>
      </c>
    </row>
    <row r="384" spans="1:21">
      <c r="A384" s="1" t="s">
        <v>2351</v>
      </c>
      <c r="B384" s="1" t="s">
        <v>115</v>
      </c>
      <c r="C384" s="1" t="s">
        <v>116</v>
      </c>
      <c r="D384" s="1" t="s">
        <v>41</v>
      </c>
      <c r="E384" s="1" t="s">
        <v>25</v>
      </c>
      <c r="F384" s="1" t="s">
        <v>117</v>
      </c>
      <c r="G384" s="1" t="s">
        <v>2352</v>
      </c>
      <c r="H384" s="1" t="s">
        <v>44</v>
      </c>
      <c r="I384" s="1" t="s">
        <v>2353</v>
      </c>
      <c r="J384" s="1" t="s">
        <v>2354</v>
      </c>
      <c r="K384" s="1" t="s">
        <v>1350</v>
      </c>
      <c r="L384" s="1" t="s">
        <v>697</v>
      </c>
      <c r="M384" s="1" t="s">
        <v>49</v>
      </c>
      <c r="N384" s="1" t="s">
        <v>2355</v>
      </c>
      <c r="O384" s="1" t="s">
        <v>35</v>
      </c>
      <c r="P384" s="1" t="s">
        <v>2353</v>
      </c>
      <c r="Q384" s="1" t="s">
        <v>235</v>
      </c>
      <c r="R384" s="1" t="s">
        <v>37</v>
      </c>
      <c r="S384" s="1" t="s">
        <v>37</v>
      </c>
      <c r="T384" s="1" t="s">
        <v>37</v>
      </c>
      <c r="U384" s="1" t="s">
        <v>37</v>
      </c>
    </row>
    <row r="385" spans="1:21">
      <c r="A385" s="1" t="s">
        <v>2356</v>
      </c>
      <c r="B385" s="1" t="s">
        <v>39</v>
      </c>
      <c r="C385" s="1" t="s">
        <v>40</v>
      </c>
      <c r="D385" s="1" t="s">
        <v>24</v>
      </c>
      <c r="E385" s="1" t="s">
        <v>25</v>
      </c>
      <c r="F385" s="1" t="s">
        <v>117</v>
      </c>
      <c r="G385" s="1" t="s">
        <v>2357</v>
      </c>
      <c r="H385" s="1" t="s">
        <v>129</v>
      </c>
      <c r="I385" s="1" t="s">
        <v>2358</v>
      </c>
      <c r="J385" s="1" t="s">
        <v>2359</v>
      </c>
      <c r="K385" s="1" t="s">
        <v>742</v>
      </c>
      <c r="L385" s="1" t="s">
        <v>2360</v>
      </c>
      <c r="M385" s="1" t="s">
        <v>33</v>
      </c>
      <c r="N385" s="1" t="s">
        <v>2361</v>
      </c>
      <c r="O385" s="1" t="s">
        <v>35</v>
      </c>
      <c r="P385" s="1" t="s">
        <v>2358</v>
      </c>
      <c r="Q385" s="1" t="s">
        <v>791</v>
      </c>
      <c r="R385" s="1" t="s">
        <v>37</v>
      </c>
      <c r="S385" s="1" t="s">
        <v>37</v>
      </c>
      <c r="T385" s="1" t="s">
        <v>37</v>
      </c>
      <c r="U385" s="1" t="s">
        <v>37</v>
      </c>
    </row>
    <row r="386" spans="1:21">
      <c r="A386" s="1" t="s">
        <v>2362</v>
      </c>
      <c r="B386" s="1" t="s">
        <v>22</v>
      </c>
      <c r="C386" s="1" t="s">
        <v>23</v>
      </c>
      <c r="D386" s="1" t="s">
        <v>41</v>
      </c>
      <c r="E386" s="1" t="s">
        <v>25</v>
      </c>
      <c r="F386" s="1" t="s">
        <v>117</v>
      </c>
      <c r="G386" s="1" t="s">
        <v>2363</v>
      </c>
      <c r="H386" s="1" t="s">
        <v>44</v>
      </c>
      <c r="I386" s="1" t="s">
        <v>2364</v>
      </c>
      <c r="J386" s="1" t="s">
        <v>2365</v>
      </c>
      <c r="K386" s="1" t="s">
        <v>555</v>
      </c>
      <c r="L386" s="1" t="s">
        <v>1087</v>
      </c>
      <c r="M386" s="1" t="s">
        <v>33</v>
      </c>
      <c r="N386" s="1" t="s">
        <v>2366</v>
      </c>
      <c r="O386" s="1" t="s">
        <v>35</v>
      </c>
      <c r="P386" s="1" t="s">
        <v>2364</v>
      </c>
      <c r="Q386" s="1" t="s">
        <v>235</v>
      </c>
      <c r="R386" s="1" t="s">
        <v>37</v>
      </c>
      <c r="S386" s="1" t="s">
        <v>37</v>
      </c>
      <c r="T386" s="1" t="s">
        <v>37</v>
      </c>
      <c r="U386" s="1" t="s">
        <v>37</v>
      </c>
    </row>
    <row r="387" spans="1:21">
      <c r="A387" s="1" t="s">
        <v>2367</v>
      </c>
      <c r="B387" s="1" t="s">
        <v>115</v>
      </c>
      <c r="C387" s="1" t="s">
        <v>116</v>
      </c>
      <c r="D387" s="1" t="s">
        <v>24</v>
      </c>
      <c r="E387" s="1" t="s">
        <v>992</v>
      </c>
      <c r="F387" s="1" t="s">
        <v>72</v>
      </c>
      <c r="G387" s="1" t="s">
        <v>2368</v>
      </c>
      <c r="H387" s="1" t="s">
        <v>253</v>
      </c>
      <c r="I387" s="1" t="s">
        <v>2369</v>
      </c>
      <c r="J387" s="1" t="s">
        <v>2370</v>
      </c>
      <c r="K387" s="1" t="s">
        <v>1452</v>
      </c>
      <c r="L387" s="1" t="s">
        <v>2371</v>
      </c>
      <c r="M387" s="1" t="s">
        <v>49</v>
      </c>
      <c r="N387" s="1" t="s">
        <v>2368</v>
      </c>
      <c r="O387" s="1" t="s">
        <v>35</v>
      </c>
      <c r="P387" s="1" t="s">
        <v>2369</v>
      </c>
      <c r="Q387" s="1" t="s">
        <v>96</v>
      </c>
      <c r="R387" s="1" t="s">
        <v>37</v>
      </c>
      <c r="S387" s="1" t="s">
        <v>37</v>
      </c>
      <c r="T387" s="1" t="s">
        <v>37</v>
      </c>
      <c r="U387" s="1" t="s">
        <v>37</v>
      </c>
    </row>
    <row r="388" spans="1:21">
      <c r="A388" s="1" t="s">
        <v>2372</v>
      </c>
      <c r="B388" s="1" t="s">
        <v>39</v>
      </c>
      <c r="C388" s="1" t="s">
        <v>40</v>
      </c>
      <c r="D388" s="1" t="s">
        <v>41</v>
      </c>
      <c r="E388" s="1" t="s">
        <v>992</v>
      </c>
      <c r="F388" s="1" t="s">
        <v>117</v>
      </c>
      <c r="G388" s="1" t="s">
        <v>2373</v>
      </c>
      <c r="H388" s="1" t="s">
        <v>90</v>
      </c>
      <c r="I388" s="1" t="s">
        <v>2374</v>
      </c>
      <c r="J388" s="1" t="s">
        <v>2375</v>
      </c>
      <c r="K388" s="1" t="s">
        <v>179</v>
      </c>
      <c r="L388" s="1" t="s">
        <v>2376</v>
      </c>
      <c r="M388" s="1" t="s">
        <v>49</v>
      </c>
      <c r="N388" s="1" t="s">
        <v>2377</v>
      </c>
      <c r="O388" s="1" t="s">
        <v>35</v>
      </c>
      <c r="P388" s="1" t="s">
        <v>2374</v>
      </c>
      <c r="Q388" s="1" t="s">
        <v>90</v>
      </c>
      <c r="R388" s="1" t="s">
        <v>37</v>
      </c>
      <c r="S388" s="1" t="s">
        <v>37</v>
      </c>
      <c r="T388" s="1" t="s">
        <v>37</v>
      </c>
      <c r="U388" s="1" t="s">
        <v>37</v>
      </c>
    </row>
    <row r="389" spans="1:21">
      <c r="A389" s="1" t="s">
        <v>2378</v>
      </c>
      <c r="B389" s="1" t="s">
        <v>22</v>
      </c>
      <c r="C389" s="1" t="s">
        <v>23</v>
      </c>
      <c r="D389" s="1" t="s">
        <v>41</v>
      </c>
      <c r="E389" s="1" t="s">
        <v>25</v>
      </c>
      <c r="F389" s="1" t="s">
        <v>26</v>
      </c>
      <c r="G389" s="1" t="s">
        <v>447</v>
      </c>
      <c r="H389" s="1" t="s">
        <v>99</v>
      </c>
      <c r="I389" s="1" t="s">
        <v>442</v>
      </c>
      <c r="J389" s="1" t="s">
        <v>2379</v>
      </c>
      <c r="K389" s="1" t="s">
        <v>122</v>
      </c>
      <c r="L389" s="1" t="s">
        <v>1572</v>
      </c>
      <c r="M389" s="1" t="s">
        <v>59</v>
      </c>
      <c r="N389" s="1" t="s">
        <v>2380</v>
      </c>
      <c r="O389" s="1" t="s">
        <v>35</v>
      </c>
      <c r="P389" s="1" t="s">
        <v>442</v>
      </c>
      <c r="Q389" s="1" t="s">
        <v>99</v>
      </c>
      <c r="R389" s="1" t="s">
        <v>37</v>
      </c>
      <c r="S389" s="1" t="s">
        <v>37</v>
      </c>
      <c r="T389" s="1" t="s">
        <v>37</v>
      </c>
      <c r="U389" s="1" t="s">
        <v>37</v>
      </c>
    </row>
    <row r="390" spans="1:21">
      <c r="A390" s="1" t="s">
        <v>2381</v>
      </c>
      <c r="B390" s="1" t="s">
        <v>39</v>
      </c>
      <c r="C390" s="1" t="s">
        <v>40</v>
      </c>
      <c r="D390" s="1" t="s">
        <v>24</v>
      </c>
      <c r="E390" s="1" t="s">
        <v>25</v>
      </c>
      <c r="F390" s="1" t="s">
        <v>127</v>
      </c>
      <c r="G390" s="1" t="s">
        <v>2382</v>
      </c>
      <c r="H390" s="1" t="s">
        <v>275</v>
      </c>
      <c r="I390" s="1" t="s">
        <v>2383</v>
      </c>
      <c r="J390" s="1" t="s">
        <v>2384</v>
      </c>
      <c r="K390" s="1" t="s">
        <v>67</v>
      </c>
      <c r="L390" s="1" t="s">
        <v>2385</v>
      </c>
      <c r="M390" s="1" t="s">
        <v>33</v>
      </c>
      <c r="N390" s="1" t="s">
        <v>2386</v>
      </c>
      <c r="O390" s="1" t="s">
        <v>35</v>
      </c>
      <c r="P390" s="1" t="s">
        <v>2383</v>
      </c>
      <c r="Q390" s="1" t="s">
        <v>386</v>
      </c>
      <c r="R390" s="1" t="s">
        <v>37</v>
      </c>
      <c r="S390" s="1" t="s">
        <v>37</v>
      </c>
      <c r="T390" s="1" t="s">
        <v>37</v>
      </c>
      <c r="U390" s="1" t="s">
        <v>37</v>
      </c>
    </row>
    <row r="391" spans="1:21">
      <c r="A391" s="1" t="s">
        <v>2387</v>
      </c>
      <c r="B391" s="1" t="s">
        <v>115</v>
      </c>
      <c r="C391" s="1" t="s">
        <v>116</v>
      </c>
      <c r="D391" s="1" t="s">
        <v>41</v>
      </c>
      <c r="E391" s="1" t="s">
        <v>992</v>
      </c>
      <c r="F391" s="1" t="s">
        <v>117</v>
      </c>
      <c r="G391" s="1" t="s">
        <v>2388</v>
      </c>
      <c r="H391" s="1" t="s">
        <v>28</v>
      </c>
      <c r="I391" s="1" t="s">
        <v>2389</v>
      </c>
      <c r="J391" s="1" t="s">
        <v>2390</v>
      </c>
      <c r="K391" s="1" t="s">
        <v>262</v>
      </c>
      <c r="L391" s="1" t="s">
        <v>1613</v>
      </c>
      <c r="M391" s="1" t="s">
        <v>59</v>
      </c>
      <c r="N391" s="1" t="s">
        <v>2391</v>
      </c>
      <c r="O391" s="1" t="s">
        <v>35</v>
      </c>
      <c r="P391" s="1" t="s">
        <v>2389</v>
      </c>
      <c r="Q391" s="1" t="s">
        <v>468</v>
      </c>
      <c r="R391" s="1" t="s">
        <v>37</v>
      </c>
      <c r="S391" s="1" t="s">
        <v>37</v>
      </c>
      <c r="T391" s="1" t="s">
        <v>37</v>
      </c>
      <c r="U391" s="1" t="s">
        <v>37</v>
      </c>
    </row>
    <row r="392" spans="1:21">
      <c r="A392" s="1" t="s">
        <v>2392</v>
      </c>
      <c r="B392" s="1" t="s">
        <v>39</v>
      </c>
      <c r="C392" s="1" t="s">
        <v>40</v>
      </c>
      <c r="D392" s="1" t="s">
        <v>24</v>
      </c>
      <c r="E392" s="1" t="s">
        <v>25</v>
      </c>
      <c r="F392" s="1" t="s">
        <v>127</v>
      </c>
      <c r="G392" s="1" t="s">
        <v>2393</v>
      </c>
      <c r="H392" s="1" t="s">
        <v>119</v>
      </c>
      <c r="I392" s="1" t="s">
        <v>2394</v>
      </c>
      <c r="J392" s="1" t="s">
        <v>2395</v>
      </c>
      <c r="K392" s="1" t="s">
        <v>489</v>
      </c>
      <c r="L392" s="1" t="s">
        <v>2396</v>
      </c>
      <c r="M392" s="1" t="s">
        <v>49</v>
      </c>
      <c r="N392" s="1" t="s">
        <v>2397</v>
      </c>
      <c r="O392" s="1" t="s">
        <v>35</v>
      </c>
      <c r="P392" s="1" t="s">
        <v>2394</v>
      </c>
      <c r="Q392" s="1" t="s">
        <v>407</v>
      </c>
      <c r="R392" s="1" t="s">
        <v>37</v>
      </c>
      <c r="S392" s="1" t="s">
        <v>37</v>
      </c>
      <c r="T392" s="1" t="s">
        <v>37</v>
      </c>
      <c r="U392" s="1" t="s">
        <v>37</v>
      </c>
    </row>
    <row r="393" spans="1:21">
      <c r="A393" s="1" t="s">
        <v>2398</v>
      </c>
      <c r="B393" s="1" t="s">
        <v>115</v>
      </c>
      <c r="C393" s="1" t="s">
        <v>116</v>
      </c>
      <c r="D393" s="1" t="s">
        <v>41</v>
      </c>
      <c r="E393" s="1" t="s">
        <v>25</v>
      </c>
      <c r="F393" s="1" t="s">
        <v>127</v>
      </c>
      <c r="G393" s="1" t="s">
        <v>2399</v>
      </c>
      <c r="H393" s="1" t="s">
        <v>99</v>
      </c>
      <c r="I393" s="1" t="s">
        <v>2400</v>
      </c>
      <c r="J393" s="1" t="s">
        <v>2401</v>
      </c>
      <c r="K393" s="1" t="s">
        <v>623</v>
      </c>
      <c r="L393" s="1" t="s">
        <v>1357</v>
      </c>
      <c r="M393" s="1" t="s">
        <v>49</v>
      </c>
      <c r="N393" s="1" t="s">
        <v>2402</v>
      </c>
      <c r="O393" s="1" t="s">
        <v>35</v>
      </c>
      <c r="P393" s="1" t="s">
        <v>2400</v>
      </c>
      <c r="Q393" s="1" t="s">
        <v>1089</v>
      </c>
      <c r="R393" s="1" t="s">
        <v>37</v>
      </c>
      <c r="S393" s="1" t="s">
        <v>37</v>
      </c>
      <c r="T393" s="1" t="s">
        <v>37</v>
      </c>
      <c r="U393" s="1" t="s">
        <v>37</v>
      </c>
    </row>
    <row r="394" spans="1:21">
      <c r="A394" s="1" t="s">
        <v>2403</v>
      </c>
      <c r="B394" s="1" t="s">
        <v>22</v>
      </c>
      <c r="C394" s="1" t="s">
        <v>23</v>
      </c>
      <c r="D394" s="1" t="s">
        <v>24</v>
      </c>
      <c r="E394" s="1" t="s">
        <v>992</v>
      </c>
      <c r="F394" s="1" t="s">
        <v>42</v>
      </c>
      <c r="G394" s="1" t="s">
        <v>2404</v>
      </c>
      <c r="H394" s="1" t="s">
        <v>253</v>
      </c>
      <c r="I394" s="1" t="s">
        <v>2405</v>
      </c>
      <c r="J394" s="1" t="s">
        <v>2406</v>
      </c>
      <c r="K394" s="1" t="s">
        <v>1206</v>
      </c>
      <c r="L394" s="1" t="s">
        <v>1427</v>
      </c>
      <c r="M394" s="1" t="s">
        <v>33</v>
      </c>
      <c r="N394" s="1" t="s">
        <v>2404</v>
      </c>
      <c r="O394" s="1" t="s">
        <v>35</v>
      </c>
      <c r="P394" s="1" t="s">
        <v>2405</v>
      </c>
      <c r="Q394" s="1" t="s">
        <v>113</v>
      </c>
      <c r="R394" s="1" t="s">
        <v>37</v>
      </c>
      <c r="S394" s="1" t="s">
        <v>37</v>
      </c>
      <c r="T394" s="1" t="s">
        <v>37</v>
      </c>
      <c r="U394" s="1" t="s">
        <v>37</v>
      </c>
    </row>
    <row r="395" spans="1:21">
      <c r="A395" s="1" t="s">
        <v>2407</v>
      </c>
      <c r="B395" s="1" t="s">
        <v>22</v>
      </c>
      <c r="C395" s="1" t="s">
        <v>23</v>
      </c>
      <c r="D395" s="1" t="s">
        <v>24</v>
      </c>
      <c r="E395" s="1" t="s">
        <v>25</v>
      </c>
      <c r="F395" s="1" t="s">
        <v>72</v>
      </c>
      <c r="G395" s="1" t="s">
        <v>2408</v>
      </c>
      <c r="H395" s="1" t="s">
        <v>99</v>
      </c>
      <c r="I395" s="1" t="s">
        <v>2409</v>
      </c>
      <c r="J395" s="1" t="s">
        <v>2410</v>
      </c>
      <c r="K395" s="1" t="s">
        <v>140</v>
      </c>
      <c r="L395" s="1" t="s">
        <v>405</v>
      </c>
      <c r="M395" s="1" t="s">
        <v>59</v>
      </c>
      <c r="N395" s="1" t="s">
        <v>2411</v>
      </c>
      <c r="O395" s="1" t="s">
        <v>35</v>
      </c>
      <c r="P395" s="1" t="s">
        <v>2409</v>
      </c>
      <c r="Q395" s="1" t="s">
        <v>957</v>
      </c>
      <c r="R395" s="1" t="s">
        <v>37</v>
      </c>
      <c r="S395" s="1" t="s">
        <v>37</v>
      </c>
      <c r="T395" s="1" t="s">
        <v>37</v>
      </c>
      <c r="U395" s="1" t="s">
        <v>37</v>
      </c>
    </row>
    <row r="396" spans="1:21">
      <c r="A396" s="1" t="s">
        <v>2412</v>
      </c>
      <c r="B396" s="1" t="s">
        <v>22</v>
      </c>
      <c r="C396" s="1" t="s">
        <v>23</v>
      </c>
      <c r="D396" s="1" t="s">
        <v>41</v>
      </c>
      <c r="E396" s="1" t="s">
        <v>25</v>
      </c>
      <c r="F396" s="1" t="s">
        <v>26</v>
      </c>
      <c r="G396" s="1" t="s">
        <v>2413</v>
      </c>
      <c r="H396" s="1" t="s">
        <v>253</v>
      </c>
      <c r="I396" s="1" t="s">
        <v>2414</v>
      </c>
      <c r="J396" s="1" t="s">
        <v>2415</v>
      </c>
      <c r="K396" s="1" t="s">
        <v>508</v>
      </c>
      <c r="L396" s="1" t="s">
        <v>1009</v>
      </c>
      <c r="M396" s="1" t="s">
        <v>33</v>
      </c>
      <c r="N396" s="1" t="s">
        <v>2413</v>
      </c>
      <c r="O396" s="1" t="s">
        <v>35</v>
      </c>
      <c r="P396" s="1" t="s">
        <v>2414</v>
      </c>
      <c r="Q396" s="1" t="s">
        <v>663</v>
      </c>
      <c r="R396" s="1" t="s">
        <v>37</v>
      </c>
      <c r="S396" s="1" t="s">
        <v>37</v>
      </c>
      <c r="T396" s="1" t="s">
        <v>37</v>
      </c>
      <c r="U396" s="1" t="s">
        <v>37</v>
      </c>
    </row>
    <row r="397" spans="1:21">
      <c r="A397" s="1" t="s">
        <v>2416</v>
      </c>
      <c r="B397" s="1" t="s">
        <v>22</v>
      </c>
      <c r="C397" s="1" t="s">
        <v>23</v>
      </c>
      <c r="D397" s="1" t="s">
        <v>41</v>
      </c>
      <c r="E397" s="1" t="s">
        <v>25</v>
      </c>
      <c r="F397" s="1" t="s">
        <v>26</v>
      </c>
      <c r="G397" s="1" t="s">
        <v>2417</v>
      </c>
      <c r="H397" s="1" t="s">
        <v>44</v>
      </c>
      <c r="I397" s="1" t="s">
        <v>2418</v>
      </c>
      <c r="J397" s="1" t="s">
        <v>2419</v>
      </c>
      <c r="K397" s="1" t="s">
        <v>541</v>
      </c>
      <c r="L397" s="1" t="s">
        <v>482</v>
      </c>
      <c r="M397" s="1" t="s">
        <v>33</v>
      </c>
      <c r="N397" s="1" t="s">
        <v>2420</v>
      </c>
      <c r="O397" s="1" t="s">
        <v>35</v>
      </c>
      <c r="P397" s="1" t="s">
        <v>2418</v>
      </c>
      <c r="Q397" s="1" t="s">
        <v>550</v>
      </c>
      <c r="R397" s="1" t="s">
        <v>37</v>
      </c>
      <c r="S397" s="1" t="s">
        <v>37</v>
      </c>
      <c r="T397" s="1" t="s">
        <v>37</v>
      </c>
      <c r="U397" s="1" t="s">
        <v>37</v>
      </c>
    </row>
    <row r="398" spans="1:21">
      <c r="A398" s="1" t="s">
        <v>2421</v>
      </c>
      <c r="B398" s="1" t="s">
        <v>22</v>
      </c>
      <c r="C398" s="1" t="s">
        <v>23</v>
      </c>
      <c r="D398" s="1" t="s">
        <v>41</v>
      </c>
      <c r="E398" s="1" t="s">
        <v>25</v>
      </c>
      <c r="F398" s="1" t="s">
        <v>117</v>
      </c>
      <c r="G398" s="1" t="s">
        <v>2422</v>
      </c>
      <c r="H398" s="1" t="s">
        <v>44</v>
      </c>
      <c r="I398" s="1" t="s">
        <v>2423</v>
      </c>
      <c r="J398" s="1" t="s">
        <v>2424</v>
      </c>
      <c r="K398" s="1" t="s">
        <v>522</v>
      </c>
      <c r="L398" s="1" t="s">
        <v>1890</v>
      </c>
      <c r="M398" s="1" t="s">
        <v>33</v>
      </c>
      <c r="N398" s="1" t="s">
        <v>2425</v>
      </c>
      <c r="O398" s="1" t="s">
        <v>35</v>
      </c>
      <c r="P398" s="1" t="s">
        <v>2423</v>
      </c>
      <c r="Q398" s="1" t="s">
        <v>182</v>
      </c>
      <c r="R398" s="1" t="s">
        <v>37</v>
      </c>
      <c r="S398" s="1" t="s">
        <v>37</v>
      </c>
      <c r="T398" s="1" t="s">
        <v>37</v>
      </c>
      <c r="U398" s="1" t="s">
        <v>37</v>
      </c>
    </row>
    <row r="399" spans="1:21">
      <c r="A399" s="1" t="s">
        <v>2426</v>
      </c>
      <c r="B399" s="1" t="s">
        <v>115</v>
      </c>
      <c r="C399" s="1" t="s">
        <v>116</v>
      </c>
      <c r="D399" s="1" t="s">
        <v>41</v>
      </c>
      <c r="E399" s="1" t="s">
        <v>992</v>
      </c>
      <c r="F399" s="1" t="s">
        <v>53</v>
      </c>
      <c r="G399" s="1" t="s">
        <v>2427</v>
      </c>
      <c r="H399" s="1" t="s">
        <v>275</v>
      </c>
      <c r="I399" s="1" t="s">
        <v>2428</v>
      </c>
      <c r="J399" s="1" t="s">
        <v>2429</v>
      </c>
      <c r="K399" s="1" t="s">
        <v>225</v>
      </c>
      <c r="L399" s="1" t="s">
        <v>2430</v>
      </c>
      <c r="M399" s="1" t="s">
        <v>49</v>
      </c>
      <c r="N399" s="1" t="s">
        <v>2431</v>
      </c>
      <c r="O399" s="1" t="s">
        <v>35</v>
      </c>
      <c r="P399" s="1" t="s">
        <v>2428</v>
      </c>
      <c r="Q399" s="1" t="s">
        <v>96</v>
      </c>
      <c r="R399" s="1" t="s">
        <v>37</v>
      </c>
      <c r="S399" s="1" t="s">
        <v>37</v>
      </c>
      <c r="T399" s="1" t="s">
        <v>37</v>
      </c>
      <c r="U399" s="1" t="s">
        <v>37</v>
      </c>
    </row>
    <row r="400" spans="1:21">
      <c r="A400" s="1" t="s">
        <v>2432</v>
      </c>
      <c r="B400" s="1" t="s">
        <v>115</v>
      </c>
      <c r="C400" s="1" t="s">
        <v>116</v>
      </c>
      <c r="D400" s="1" t="s">
        <v>24</v>
      </c>
      <c r="E400" s="1" t="s">
        <v>25</v>
      </c>
      <c r="F400" s="1" t="s">
        <v>26</v>
      </c>
      <c r="G400" s="1" t="s">
        <v>2433</v>
      </c>
      <c r="H400" s="1" t="s">
        <v>90</v>
      </c>
      <c r="I400" s="1" t="s">
        <v>2434</v>
      </c>
      <c r="J400" s="1" t="s">
        <v>2435</v>
      </c>
      <c r="K400" s="1" t="s">
        <v>217</v>
      </c>
      <c r="L400" s="1" t="s">
        <v>1839</v>
      </c>
      <c r="M400" s="1" t="s">
        <v>59</v>
      </c>
      <c r="N400" s="1" t="s">
        <v>2436</v>
      </c>
      <c r="O400" s="1" t="s">
        <v>35</v>
      </c>
      <c r="P400" s="1" t="s">
        <v>2434</v>
      </c>
      <c r="Q400" s="1" t="s">
        <v>638</v>
      </c>
      <c r="R400" s="1" t="s">
        <v>37</v>
      </c>
      <c r="S400" s="1" t="s">
        <v>37</v>
      </c>
      <c r="T400" s="1" t="s">
        <v>37</v>
      </c>
      <c r="U400" s="1" t="s">
        <v>37</v>
      </c>
    </row>
    <row r="401" spans="1:21">
      <c r="A401" s="1" t="s">
        <v>2437</v>
      </c>
      <c r="B401" s="1" t="s">
        <v>115</v>
      </c>
      <c r="C401" s="1" t="s">
        <v>116</v>
      </c>
      <c r="D401" s="1" t="s">
        <v>24</v>
      </c>
      <c r="E401" s="1" t="s">
        <v>992</v>
      </c>
      <c r="F401" s="1" t="s">
        <v>42</v>
      </c>
      <c r="G401" s="1" t="s">
        <v>2438</v>
      </c>
      <c r="H401" s="1" t="s">
        <v>275</v>
      </c>
      <c r="I401" s="1" t="s">
        <v>2439</v>
      </c>
      <c r="J401" s="1" t="s">
        <v>2440</v>
      </c>
      <c r="K401" s="1" t="s">
        <v>371</v>
      </c>
      <c r="L401" s="1" t="s">
        <v>1787</v>
      </c>
      <c r="M401" s="1" t="s">
        <v>49</v>
      </c>
      <c r="N401" s="1" t="s">
        <v>2441</v>
      </c>
      <c r="O401" s="1" t="s">
        <v>35</v>
      </c>
      <c r="P401" s="1" t="s">
        <v>2439</v>
      </c>
      <c r="Q401" s="1" t="s">
        <v>64</v>
      </c>
      <c r="R401" s="1" t="s">
        <v>37</v>
      </c>
      <c r="S401" s="1" t="s">
        <v>37</v>
      </c>
      <c r="T401" s="1" t="s">
        <v>37</v>
      </c>
      <c r="U401" s="1" t="s">
        <v>37</v>
      </c>
    </row>
    <row r="402" spans="1:21">
      <c r="A402" s="1" t="s">
        <v>2442</v>
      </c>
      <c r="B402" s="1" t="s">
        <v>39</v>
      </c>
      <c r="C402" s="1" t="s">
        <v>40</v>
      </c>
      <c r="D402" s="1" t="s">
        <v>41</v>
      </c>
      <c r="E402" s="1" t="s">
        <v>25</v>
      </c>
      <c r="F402" s="1" t="s">
        <v>117</v>
      </c>
      <c r="G402" s="1" t="s">
        <v>2443</v>
      </c>
      <c r="H402" s="1" t="s">
        <v>90</v>
      </c>
      <c r="I402" s="1" t="s">
        <v>2444</v>
      </c>
      <c r="J402" s="1" t="s">
        <v>2445</v>
      </c>
      <c r="K402" s="1" t="s">
        <v>84</v>
      </c>
      <c r="L402" s="1" t="s">
        <v>2446</v>
      </c>
      <c r="M402" s="1" t="s">
        <v>59</v>
      </c>
      <c r="N402" s="1" t="s">
        <v>2447</v>
      </c>
      <c r="O402" s="1" t="s">
        <v>35</v>
      </c>
      <c r="P402" s="1" t="s">
        <v>2444</v>
      </c>
      <c r="Q402" s="1" t="s">
        <v>583</v>
      </c>
      <c r="R402" s="1" t="s">
        <v>37</v>
      </c>
      <c r="S402" s="1" t="s">
        <v>37</v>
      </c>
      <c r="T402" s="1" t="s">
        <v>37</v>
      </c>
      <c r="U402" s="1" t="s">
        <v>37</v>
      </c>
    </row>
    <row r="403" spans="1:21">
      <c r="A403" s="1" t="s">
        <v>2448</v>
      </c>
      <c r="B403" s="1" t="s">
        <v>39</v>
      </c>
      <c r="C403" s="1" t="s">
        <v>40</v>
      </c>
      <c r="D403" s="1" t="s">
        <v>41</v>
      </c>
      <c r="E403" s="1" t="s">
        <v>992</v>
      </c>
      <c r="F403" s="1" t="s">
        <v>53</v>
      </c>
      <c r="G403" s="1" t="s">
        <v>2449</v>
      </c>
      <c r="H403" s="1" t="s">
        <v>129</v>
      </c>
      <c r="I403" s="1" t="s">
        <v>2450</v>
      </c>
      <c r="J403" s="1" t="s">
        <v>2451</v>
      </c>
      <c r="K403" s="1" t="s">
        <v>481</v>
      </c>
      <c r="L403" s="1" t="s">
        <v>2452</v>
      </c>
      <c r="M403" s="1" t="s">
        <v>59</v>
      </c>
      <c r="N403" s="1" t="s">
        <v>2453</v>
      </c>
      <c r="O403" s="1" t="s">
        <v>35</v>
      </c>
      <c r="P403" s="1" t="s">
        <v>2450</v>
      </c>
      <c r="Q403" s="1" t="s">
        <v>957</v>
      </c>
      <c r="R403" s="1" t="s">
        <v>37</v>
      </c>
      <c r="S403" s="1" t="s">
        <v>37</v>
      </c>
      <c r="T403" s="1" t="s">
        <v>37</v>
      </c>
      <c r="U403" s="1" t="s">
        <v>37</v>
      </c>
    </row>
    <row r="404" spans="1:21">
      <c r="A404" s="1" t="s">
        <v>2454</v>
      </c>
      <c r="B404" s="1" t="s">
        <v>39</v>
      </c>
      <c r="C404" s="1" t="s">
        <v>40</v>
      </c>
      <c r="D404" s="1" t="s">
        <v>24</v>
      </c>
      <c r="E404" s="1" t="s">
        <v>992</v>
      </c>
      <c r="F404" s="1" t="s">
        <v>53</v>
      </c>
      <c r="G404" s="1" t="s">
        <v>2455</v>
      </c>
      <c r="H404" s="1" t="s">
        <v>253</v>
      </c>
      <c r="I404" s="1" t="s">
        <v>2456</v>
      </c>
      <c r="J404" s="1" t="s">
        <v>2457</v>
      </c>
      <c r="K404" s="1" t="s">
        <v>2159</v>
      </c>
      <c r="L404" s="1" t="s">
        <v>2458</v>
      </c>
      <c r="M404" s="1" t="s">
        <v>33</v>
      </c>
      <c r="N404" s="1" t="s">
        <v>2455</v>
      </c>
      <c r="O404" s="1" t="s">
        <v>35</v>
      </c>
      <c r="P404" s="1" t="s">
        <v>2456</v>
      </c>
      <c r="Q404" s="1" t="s">
        <v>971</v>
      </c>
      <c r="R404" s="1" t="s">
        <v>37</v>
      </c>
      <c r="S404" s="1" t="s">
        <v>37</v>
      </c>
      <c r="T404" s="1" t="s">
        <v>37</v>
      </c>
      <c r="U404" s="1" t="s">
        <v>37</v>
      </c>
    </row>
    <row r="405" spans="1:21">
      <c r="A405" s="1" t="s">
        <v>2459</v>
      </c>
      <c r="B405" s="1" t="s">
        <v>115</v>
      </c>
      <c r="C405" s="1" t="s">
        <v>116</v>
      </c>
      <c r="D405" s="1" t="s">
        <v>41</v>
      </c>
      <c r="E405" s="1" t="s">
        <v>25</v>
      </c>
      <c r="F405" s="1" t="s">
        <v>127</v>
      </c>
      <c r="G405" s="1" t="s">
        <v>2460</v>
      </c>
      <c r="H405" s="1" t="s">
        <v>44</v>
      </c>
      <c r="I405" s="1" t="s">
        <v>2461</v>
      </c>
      <c r="J405" s="1" t="s">
        <v>2462</v>
      </c>
      <c r="K405" s="1" t="s">
        <v>1008</v>
      </c>
      <c r="L405" s="1" t="s">
        <v>789</v>
      </c>
      <c r="M405" s="1" t="s">
        <v>33</v>
      </c>
      <c r="N405" s="1" t="s">
        <v>2463</v>
      </c>
      <c r="O405" s="1" t="s">
        <v>35</v>
      </c>
      <c r="P405" s="1" t="s">
        <v>2461</v>
      </c>
      <c r="Q405" s="1" t="s">
        <v>51</v>
      </c>
      <c r="R405" s="1" t="s">
        <v>37</v>
      </c>
      <c r="S405" s="1" t="s">
        <v>37</v>
      </c>
      <c r="T405" s="1" t="s">
        <v>37</v>
      </c>
      <c r="U405" s="1" t="s">
        <v>37</v>
      </c>
    </row>
    <row r="406" spans="1:21">
      <c r="A406" s="1" t="s">
        <v>2464</v>
      </c>
      <c r="B406" s="1" t="s">
        <v>39</v>
      </c>
      <c r="C406" s="1" t="s">
        <v>40</v>
      </c>
      <c r="D406" s="1" t="s">
        <v>24</v>
      </c>
      <c r="E406" s="1" t="s">
        <v>25</v>
      </c>
      <c r="F406" s="1" t="s">
        <v>127</v>
      </c>
      <c r="G406" s="1" t="s">
        <v>2465</v>
      </c>
      <c r="H406" s="1" t="s">
        <v>28</v>
      </c>
      <c r="I406" s="1" t="s">
        <v>2466</v>
      </c>
      <c r="J406" s="1" t="s">
        <v>2467</v>
      </c>
      <c r="K406" s="1" t="s">
        <v>976</v>
      </c>
      <c r="L406" s="1" t="s">
        <v>2468</v>
      </c>
      <c r="M406" s="1" t="s">
        <v>33</v>
      </c>
      <c r="N406" s="1" t="s">
        <v>2469</v>
      </c>
      <c r="O406" s="1" t="s">
        <v>35</v>
      </c>
      <c r="P406" s="1" t="s">
        <v>2466</v>
      </c>
      <c r="Q406" s="1" t="s">
        <v>752</v>
      </c>
      <c r="R406" s="1" t="s">
        <v>37</v>
      </c>
      <c r="S406" s="1" t="s">
        <v>37</v>
      </c>
      <c r="T406" s="1" t="s">
        <v>37</v>
      </c>
      <c r="U406" s="1" t="s">
        <v>37</v>
      </c>
    </row>
    <row r="407" spans="1:21">
      <c r="A407" s="1" t="s">
        <v>2470</v>
      </c>
      <c r="B407" s="1" t="s">
        <v>22</v>
      </c>
      <c r="C407" s="1" t="s">
        <v>23</v>
      </c>
      <c r="D407" s="1" t="s">
        <v>24</v>
      </c>
      <c r="E407" s="1" t="s">
        <v>992</v>
      </c>
      <c r="F407" s="1" t="s">
        <v>72</v>
      </c>
      <c r="G407" s="1" t="s">
        <v>2471</v>
      </c>
      <c r="H407" s="1" t="s">
        <v>129</v>
      </c>
      <c r="I407" s="1" t="s">
        <v>2472</v>
      </c>
      <c r="J407" s="1" t="s">
        <v>2473</v>
      </c>
      <c r="K407" s="1" t="s">
        <v>823</v>
      </c>
      <c r="L407" s="1" t="s">
        <v>2474</v>
      </c>
      <c r="M407" s="1" t="s">
        <v>59</v>
      </c>
      <c r="N407" s="1" t="s">
        <v>2475</v>
      </c>
      <c r="O407" s="1" t="s">
        <v>35</v>
      </c>
      <c r="P407" s="1" t="s">
        <v>2472</v>
      </c>
      <c r="Q407" s="1" t="s">
        <v>64</v>
      </c>
      <c r="R407" s="1" t="s">
        <v>37</v>
      </c>
      <c r="S407" s="1" t="s">
        <v>37</v>
      </c>
      <c r="T407" s="1" t="s">
        <v>37</v>
      </c>
      <c r="U407" s="1" t="s">
        <v>37</v>
      </c>
    </row>
    <row r="408" spans="1:21">
      <c r="A408" s="1" t="s">
        <v>2476</v>
      </c>
      <c r="B408" s="1" t="s">
        <v>22</v>
      </c>
      <c r="C408" s="1" t="s">
        <v>23</v>
      </c>
      <c r="D408" s="1" t="s">
        <v>41</v>
      </c>
      <c r="E408" s="1" t="s">
        <v>992</v>
      </c>
      <c r="F408" s="1" t="s">
        <v>117</v>
      </c>
      <c r="G408" s="1" t="s">
        <v>2477</v>
      </c>
      <c r="H408" s="1" t="s">
        <v>44</v>
      </c>
      <c r="I408" s="1" t="s">
        <v>2478</v>
      </c>
      <c r="J408" s="1" t="s">
        <v>2479</v>
      </c>
      <c r="K408" s="1" t="s">
        <v>1482</v>
      </c>
      <c r="L408" s="1" t="s">
        <v>2480</v>
      </c>
      <c r="M408" s="1" t="s">
        <v>59</v>
      </c>
      <c r="N408" s="1" t="s">
        <v>2481</v>
      </c>
      <c r="O408" s="1" t="s">
        <v>35</v>
      </c>
      <c r="P408" s="1" t="s">
        <v>2478</v>
      </c>
      <c r="Q408" s="1" t="s">
        <v>812</v>
      </c>
      <c r="R408" s="1" t="s">
        <v>37</v>
      </c>
      <c r="S408" s="1" t="s">
        <v>37</v>
      </c>
      <c r="T408" s="1" t="s">
        <v>37</v>
      </c>
      <c r="U408" s="1" t="s">
        <v>37</v>
      </c>
    </row>
    <row r="409" spans="1:21">
      <c r="A409" s="1" t="s">
        <v>2482</v>
      </c>
      <c r="B409" s="1" t="s">
        <v>115</v>
      </c>
      <c r="C409" s="1" t="s">
        <v>116</v>
      </c>
      <c r="D409" s="1" t="s">
        <v>24</v>
      </c>
      <c r="E409" s="1" t="s">
        <v>25</v>
      </c>
      <c r="F409" s="1" t="s">
        <v>127</v>
      </c>
      <c r="G409" s="1" t="s">
        <v>2483</v>
      </c>
      <c r="H409" s="1" t="s">
        <v>129</v>
      </c>
      <c r="I409" s="1" t="s">
        <v>2484</v>
      </c>
      <c r="J409" s="1" t="s">
        <v>2485</v>
      </c>
      <c r="K409" s="1" t="s">
        <v>1081</v>
      </c>
      <c r="L409" s="1" t="s">
        <v>453</v>
      </c>
      <c r="M409" s="1" t="s">
        <v>49</v>
      </c>
      <c r="N409" s="1" t="s">
        <v>2486</v>
      </c>
      <c r="O409" s="1" t="s">
        <v>35</v>
      </c>
      <c r="P409" s="1" t="s">
        <v>2484</v>
      </c>
      <c r="Q409" s="1" t="s">
        <v>87</v>
      </c>
      <c r="R409" s="1" t="s">
        <v>37</v>
      </c>
      <c r="S409" s="1" t="s">
        <v>37</v>
      </c>
      <c r="T409" s="1" t="s">
        <v>37</v>
      </c>
      <c r="U409" s="1" t="s">
        <v>37</v>
      </c>
    </row>
    <row r="410" spans="1:21">
      <c r="A410" s="1" t="s">
        <v>2487</v>
      </c>
      <c r="B410" s="1" t="s">
        <v>22</v>
      </c>
      <c r="C410" s="1" t="s">
        <v>23</v>
      </c>
      <c r="D410" s="1" t="s">
        <v>41</v>
      </c>
      <c r="E410" s="1" t="s">
        <v>25</v>
      </c>
      <c r="F410" s="1" t="s">
        <v>53</v>
      </c>
      <c r="G410" s="1" t="s">
        <v>2488</v>
      </c>
      <c r="H410" s="1" t="s">
        <v>129</v>
      </c>
      <c r="I410" s="1" t="s">
        <v>2489</v>
      </c>
      <c r="J410" s="1" t="s">
        <v>2490</v>
      </c>
      <c r="K410" s="1" t="s">
        <v>371</v>
      </c>
      <c r="L410" s="1" t="s">
        <v>271</v>
      </c>
      <c r="M410" s="1" t="s">
        <v>33</v>
      </c>
      <c r="N410" s="1" t="s">
        <v>2491</v>
      </c>
      <c r="O410" s="1" t="s">
        <v>35</v>
      </c>
      <c r="P410" s="1" t="s">
        <v>2489</v>
      </c>
      <c r="Q410" s="1" t="s">
        <v>618</v>
      </c>
      <c r="R410" s="1" t="s">
        <v>37</v>
      </c>
      <c r="S410" s="1" t="s">
        <v>37</v>
      </c>
      <c r="T410" s="1" t="s">
        <v>37</v>
      </c>
      <c r="U410" s="1" t="s">
        <v>37</v>
      </c>
    </row>
    <row r="411" spans="1:21">
      <c r="A411" s="1" t="s">
        <v>2492</v>
      </c>
      <c r="B411" s="1" t="s">
        <v>39</v>
      </c>
      <c r="C411" s="1" t="s">
        <v>40</v>
      </c>
      <c r="D411" s="1" t="s">
        <v>41</v>
      </c>
      <c r="E411" s="1" t="s">
        <v>25</v>
      </c>
      <c r="F411" s="1" t="s">
        <v>127</v>
      </c>
      <c r="G411" s="1" t="s">
        <v>2493</v>
      </c>
      <c r="H411" s="1" t="s">
        <v>44</v>
      </c>
      <c r="I411" s="1" t="s">
        <v>2494</v>
      </c>
      <c r="J411" s="1" t="s">
        <v>2495</v>
      </c>
      <c r="K411" s="1" t="s">
        <v>290</v>
      </c>
      <c r="L411" s="1" t="s">
        <v>1708</v>
      </c>
      <c r="M411" s="1" t="s">
        <v>33</v>
      </c>
      <c r="N411" s="1" t="s">
        <v>2496</v>
      </c>
      <c r="O411" s="1" t="s">
        <v>35</v>
      </c>
      <c r="P411" s="1" t="s">
        <v>2494</v>
      </c>
      <c r="Q411" s="1" t="s">
        <v>476</v>
      </c>
      <c r="R411" s="1" t="s">
        <v>37</v>
      </c>
      <c r="S411" s="1" t="s">
        <v>37</v>
      </c>
      <c r="T411" s="1" t="s">
        <v>37</v>
      </c>
      <c r="U411" s="1" t="s">
        <v>37</v>
      </c>
    </row>
    <row r="412" spans="1:21">
      <c r="A412" s="1" t="s">
        <v>2497</v>
      </c>
      <c r="B412" s="1" t="s">
        <v>115</v>
      </c>
      <c r="C412" s="1" t="s">
        <v>116</v>
      </c>
      <c r="D412" s="1" t="s">
        <v>41</v>
      </c>
      <c r="E412" s="1" t="s">
        <v>25</v>
      </c>
      <c r="F412" s="1" t="s">
        <v>26</v>
      </c>
      <c r="G412" s="1" t="s">
        <v>2498</v>
      </c>
      <c r="H412" s="1" t="s">
        <v>99</v>
      </c>
      <c r="I412" s="1" t="s">
        <v>2499</v>
      </c>
      <c r="J412" s="1" t="s">
        <v>2500</v>
      </c>
      <c r="K412" s="1" t="s">
        <v>668</v>
      </c>
      <c r="L412" s="1" t="s">
        <v>989</v>
      </c>
      <c r="M412" s="1" t="s">
        <v>49</v>
      </c>
      <c r="N412" s="1" t="s">
        <v>2501</v>
      </c>
      <c r="O412" s="1" t="s">
        <v>35</v>
      </c>
      <c r="P412" s="1" t="s">
        <v>2499</v>
      </c>
      <c r="Q412" s="1" t="s">
        <v>220</v>
      </c>
      <c r="R412" s="1" t="s">
        <v>37</v>
      </c>
      <c r="S412" s="1" t="s">
        <v>37</v>
      </c>
      <c r="T412" s="1" t="s">
        <v>37</v>
      </c>
      <c r="U412" s="1" t="s">
        <v>37</v>
      </c>
    </row>
    <row r="413" spans="1:21">
      <c r="A413" s="1" t="s">
        <v>2502</v>
      </c>
      <c r="B413" s="1" t="s">
        <v>115</v>
      </c>
      <c r="C413" s="1" t="s">
        <v>116</v>
      </c>
      <c r="D413" s="1" t="s">
        <v>41</v>
      </c>
      <c r="E413" s="1" t="s">
        <v>992</v>
      </c>
      <c r="F413" s="1" t="s">
        <v>72</v>
      </c>
      <c r="G413" s="1" t="s">
        <v>2503</v>
      </c>
      <c r="H413" s="1" t="s">
        <v>107</v>
      </c>
      <c r="I413" s="1" t="s">
        <v>2504</v>
      </c>
      <c r="J413" s="1" t="s">
        <v>2505</v>
      </c>
      <c r="K413" s="1" t="s">
        <v>270</v>
      </c>
      <c r="L413" s="1" t="s">
        <v>1483</v>
      </c>
      <c r="M413" s="1" t="s">
        <v>33</v>
      </c>
      <c r="N413" s="1" t="s">
        <v>2506</v>
      </c>
      <c r="O413" s="1" t="s">
        <v>35</v>
      </c>
      <c r="P413" s="1" t="s">
        <v>2504</v>
      </c>
      <c r="Q413" s="1" t="s">
        <v>190</v>
      </c>
      <c r="R413" s="1" t="s">
        <v>37</v>
      </c>
      <c r="S413" s="1" t="s">
        <v>37</v>
      </c>
      <c r="T413" s="1" t="s">
        <v>37</v>
      </c>
      <c r="U413" s="1" t="s">
        <v>37</v>
      </c>
    </row>
    <row r="414" spans="1:21">
      <c r="A414" s="1" t="s">
        <v>2507</v>
      </c>
      <c r="B414" s="1" t="s">
        <v>22</v>
      </c>
      <c r="C414" s="1" t="s">
        <v>23</v>
      </c>
      <c r="D414" s="1" t="s">
        <v>24</v>
      </c>
      <c r="E414" s="1" t="s">
        <v>992</v>
      </c>
      <c r="F414" s="1" t="s">
        <v>26</v>
      </c>
      <c r="G414" s="1" t="s">
        <v>2508</v>
      </c>
      <c r="H414" s="1" t="s">
        <v>44</v>
      </c>
      <c r="I414" s="1" t="s">
        <v>2509</v>
      </c>
      <c r="J414" s="1" t="s">
        <v>2510</v>
      </c>
      <c r="K414" s="1" t="s">
        <v>1081</v>
      </c>
      <c r="L414" s="1" t="s">
        <v>2032</v>
      </c>
      <c r="M414" s="1" t="s">
        <v>49</v>
      </c>
      <c r="N414" s="1" t="s">
        <v>2511</v>
      </c>
      <c r="O414" s="1" t="s">
        <v>35</v>
      </c>
      <c r="P414" s="1" t="s">
        <v>2509</v>
      </c>
      <c r="Q414" s="1" t="s">
        <v>812</v>
      </c>
      <c r="R414" s="1" t="s">
        <v>37</v>
      </c>
      <c r="S414" s="1" t="s">
        <v>37</v>
      </c>
      <c r="T414" s="1" t="s">
        <v>37</v>
      </c>
      <c r="U414" s="1" t="s">
        <v>37</v>
      </c>
    </row>
    <row r="415" spans="1:21">
      <c r="A415" s="1" t="s">
        <v>2512</v>
      </c>
      <c r="B415" s="1" t="s">
        <v>22</v>
      </c>
      <c r="C415" s="1" t="s">
        <v>23</v>
      </c>
      <c r="D415" s="1" t="s">
        <v>41</v>
      </c>
      <c r="E415" s="1" t="s">
        <v>992</v>
      </c>
      <c r="F415" s="1" t="s">
        <v>72</v>
      </c>
      <c r="G415" s="1" t="s">
        <v>2513</v>
      </c>
      <c r="H415" s="1" t="s">
        <v>119</v>
      </c>
      <c r="I415" s="1" t="s">
        <v>2514</v>
      </c>
      <c r="J415" s="1" t="s">
        <v>2515</v>
      </c>
      <c r="K415" s="1" t="s">
        <v>262</v>
      </c>
      <c r="L415" s="1" t="s">
        <v>2516</v>
      </c>
      <c r="M415" s="1" t="s">
        <v>33</v>
      </c>
      <c r="N415" s="1" t="s">
        <v>2517</v>
      </c>
      <c r="O415" s="1" t="s">
        <v>35</v>
      </c>
      <c r="P415" s="1" t="s">
        <v>2514</v>
      </c>
      <c r="Q415" s="1" t="s">
        <v>468</v>
      </c>
      <c r="R415" s="1" t="s">
        <v>37</v>
      </c>
      <c r="S415" s="1" t="s">
        <v>37</v>
      </c>
      <c r="T415" s="1" t="s">
        <v>37</v>
      </c>
      <c r="U415" s="1" t="s">
        <v>37</v>
      </c>
    </row>
    <row r="416" spans="1:21">
      <c r="A416" s="1" t="s">
        <v>2518</v>
      </c>
      <c r="B416" s="1" t="s">
        <v>22</v>
      </c>
      <c r="C416" s="1" t="s">
        <v>23</v>
      </c>
      <c r="D416" s="1" t="s">
        <v>41</v>
      </c>
      <c r="E416" s="1" t="s">
        <v>992</v>
      </c>
      <c r="F416" s="1" t="s">
        <v>53</v>
      </c>
      <c r="G416" s="1" t="s">
        <v>2519</v>
      </c>
      <c r="H416" s="1" t="s">
        <v>64</v>
      </c>
      <c r="I416" s="1" t="s">
        <v>2520</v>
      </c>
      <c r="J416" s="1" t="s">
        <v>2521</v>
      </c>
      <c r="K416" s="1" t="s">
        <v>247</v>
      </c>
      <c r="L416" s="1" t="s">
        <v>2522</v>
      </c>
      <c r="M416" s="1" t="s">
        <v>33</v>
      </c>
      <c r="N416" s="1" t="s">
        <v>2523</v>
      </c>
      <c r="O416" s="1" t="s">
        <v>35</v>
      </c>
      <c r="P416" s="1" t="s">
        <v>2520</v>
      </c>
      <c r="Q416" s="1" t="s">
        <v>798</v>
      </c>
      <c r="R416" s="1" t="s">
        <v>37</v>
      </c>
      <c r="S416" s="1" t="s">
        <v>37</v>
      </c>
      <c r="T416" s="1" t="s">
        <v>37</v>
      </c>
      <c r="U416" s="1" t="s">
        <v>37</v>
      </c>
    </row>
    <row r="417" spans="1:21">
      <c r="A417" s="1" t="s">
        <v>2524</v>
      </c>
      <c r="B417" s="1" t="s">
        <v>115</v>
      </c>
      <c r="C417" s="1" t="s">
        <v>116</v>
      </c>
      <c r="D417" s="1" t="s">
        <v>41</v>
      </c>
      <c r="E417" s="1" t="s">
        <v>992</v>
      </c>
      <c r="F417" s="1" t="s">
        <v>26</v>
      </c>
      <c r="G417" s="1" t="s">
        <v>2525</v>
      </c>
      <c r="H417" s="1" t="s">
        <v>253</v>
      </c>
      <c r="I417" s="1" t="s">
        <v>2526</v>
      </c>
      <c r="J417" s="1" t="s">
        <v>2527</v>
      </c>
      <c r="K417" s="1" t="s">
        <v>270</v>
      </c>
      <c r="L417" s="1" t="s">
        <v>1787</v>
      </c>
      <c r="M417" s="1" t="s">
        <v>33</v>
      </c>
      <c r="N417" s="1" t="s">
        <v>2525</v>
      </c>
      <c r="O417" s="1" t="s">
        <v>35</v>
      </c>
      <c r="P417" s="1" t="s">
        <v>2526</v>
      </c>
      <c r="Q417" s="1" t="s">
        <v>812</v>
      </c>
      <c r="R417" s="1" t="s">
        <v>37</v>
      </c>
      <c r="S417" s="1" t="s">
        <v>37</v>
      </c>
      <c r="T417" s="1" t="s">
        <v>37</v>
      </c>
      <c r="U417" s="1" t="s">
        <v>37</v>
      </c>
    </row>
    <row r="418" spans="1:21">
      <c r="A418" s="1" t="s">
        <v>2528</v>
      </c>
      <c r="B418" s="1" t="s">
        <v>39</v>
      </c>
      <c r="C418" s="1" t="s">
        <v>40</v>
      </c>
      <c r="D418" s="1" t="s">
        <v>41</v>
      </c>
      <c r="E418" s="1" t="s">
        <v>25</v>
      </c>
      <c r="F418" s="1" t="s">
        <v>53</v>
      </c>
      <c r="G418" s="1" t="s">
        <v>2529</v>
      </c>
      <c r="H418" s="1" t="s">
        <v>129</v>
      </c>
      <c r="I418" s="1" t="s">
        <v>2530</v>
      </c>
      <c r="J418" s="1" t="s">
        <v>2531</v>
      </c>
      <c r="K418" s="1" t="s">
        <v>906</v>
      </c>
      <c r="L418" s="1" t="s">
        <v>996</v>
      </c>
      <c r="M418" s="1" t="s">
        <v>59</v>
      </c>
      <c r="N418" s="1" t="s">
        <v>2532</v>
      </c>
      <c r="O418" s="1" t="s">
        <v>35</v>
      </c>
      <c r="P418" s="1" t="s">
        <v>2530</v>
      </c>
      <c r="Q418" s="1" t="s">
        <v>576</v>
      </c>
      <c r="R418" s="1" t="s">
        <v>37</v>
      </c>
      <c r="S418" s="1" t="s">
        <v>37</v>
      </c>
      <c r="T418" s="1" t="s">
        <v>37</v>
      </c>
      <c r="U418" s="1" t="s">
        <v>37</v>
      </c>
    </row>
    <row r="419" spans="1:21">
      <c r="A419" s="1" t="s">
        <v>2533</v>
      </c>
      <c r="B419" s="1" t="s">
        <v>39</v>
      </c>
      <c r="C419" s="1" t="s">
        <v>40</v>
      </c>
      <c r="D419" s="1" t="s">
        <v>24</v>
      </c>
      <c r="E419" s="1" t="s">
        <v>25</v>
      </c>
      <c r="F419" s="1" t="s">
        <v>26</v>
      </c>
      <c r="G419" s="1" t="s">
        <v>2534</v>
      </c>
      <c r="H419" s="1" t="s">
        <v>253</v>
      </c>
      <c r="I419" s="1" t="s">
        <v>2535</v>
      </c>
      <c r="J419" s="1" t="s">
        <v>2536</v>
      </c>
      <c r="K419" s="1" t="s">
        <v>581</v>
      </c>
      <c r="L419" s="1" t="s">
        <v>2537</v>
      </c>
      <c r="M419" s="1" t="s">
        <v>33</v>
      </c>
      <c r="N419" s="1" t="s">
        <v>2534</v>
      </c>
      <c r="O419" s="1" t="s">
        <v>35</v>
      </c>
      <c r="P419" s="1" t="s">
        <v>2535</v>
      </c>
      <c r="Q419" s="1" t="s">
        <v>798</v>
      </c>
      <c r="R419" s="1" t="s">
        <v>37</v>
      </c>
      <c r="S419" s="1" t="s">
        <v>37</v>
      </c>
      <c r="T419" s="1" t="s">
        <v>37</v>
      </c>
      <c r="U419" s="1" t="s">
        <v>37</v>
      </c>
    </row>
    <row r="420" spans="1:21">
      <c r="A420" s="1" t="s">
        <v>2538</v>
      </c>
      <c r="B420" s="1" t="s">
        <v>115</v>
      </c>
      <c r="C420" s="1" t="s">
        <v>116</v>
      </c>
      <c r="D420" s="1" t="s">
        <v>41</v>
      </c>
      <c r="E420" s="1" t="s">
        <v>25</v>
      </c>
      <c r="F420" s="1" t="s">
        <v>26</v>
      </c>
      <c r="G420" s="1" t="s">
        <v>2539</v>
      </c>
      <c r="H420" s="1" t="s">
        <v>107</v>
      </c>
      <c r="I420" s="1" t="s">
        <v>2540</v>
      </c>
      <c r="J420" s="1" t="s">
        <v>2541</v>
      </c>
      <c r="K420" s="1" t="s">
        <v>599</v>
      </c>
      <c r="L420" s="1" t="s">
        <v>2542</v>
      </c>
      <c r="M420" s="1" t="s">
        <v>33</v>
      </c>
      <c r="N420" s="1" t="s">
        <v>2543</v>
      </c>
      <c r="O420" s="1" t="s">
        <v>35</v>
      </c>
      <c r="P420" s="1" t="s">
        <v>2540</v>
      </c>
      <c r="Q420" s="1" t="s">
        <v>638</v>
      </c>
      <c r="R420" s="1" t="s">
        <v>37</v>
      </c>
      <c r="S420" s="1" t="s">
        <v>37</v>
      </c>
      <c r="T420" s="1" t="s">
        <v>37</v>
      </c>
      <c r="U420" s="1" t="s">
        <v>37</v>
      </c>
    </row>
    <row r="421" spans="1:21">
      <c r="A421" s="1" t="s">
        <v>2544</v>
      </c>
      <c r="B421" s="1" t="s">
        <v>22</v>
      </c>
      <c r="C421" s="1" t="s">
        <v>23</v>
      </c>
      <c r="D421" s="1" t="s">
        <v>24</v>
      </c>
      <c r="E421" s="1" t="s">
        <v>25</v>
      </c>
      <c r="F421" s="1" t="s">
        <v>42</v>
      </c>
      <c r="G421" s="1" t="s">
        <v>2545</v>
      </c>
      <c r="H421" s="1" t="s">
        <v>28</v>
      </c>
      <c r="I421" s="1" t="s">
        <v>2546</v>
      </c>
      <c r="J421" s="1" t="s">
        <v>2547</v>
      </c>
      <c r="K421" s="1" t="s">
        <v>2159</v>
      </c>
      <c r="L421" s="1" t="s">
        <v>655</v>
      </c>
      <c r="M421" s="1" t="s">
        <v>49</v>
      </c>
      <c r="N421" s="1" t="s">
        <v>2548</v>
      </c>
      <c r="O421" s="1" t="s">
        <v>35</v>
      </c>
      <c r="P421" s="1" t="s">
        <v>2546</v>
      </c>
      <c r="Q421" s="1" t="s">
        <v>159</v>
      </c>
      <c r="R421" s="1" t="s">
        <v>37</v>
      </c>
      <c r="S421" s="1" t="s">
        <v>37</v>
      </c>
      <c r="T421" s="1" t="s">
        <v>37</v>
      </c>
      <c r="U421" s="1" t="s">
        <v>37</v>
      </c>
    </row>
    <row r="422" spans="1:21">
      <c r="A422" s="1" t="s">
        <v>2549</v>
      </c>
      <c r="B422" s="1" t="s">
        <v>39</v>
      </c>
      <c r="C422" s="1" t="s">
        <v>40</v>
      </c>
      <c r="D422" s="1" t="s">
        <v>24</v>
      </c>
      <c r="E422" s="1" t="s">
        <v>25</v>
      </c>
      <c r="F422" s="1" t="s">
        <v>117</v>
      </c>
      <c r="G422" s="1" t="s">
        <v>2550</v>
      </c>
      <c r="H422" s="1" t="s">
        <v>119</v>
      </c>
      <c r="I422" s="1" t="s">
        <v>2551</v>
      </c>
      <c r="J422" s="1" t="s">
        <v>2552</v>
      </c>
      <c r="K422" s="1" t="s">
        <v>757</v>
      </c>
      <c r="L422" s="1" t="s">
        <v>2553</v>
      </c>
      <c r="M422" s="1" t="s">
        <v>33</v>
      </c>
      <c r="N422" s="1" t="s">
        <v>2554</v>
      </c>
      <c r="O422" s="1" t="s">
        <v>35</v>
      </c>
      <c r="P422" s="1" t="s">
        <v>2551</v>
      </c>
      <c r="Q422" s="1" t="s">
        <v>311</v>
      </c>
      <c r="R422" s="1" t="s">
        <v>37</v>
      </c>
      <c r="S422" s="1" t="s">
        <v>37</v>
      </c>
      <c r="T422" s="1" t="s">
        <v>37</v>
      </c>
      <c r="U422" s="1" t="s">
        <v>37</v>
      </c>
    </row>
    <row r="423" spans="1:21">
      <c r="A423" s="1" t="s">
        <v>2555</v>
      </c>
      <c r="B423" s="1" t="s">
        <v>39</v>
      </c>
      <c r="C423" s="1" t="s">
        <v>40</v>
      </c>
      <c r="D423" s="1" t="s">
        <v>41</v>
      </c>
      <c r="E423" s="1" t="s">
        <v>25</v>
      </c>
      <c r="F423" s="1" t="s">
        <v>42</v>
      </c>
      <c r="G423" s="1" t="s">
        <v>2556</v>
      </c>
      <c r="H423" s="1" t="s">
        <v>119</v>
      </c>
      <c r="I423" s="1" t="s">
        <v>2557</v>
      </c>
      <c r="J423" s="1" t="s">
        <v>2558</v>
      </c>
      <c r="K423" s="1" t="s">
        <v>629</v>
      </c>
      <c r="L423" s="1" t="s">
        <v>1803</v>
      </c>
      <c r="M423" s="1" t="s">
        <v>49</v>
      </c>
      <c r="N423" s="1" t="s">
        <v>2559</v>
      </c>
      <c r="O423" s="1" t="s">
        <v>35</v>
      </c>
      <c r="P423" s="1" t="s">
        <v>2557</v>
      </c>
      <c r="Q423" s="1" t="s">
        <v>971</v>
      </c>
      <c r="R423" s="1" t="s">
        <v>37</v>
      </c>
      <c r="S423" s="1" t="s">
        <v>37</v>
      </c>
      <c r="T423" s="1" t="s">
        <v>37</v>
      </c>
      <c r="U423" s="1" t="s">
        <v>37</v>
      </c>
    </row>
    <row r="424" spans="1:21">
      <c r="A424" s="1" t="s">
        <v>2560</v>
      </c>
      <c r="B424" s="1" t="s">
        <v>39</v>
      </c>
      <c r="C424" s="1" t="s">
        <v>40</v>
      </c>
      <c r="D424" s="1" t="s">
        <v>24</v>
      </c>
      <c r="E424" s="1" t="s">
        <v>25</v>
      </c>
      <c r="F424" s="1" t="s">
        <v>127</v>
      </c>
      <c r="G424" s="1" t="s">
        <v>2561</v>
      </c>
      <c r="H424" s="1" t="s">
        <v>99</v>
      </c>
      <c r="I424" s="1" t="s">
        <v>2562</v>
      </c>
      <c r="J424" s="1" t="s">
        <v>2563</v>
      </c>
      <c r="K424" s="1" t="s">
        <v>76</v>
      </c>
      <c r="L424" s="1" t="s">
        <v>989</v>
      </c>
      <c r="M424" s="1" t="s">
        <v>59</v>
      </c>
      <c r="N424" s="1" t="s">
        <v>2564</v>
      </c>
      <c r="O424" s="1" t="s">
        <v>35</v>
      </c>
      <c r="P424" s="1" t="s">
        <v>2562</v>
      </c>
      <c r="Q424" s="1" t="s">
        <v>576</v>
      </c>
      <c r="R424" s="1" t="s">
        <v>37</v>
      </c>
      <c r="S424" s="1" t="s">
        <v>37</v>
      </c>
      <c r="T424" s="1" t="s">
        <v>37</v>
      </c>
      <c r="U424" s="1" t="s">
        <v>37</v>
      </c>
    </row>
    <row r="425" spans="1:21">
      <c r="A425" s="1" t="s">
        <v>2565</v>
      </c>
      <c r="B425" s="1" t="s">
        <v>115</v>
      </c>
      <c r="C425" s="1" t="s">
        <v>116</v>
      </c>
      <c r="D425" s="1" t="s">
        <v>24</v>
      </c>
      <c r="E425" s="1" t="s">
        <v>992</v>
      </c>
      <c r="F425" s="1" t="s">
        <v>127</v>
      </c>
      <c r="G425" s="1" t="s">
        <v>2566</v>
      </c>
      <c r="H425" s="1" t="s">
        <v>64</v>
      </c>
      <c r="I425" s="1" t="s">
        <v>2567</v>
      </c>
      <c r="J425" s="1" t="s">
        <v>2568</v>
      </c>
      <c r="K425" s="1" t="s">
        <v>412</v>
      </c>
      <c r="L425" s="1" t="s">
        <v>1123</v>
      </c>
      <c r="M425" s="1" t="s">
        <v>59</v>
      </c>
      <c r="N425" s="1" t="s">
        <v>2569</v>
      </c>
      <c r="O425" s="1" t="s">
        <v>35</v>
      </c>
      <c r="P425" s="1" t="s">
        <v>2567</v>
      </c>
      <c r="Q425" s="1" t="s">
        <v>257</v>
      </c>
      <c r="R425" s="1" t="s">
        <v>37</v>
      </c>
      <c r="S425" s="1" t="s">
        <v>37</v>
      </c>
      <c r="T425" s="1" t="s">
        <v>37</v>
      </c>
      <c r="U425" s="1" t="s">
        <v>37</v>
      </c>
    </row>
    <row r="426" spans="1:21">
      <c r="A426" s="1" t="s">
        <v>2570</v>
      </c>
      <c r="B426" s="1" t="s">
        <v>39</v>
      </c>
      <c r="C426" s="1" t="s">
        <v>40</v>
      </c>
      <c r="D426" s="1" t="s">
        <v>41</v>
      </c>
      <c r="E426" s="1" t="s">
        <v>992</v>
      </c>
      <c r="F426" s="1" t="s">
        <v>127</v>
      </c>
      <c r="G426" s="1" t="s">
        <v>2571</v>
      </c>
      <c r="H426" s="1" t="s">
        <v>253</v>
      </c>
      <c r="I426" s="1" t="s">
        <v>2572</v>
      </c>
      <c r="J426" s="1" t="s">
        <v>2573</v>
      </c>
      <c r="K426" s="1" t="s">
        <v>140</v>
      </c>
      <c r="L426" s="1" t="s">
        <v>278</v>
      </c>
      <c r="M426" s="1" t="s">
        <v>49</v>
      </c>
      <c r="N426" s="1" t="s">
        <v>2571</v>
      </c>
      <c r="O426" s="1" t="s">
        <v>35</v>
      </c>
      <c r="P426" s="1" t="s">
        <v>2572</v>
      </c>
      <c r="Q426" s="1" t="s">
        <v>44</v>
      </c>
      <c r="R426" s="1" t="s">
        <v>37</v>
      </c>
      <c r="S426" s="1" t="s">
        <v>37</v>
      </c>
      <c r="T426" s="1" t="s">
        <v>37</v>
      </c>
      <c r="U426" s="1" t="s">
        <v>37</v>
      </c>
    </row>
    <row r="427" spans="1:21">
      <c r="A427" s="1" t="s">
        <v>2574</v>
      </c>
      <c r="B427" s="1" t="s">
        <v>115</v>
      </c>
      <c r="C427" s="1" t="s">
        <v>116</v>
      </c>
      <c r="D427" s="1" t="s">
        <v>24</v>
      </c>
      <c r="E427" s="1" t="s">
        <v>992</v>
      </c>
      <c r="F427" s="1" t="s">
        <v>127</v>
      </c>
      <c r="G427" s="1" t="s">
        <v>2575</v>
      </c>
      <c r="H427" s="1" t="s">
        <v>275</v>
      </c>
      <c r="I427" s="1" t="s">
        <v>2576</v>
      </c>
      <c r="J427" s="1" t="s">
        <v>2577</v>
      </c>
      <c r="K427" s="1" t="s">
        <v>668</v>
      </c>
      <c r="L427" s="1" t="s">
        <v>502</v>
      </c>
      <c r="M427" s="1" t="s">
        <v>49</v>
      </c>
      <c r="N427" s="1" t="s">
        <v>2578</v>
      </c>
      <c r="O427" s="1" t="s">
        <v>35</v>
      </c>
      <c r="P427" s="1" t="s">
        <v>2576</v>
      </c>
      <c r="Q427" s="1" t="s">
        <v>28</v>
      </c>
      <c r="R427" s="1" t="s">
        <v>37</v>
      </c>
      <c r="S427" s="1" t="s">
        <v>37</v>
      </c>
      <c r="T427" s="1" t="s">
        <v>37</v>
      </c>
      <c r="U427" s="1" t="s">
        <v>37</v>
      </c>
    </row>
    <row r="428" spans="1:21">
      <c r="A428" s="1" t="s">
        <v>2579</v>
      </c>
      <c r="B428" s="1" t="s">
        <v>22</v>
      </c>
      <c r="C428" s="1" t="s">
        <v>23</v>
      </c>
      <c r="D428" s="1" t="s">
        <v>24</v>
      </c>
      <c r="E428" s="1" t="s">
        <v>992</v>
      </c>
      <c r="F428" s="1" t="s">
        <v>26</v>
      </c>
      <c r="G428" s="1" t="s">
        <v>2580</v>
      </c>
      <c r="H428" s="1" t="s">
        <v>28</v>
      </c>
      <c r="I428" s="1" t="s">
        <v>2581</v>
      </c>
      <c r="J428" s="1" t="s">
        <v>2582</v>
      </c>
      <c r="K428" s="1" t="s">
        <v>195</v>
      </c>
      <c r="L428" s="1" t="s">
        <v>1825</v>
      </c>
      <c r="M428" s="1" t="s">
        <v>49</v>
      </c>
      <c r="N428" s="1" t="s">
        <v>2583</v>
      </c>
      <c r="O428" s="1" t="s">
        <v>35</v>
      </c>
      <c r="P428" s="1" t="s">
        <v>2581</v>
      </c>
      <c r="Q428" s="1" t="s">
        <v>1655</v>
      </c>
      <c r="R428" s="1" t="s">
        <v>37</v>
      </c>
      <c r="S428" s="1" t="s">
        <v>37</v>
      </c>
      <c r="T428" s="1" t="s">
        <v>37</v>
      </c>
      <c r="U428" s="1" t="s">
        <v>37</v>
      </c>
    </row>
    <row r="429" spans="1:21">
      <c r="A429" s="1" t="s">
        <v>2584</v>
      </c>
      <c r="B429" s="1" t="s">
        <v>115</v>
      </c>
      <c r="C429" s="1" t="s">
        <v>116</v>
      </c>
      <c r="D429" s="1" t="s">
        <v>24</v>
      </c>
      <c r="E429" s="1" t="s">
        <v>25</v>
      </c>
      <c r="F429" s="1" t="s">
        <v>117</v>
      </c>
      <c r="G429" s="1" t="s">
        <v>2585</v>
      </c>
      <c r="H429" s="1" t="s">
        <v>119</v>
      </c>
      <c r="I429" s="1" t="s">
        <v>2586</v>
      </c>
      <c r="J429" s="1" t="s">
        <v>2587</v>
      </c>
      <c r="K429" s="1" t="s">
        <v>1408</v>
      </c>
      <c r="L429" s="1" t="s">
        <v>2588</v>
      </c>
      <c r="M429" s="1" t="s">
        <v>59</v>
      </c>
      <c r="N429" s="1" t="s">
        <v>2589</v>
      </c>
      <c r="O429" s="1" t="s">
        <v>35</v>
      </c>
      <c r="P429" s="1" t="s">
        <v>2586</v>
      </c>
      <c r="Q429" s="1" t="s">
        <v>64</v>
      </c>
      <c r="R429" s="1" t="s">
        <v>37</v>
      </c>
      <c r="S429" s="1" t="s">
        <v>37</v>
      </c>
      <c r="T429" s="1" t="s">
        <v>37</v>
      </c>
      <c r="U429" s="1" t="s">
        <v>37</v>
      </c>
    </row>
    <row r="430" spans="1:21">
      <c r="A430" s="1" t="s">
        <v>2590</v>
      </c>
      <c r="B430" s="1" t="s">
        <v>115</v>
      </c>
      <c r="C430" s="1" t="s">
        <v>116</v>
      </c>
      <c r="D430" s="1" t="s">
        <v>41</v>
      </c>
      <c r="E430" s="1" t="s">
        <v>992</v>
      </c>
      <c r="F430" s="1" t="s">
        <v>72</v>
      </c>
      <c r="G430" s="1" t="s">
        <v>2591</v>
      </c>
      <c r="H430" s="1" t="s">
        <v>44</v>
      </c>
      <c r="I430" s="1" t="s">
        <v>2592</v>
      </c>
      <c r="J430" s="1" t="s">
        <v>2593</v>
      </c>
      <c r="K430" s="1" t="s">
        <v>391</v>
      </c>
      <c r="L430" s="1" t="s">
        <v>2078</v>
      </c>
      <c r="M430" s="1" t="s">
        <v>49</v>
      </c>
      <c r="N430" s="1" t="s">
        <v>2594</v>
      </c>
      <c r="O430" s="1" t="s">
        <v>35</v>
      </c>
      <c r="P430" s="1" t="s">
        <v>2592</v>
      </c>
      <c r="Q430" s="1" t="s">
        <v>190</v>
      </c>
      <c r="R430" s="1" t="s">
        <v>37</v>
      </c>
      <c r="S430" s="1" t="s">
        <v>37</v>
      </c>
      <c r="T430" s="1" t="s">
        <v>37</v>
      </c>
      <c r="U430" s="1" t="s">
        <v>37</v>
      </c>
    </row>
    <row r="431" spans="1:21">
      <c r="A431" s="1" t="s">
        <v>2595</v>
      </c>
      <c r="B431" s="1" t="s">
        <v>22</v>
      </c>
      <c r="C431" s="1" t="s">
        <v>23</v>
      </c>
      <c r="D431" s="1" t="s">
        <v>24</v>
      </c>
      <c r="E431" s="1" t="s">
        <v>25</v>
      </c>
      <c r="F431" s="1" t="s">
        <v>53</v>
      </c>
      <c r="G431" s="1" t="s">
        <v>2596</v>
      </c>
      <c r="H431" s="1" t="s">
        <v>99</v>
      </c>
      <c r="I431" s="1" t="s">
        <v>2597</v>
      </c>
      <c r="J431" s="1" t="s">
        <v>2598</v>
      </c>
      <c r="K431" s="1" t="s">
        <v>47</v>
      </c>
      <c r="L431" s="1" t="s">
        <v>1266</v>
      </c>
      <c r="M431" s="1" t="s">
        <v>33</v>
      </c>
      <c r="N431" s="1" t="s">
        <v>2599</v>
      </c>
      <c r="O431" s="1" t="s">
        <v>35</v>
      </c>
      <c r="P431" s="1" t="s">
        <v>2597</v>
      </c>
      <c r="Q431" s="1" t="s">
        <v>663</v>
      </c>
      <c r="R431" s="1" t="s">
        <v>37</v>
      </c>
      <c r="S431" s="1" t="s">
        <v>37</v>
      </c>
      <c r="T431" s="1" t="s">
        <v>37</v>
      </c>
      <c r="U431" s="1" t="s">
        <v>37</v>
      </c>
    </row>
    <row r="432" spans="1:21">
      <c r="A432" s="1" t="s">
        <v>2600</v>
      </c>
      <c r="B432" s="1" t="s">
        <v>115</v>
      </c>
      <c r="C432" s="1" t="s">
        <v>116</v>
      </c>
      <c r="D432" s="1" t="s">
        <v>41</v>
      </c>
      <c r="E432" s="1" t="s">
        <v>992</v>
      </c>
      <c r="F432" s="1" t="s">
        <v>127</v>
      </c>
      <c r="G432" s="1" t="s">
        <v>2601</v>
      </c>
      <c r="H432" s="1" t="s">
        <v>107</v>
      </c>
      <c r="I432" s="1" t="s">
        <v>2602</v>
      </c>
      <c r="J432" s="1" t="s">
        <v>2603</v>
      </c>
      <c r="K432" s="1" t="s">
        <v>1452</v>
      </c>
      <c r="L432" s="1" t="s">
        <v>271</v>
      </c>
      <c r="M432" s="1" t="s">
        <v>59</v>
      </c>
      <c r="N432" s="1" t="s">
        <v>2604</v>
      </c>
      <c r="O432" s="1" t="s">
        <v>35</v>
      </c>
      <c r="P432" s="1" t="s">
        <v>2602</v>
      </c>
      <c r="Q432" s="1" t="s">
        <v>190</v>
      </c>
      <c r="R432" s="1" t="s">
        <v>37</v>
      </c>
      <c r="S432" s="1" t="s">
        <v>37</v>
      </c>
      <c r="T432" s="1" t="s">
        <v>37</v>
      </c>
      <c r="U432" s="1" t="s">
        <v>37</v>
      </c>
    </row>
    <row r="433" spans="1:21">
      <c r="A433" s="1" t="s">
        <v>2605</v>
      </c>
      <c r="B433" s="1" t="s">
        <v>39</v>
      </c>
      <c r="C433" s="1" t="s">
        <v>40</v>
      </c>
      <c r="D433" s="1" t="s">
        <v>41</v>
      </c>
      <c r="E433" s="1" t="s">
        <v>992</v>
      </c>
      <c r="F433" s="1" t="s">
        <v>117</v>
      </c>
      <c r="G433" s="1" t="s">
        <v>2606</v>
      </c>
      <c r="H433" s="1" t="s">
        <v>107</v>
      </c>
      <c r="I433" s="1" t="s">
        <v>2607</v>
      </c>
      <c r="J433" s="1" t="s">
        <v>2608</v>
      </c>
      <c r="K433" s="1" t="s">
        <v>47</v>
      </c>
      <c r="L433" s="1" t="s">
        <v>2609</v>
      </c>
      <c r="M433" s="1" t="s">
        <v>33</v>
      </c>
      <c r="N433" s="1" t="s">
        <v>2610</v>
      </c>
      <c r="O433" s="1" t="s">
        <v>35</v>
      </c>
      <c r="P433" s="1" t="s">
        <v>2607</v>
      </c>
      <c r="Q433" s="1" t="s">
        <v>167</v>
      </c>
      <c r="R433" s="1" t="s">
        <v>37</v>
      </c>
      <c r="S433" s="1" t="s">
        <v>37</v>
      </c>
      <c r="T433" s="1" t="s">
        <v>37</v>
      </c>
      <c r="U433" s="1" t="s">
        <v>37</v>
      </c>
    </row>
    <row r="434" spans="1:21">
      <c r="A434" s="1" t="s">
        <v>2611</v>
      </c>
      <c r="B434" s="1" t="s">
        <v>22</v>
      </c>
      <c r="C434" s="1" t="s">
        <v>23</v>
      </c>
      <c r="D434" s="1" t="s">
        <v>41</v>
      </c>
      <c r="E434" s="1" t="s">
        <v>25</v>
      </c>
      <c r="F434" s="1" t="s">
        <v>42</v>
      </c>
      <c r="G434" s="1" t="s">
        <v>2612</v>
      </c>
      <c r="H434" s="1" t="s">
        <v>90</v>
      </c>
      <c r="I434" s="1" t="s">
        <v>2613</v>
      </c>
      <c r="J434" s="1" t="s">
        <v>2614</v>
      </c>
      <c r="K434" s="1" t="s">
        <v>588</v>
      </c>
      <c r="L434" s="1" t="s">
        <v>1489</v>
      </c>
      <c r="M434" s="1" t="s">
        <v>33</v>
      </c>
      <c r="N434" s="1" t="s">
        <v>2615</v>
      </c>
      <c r="O434" s="1" t="s">
        <v>35</v>
      </c>
      <c r="P434" s="1" t="s">
        <v>2613</v>
      </c>
      <c r="Q434" s="1" t="s">
        <v>544</v>
      </c>
      <c r="R434" s="1" t="s">
        <v>37</v>
      </c>
      <c r="S434" s="1" t="s">
        <v>37</v>
      </c>
      <c r="T434" s="1" t="s">
        <v>37</v>
      </c>
      <c r="U434" s="1" t="s">
        <v>37</v>
      </c>
    </row>
    <row r="435" spans="1:21">
      <c r="A435" s="1" t="s">
        <v>2616</v>
      </c>
      <c r="B435" s="1" t="s">
        <v>115</v>
      </c>
      <c r="C435" s="1" t="s">
        <v>116</v>
      </c>
      <c r="D435" s="1" t="s">
        <v>41</v>
      </c>
      <c r="E435" s="1" t="s">
        <v>992</v>
      </c>
      <c r="F435" s="1" t="s">
        <v>127</v>
      </c>
      <c r="G435" s="1" t="s">
        <v>2617</v>
      </c>
      <c r="H435" s="1" t="s">
        <v>28</v>
      </c>
      <c r="I435" s="1" t="s">
        <v>2618</v>
      </c>
      <c r="J435" s="1" t="s">
        <v>2619</v>
      </c>
      <c r="K435" s="1" t="s">
        <v>140</v>
      </c>
      <c r="L435" s="1" t="s">
        <v>94</v>
      </c>
      <c r="M435" s="1" t="s">
        <v>59</v>
      </c>
      <c r="N435" s="1" t="s">
        <v>2620</v>
      </c>
      <c r="O435" s="1" t="s">
        <v>35</v>
      </c>
      <c r="P435" s="1" t="s">
        <v>2618</v>
      </c>
      <c r="Q435" s="1" t="s">
        <v>51</v>
      </c>
      <c r="R435" s="1" t="s">
        <v>37</v>
      </c>
      <c r="S435" s="1" t="s">
        <v>37</v>
      </c>
      <c r="T435" s="1" t="s">
        <v>37</v>
      </c>
      <c r="U435" s="1" t="s">
        <v>37</v>
      </c>
    </row>
    <row r="436" spans="1:21">
      <c r="A436" s="1" t="s">
        <v>2621</v>
      </c>
      <c r="B436" s="1" t="s">
        <v>115</v>
      </c>
      <c r="C436" s="1" t="s">
        <v>116</v>
      </c>
      <c r="D436" s="1" t="s">
        <v>41</v>
      </c>
      <c r="E436" s="1" t="s">
        <v>25</v>
      </c>
      <c r="F436" s="1" t="s">
        <v>127</v>
      </c>
      <c r="G436" s="1" t="s">
        <v>2622</v>
      </c>
      <c r="H436" s="1" t="s">
        <v>253</v>
      </c>
      <c r="I436" s="1" t="s">
        <v>2623</v>
      </c>
      <c r="J436" s="1" t="s">
        <v>2624</v>
      </c>
      <c r="K436" s="1" t="s">
        <v>1008</v>
      </c>
      <c r="L436" s="1" t="s">
        <v>764</v>
      </c>
      <c r="M436" s="1" t="s">
        <v>59</v>
      </c>
      <c r="N436" s="1" t="s">
        <v>2622</v>
      </c>
      <c r="O436" s="1" t="s">
        <v>35</v>
      </c>
      <c r="P436" s="1" t="s">
        <v>2623</v>
      </c>
      <c r="Q436" s="1" t="s">
        <v>143</v>
      </c>
      <c r="R436" s="1" t="s">
        <v>37</v>
      </c>
      <c r="S436" s="1" t="s">
        <v>37</v>
      </c>
      <c r="T436" s="1" t="s">
        <v>37</v>
      </c>
      <c r="U436" s="1" t="s">
        <v>37</v>
      </c>
    </row>
    <row r="437" spans="1:21">
      <c r="A437" s="1" t="s">
        <v>2625</v>
      </c>
      <c r="B437" s="1" t="s">
        <v>39</v>
      </c>
      <c r="C437" s="1" t="s">
        <v>40</v>
      </c>
      <c r="D437" s="1" t="s">
        <v>41</v>
      </c>
      <c r="E437" s="1" t="s">
        <v>992</v>
      </c>
      <c r="F437" s="1" t="s">
        <v>72</v>
      </c>
      <c r="G437" s="1" t="s">
        <v>2626</v>
      </c>
      <c r="H437" s="1" t="s">
        <v>275</v>
      </c>
      <c r="I437" s="1" t="s">
        <v>2627</v>
      </c>
      <c r="J437" s="1" t="s">
        <v>2628</v>
      </c>
      <c r="K437" s="1" t="s">
        <v>412</v>
      </c>
      <c r="L437" s="1" t="s">
        <v>2050</v>
      </c>
      <c r="M437" s="1" t="s">
        <v>33</v>
      </c>
      <c r="N437" s="1" t="s">
        <v>2629</v>
      </c>
      <c r="O437" s="1" t="s">
        <v>35</v>
      </c>
      <c r="P437" s="1" t="s">
        <v>2627</v>
      </c>
      <c r="Q437" s="1" t="s">
        <v>275</v>
      </c>
      <c r="R437" s="1" t="s">
        <v>37</v>
      </c>
      <c r="S437" s="1" t="s">
        <v>37</v>
      </c>
      <c r="T437" s="1" t="s">
        <v>37</v>
      </c>
      <c r="U437" s="1" t="s">
        <v>37</v>
      </c>
    </row>
    <row r="438" spans="1:21">
      <c r="A438" s="1" t="s">
        <v>2630</v>
      </c>
      <c r="B438" s="1" t="s">
        <v>39</v>
      </c>
      <c r="C438" s="1" t="s">
        <v>40</v>
      </c>
      <c r="D438" s="1" t="s">
        <v>24</v>
      </c>
      <c r="E438" s="1" t="s">
        <v>992</v>
      </c>
      <c r="F438" s="1" t="s">
        <v>72</v>
      </c>
      <c r="G438" s="1" t="s">
        <v>2631</v>
      </c>
      <c r="H438" s="1" t="s">
        <v>129</v>
      </c>
      <c r="I438" s="1" t="s">
        <v>2632</v>
      </c>
      <c r="J438" s="1" t="s">
        <v>2633</v>
      </c>
      <c r="K438" s="1" t="s">
        <v>473</v>
      </c>
      <c r="L438" s="1" t="s">
        <v>2634</v>
      </c>
      <c r="M438" s="1" t="s">
        <v>33</v>
      </c>
      <c r="N438" s="1" t="s">
        <v>2635</v>
      </c>
      <c r="O438" s="1" t="s">
        <v>35</v>
      </c>
      <c r="P438" s="1" t="s">
        <v>2632</v>
      </c>
      <c r="Q438" s="1" t="s">
        <v>51</v>
      </c>
      <c r="R438" s="1" t="s">
        <v>37</v>
      </c>
      <c r="S438" s="1" t="s">
        <v>37</v>
      </c>
      <c r="T438" s="1" t="s">
        <v>37</v>
      </c>
      <c r="U438" s="1" t="s">
        <v>37</v>
      </c>
    </row>
    <row r="439" spans="1:21">
      <c r="A439" s="1" t="s">
        <v>2636</v>
      </c>
      <c r="B439" s="1" t="s">
        <v>22</v>
      </c>
      <c r="C439" s="1" t="s">
        <v>23</v>
      </c>
      <c r="D439" s="1" t="s">
        <v>41</v>
      </c>
      <c r="E439" s="1" t="s">
        <v>992</v>
      </c>
      <c r="F439" s="1" t="s">
        <v>53</v>
      </c>
      <c r="G439" s="1" t="s">
        <v>2637</v>
      </c>
      <c r="H439" s="1" t="s">
        <v>90</v>
      </c>
      <c r="I439" s="1" t="s">
        <v>2638</v>
      </c>
      <c r="J439" s="1" t="s">
        <v>2639</v>
      </c>
      <c r="K439" s="1" t="s">
        <v>47</v>
      </c>
      <c r="L439" s="1" t="s">
        <v>2640</v>
      </c>
      <c r="M439" s="1" t="s">
        <v>59</v>
      </c>
      <c r="N439" s="1" t="s">
        <v>2641</v>
      </c>
      <c r="O439" s="1" t="s">
        <v>35</v>
      </c>
      <c r="P439" s="1" t="s">
        <v>2638</v>
      </c>
      <c r="Q439" s="1" t="s">
        <v>265</v>
      </c>
      <c r="R439" s="1" t="s">
        <v>37</v>
      </c>
      <c r="S439" s="1" t="s">
        <v>37</v>
      </c>
      <c r="T439" s="1" t="s">
        <v>37</v>
      </c>
      <c r="U439" s="1" t="s">
        <v>37</v>
      </c>
    </row>
    <row r="440" spans="1:21">
      <c r="A440" s="1" t="s">
        <v>2642</v>
      </c>
      <c r="B440" s="1" t="s">
        <v>39</v>
      </c>
      <c r="C440" s="1" t="s">
        <v>40</v>
      </c>
      <c r="D440" s="1" t="s">
        <v>24</v>
      </c>
      <c r="E440" s="1" t="s">
        <v>992</v>
      </c>
      <c r="F440" s="1" t="s">
        <v>117</v>
      </c>
      <c r="G440" s="1" t="s">
        <v>2643</v>
      </c>
      <c r="H440" s="1" t="s">
        <v>129</v>
      </c>
      <c r="I440" s="1" t="s">
        <v>2644</v>
      </c>
      <c r="J440" s="1" t="s">
        <v>2645</v>
      </c>
      <c r="K440" s="1" t="s">
        <v>47</v>
      </c>
      <c r="L440" s="1" t="s">
        <v>2646</v>
      </c>
      <c r="M440" s="1" t="s">
        <v>33</v>
      </c>
      <c r="N440" s="1" t="s">
        <v>2647</v>
      </c>
      <c r="O440" s="1" t="s">
        <v>35</v>
      </c>
      <c r="P440" s="1" t="s">
        <v>2644</v>
      </c>
      <c r="Q440" s="1" t="s">
        <v>28</v>
      </c>
      <c r="R440" s="1" t="s">
        <v>37</v>
      </c>
      <c r="S440" s="1" t="s">
        <v>37</v>
      </c>
      <c r="T440" s="1" t="s">
        <v>37</v>
      </c>
      <c r="U440" s="1" t="s">
        <v>37</v>
      </c>
    </row>
    <row r="441" spans="1:21">
      <c r="A441" s="1" t="s">
        <v>2648</v>
      </c>
      <c r="B441" s="1" t="s">
        <v>39</v>
      </c>
      <c r="C441" s="1" t="s">
        <v>40</v>
      </c>
      <c r="D441" s="1" t="s">
        <v>41</v>
      </c>
      <c r="E441" s="1" t="s">
        <v>25</v>
      </c>
      <c r="F441" s="1" t="s">
        <v>42</v>
      </c>
      <c r="G441" s="1" t="s">
        <v>2649</v>
      </c>
      <c r="H441" s="1" t="s">
        <v>64</v>
      </c>
      <c r="I441" s="1" t="s">
        <v>2650</v>
      </c>
      <c r="J441" s="1" t="s">
        <v>2651</v>
      </c>
      <c r="K441" s="1" t="s">
        <v>156</v>
      </c>
      <c r="L441" s="1" t="s">
        <v>1845</v>
      </c>
      <c r="M441" s="1" t="s">
        <v>59</v>
      </c>
      <c r="N441" s="1" t="s">
        <v>2652</v>
      </c>
      <c r="O441" s="1" t="s">
        <v>35</v>
      </c>
      <c r="P441" s="1" t="s">
        <v>2650</v>
      </c>
      <c r="Q441" s="1" t="s">
        <v>434</v>
      </c>
      <c r="R441" s="1" t="s">
        <v>37</v>
      </c>
      <c r="S441" s="1" t="s">
        <v>37</v>
      </c>
      <c r="T441" s="1" t="s">
        <v>37</v>
      </c>
      <c r="U441" s="1" t="s">
        <v>37</v>
      </c>
    </row>
    <row r="442" spans="1:21">
      <c r="A442" s="1" t="s">
        <v>2653</v>
      </c>
      <c r="B442" s="1" t="s">
        <v>39</v>
      </c>
      <c r="C442" s="1" t="s">
        <v>40</v>
      </c>
      <c r="D442" s="1" t="s">
        <v>24</v>
      </c>
      <c r="E442" s="1" t="s">
        <v>992</v>
      </c>
      <c r="F442" s="1" t="s">
        <v>117</v>
      </c>
      <c r="G442" s="1" t="s">
        <v>2654</v>
      </c>
      <c r="H442" s="1" t="s">
        <v>44</v>
      </c>
      <c r="I442" s="1" t="s">
        <v>2655</v>
      </c>
      <c r="J442" s="1" t="s">
        <v>2027</v>
      </c>
      <c r="K442" s="1" t="s">
        <v>172</v>
      </c>
      <c r="L442" s="1" t="s">
        <v>983</v>
      </c>
      <c r="M442" s="1" t="s">
        <v>49</v>
      </c>
      <c r="N442" s="1" t="s">
        <v>2656</v>
      </c>
      <c r="O442" s="1" t="s">
        <v>35</v>
      </c>
      <c r="P442" s="1" t="s">
        <v>2655</v>
      </c>
      <c r="Q442" s="1" t="s">
        <v>407</v>
      </c>
      <c r="R442" s="1" t="s">
        <v>37</v>
      </c>
      <c r="S442" s="1" t="s">
        <v>37</v>
      </c>
      <c r="T442" s="1" t="s">
        <v>37</v>
      </c>
      <c r="U442" s="1" t="s">
        <v>37</v>
      </c>
    </row>
    <row r="443" spans="1:21">
      <c r="A443" s="1" t="s">
        <v>2657</v>
      </c>
      <c r="B443" s="1" t="s">
        <v>115</v>
      </c>
      <c r="C443" s="1" t="s">
        <v>116</v>
      </c>
      <c r="D443" s="1" t="s">
        <v>24</v>
      </c>
      <c r="E443" s="1" t="s">
        <v>25</v>
      </c>
      <c r="F443" s="1" t="s">
        <v>72</v>
      </c>
      <c r="G443" s="1" t="s">
        <v>2658</v>
      </c>
      <c r="H443" s="1" t="s">
        <v>64</v>
      </c>
      <c r="I443" s="1" t="s">
        <v>2659</v>
      </c>
      <c r="J443" s="1" t="s">
        <v>2660</v>
      </c>
      <c r="K443" s="1" t="s">
        <v>247</v>
      </c>
      <c r="L443" s="1" t="s">
        <v>2661</v>
      </c>
      <c r="M443" s="1" t="s">
        <v>59</v>
      </c>
      <c r="N443" s="1" t="s">
        <v>2662</v>
      </c>
      <c r="O443" s="1" t="s">
        <v>35</v>
      </c>
      <c r="P443" s="1" t="s">
        <v>2659</v>
      </c>
      <c r="Q443" s="1" t="s">
        <v>550</v>
      </c>
      <c r="R443" s="1" t="s">
        <v>37</v>
      </c>
      <c r="S443" s="1" t="s">
        <v>37</v>
      </c>
      <c r="T443" s="1" t="s">
        <v>37</v>
      </c>
      <c r="U443" s="1" t="s">
        <v>37</v>
      </c>
    </row>
    <row r="444" spans="1:21">
      <c r="A444" s="1" t="s">
        <v>2663</v>
      </c>
      <c r="B444" s="1" t="s">
        <v>22</v>
      </c>
      <c r="C444" s="1" t="s">
        <v>23</v>
      </c>
      <c r="D444" s="1" t="s">
        <v>24</v>
      </c>
      <c r="E444" s="1" t="s">
        <v>25</v>
      </c>
      <c r="F444" s="1" t="s">
        <v>53</v>
      </c>
      <c r="G444" s="1" t="s">
        <v>2664</v>
      </c>
      <c r="H444" s="1" t="s">
        <v>275</v>
      </c>
      <c r="I444" s="1" t="s">
        <v>2665</v>
      </c>
      <c r="J444" s="1" t="s">
        <v>2666</v>
      </c>
      <c r="K444" s="1" t="s">
        <v>172</v>
      </c>
      <c r="L444" s="1" t="s">
        <v>2667</v>
      </c>
      <c r="M444" s="1" t="s">
        <v>59</v>
      </c>
      <c r="N444" s="1" t="s">
        <v>2668</v>
      </c>
      <c r="O444" s="1" t="s">
        <v>35</v>
      </c>
      <c r="P444" s="1" t="s">
        <v>2665</v>
      </c>
      <c r="Q444" s="1" t="s">
        <v>434</v>
      </c>
      <c r="R444" s="1" t="s">
        <v>37</v>
      </c>
      <c r="S444" s="1" t="s">
        <v>37</v>
      </c>
      <c r="T444" s="1" t="s">
        <v>37</v>
      </c>
      <c r="U444" s="1" t="s">
        <v>37</v>
      </c>
    </row>
    <row r="445" spans="1:21">
      <c r="A445" s="1" t="s">
        <v>2669</v>
      </c>
      <c r="B445" s="1" t="s">
        <v>39</v>
      </c>
      <c r="C445" s="1" t="s">
        <v>40</v>
      </c>
      <c r="D445" s="1" t="s">
        <v>41</v>
      </c>
      <c r="E445" s="1" t="s">
        <v>992</v>
      </c>
      <c r="F445" s="1" t="s">
        <v>127</v>
      </c>
      <c r="G445" s="1" t="s">
        <v>2670</v>
      </c>
      <c r="H445" s="1" t="s">
        <v>253</v>
      </c>
      <c r="I445" s="1" t="s">
        <v>2671</v>
      </c>
      <c r="J445" s="1" t="s">
        <v>2672</v>
      </c>
      <c r="K445" s="1" t="s">
        <v>906</v>
      </c>
      <c r="L445" s="1" t="s">
        <v>2673</v>
      </c>
      <c r="M445" s="1" t="s">
        <v>33</v>
      </c>
      <c r="N445" s="1" t="s">
        <v>2670</v>
      </c>
      <c r="O445" s="1" t="s">
        <v>35</v>
      </c>
      <c r="P445" s="1" t="s">
        <v>2671</v>
      </c>
      <c r="Q445" s="1" t="s">
        <v>386</v>
      </c>
      <c r="R445" s="1" t="s">
        <v>37</v>
      </c>
      <c r="S445" s="1" t="s">
        <v>37</v>
      </c>
      <c r="T445" s="1" t="s">
        <v>37</v>
      </c>
      <c r="U445" s="1" t="s">
        <v>37</v>
      </c>
    </row>
    <row r="446" spans="1:21">
      <c r="A446" s="1" t="s">
        <v>2674</v>
      </c>
      <c r="B446" s="1" t="s">
        <v>22</v>
      </c>
      <c r="C446" s="1" t="s">
        <v>23</v>
      </c>
      <c r="D446" s="1" t="s">
        <v>41</v>
      </c>
      <c r="E446" s="1" t="s">
        <v>25</v>
      </c>
      <c r="F446" s="1" t="s">
        <v>72</v>
      </c>
      <c r="G446" s="1" t="s">
        <v>2675</v>
      </c>
      <c r="H446" s="1" t="s">
        <v>28</v>
      </c>
      <c r="I446" s="1" t="s">
        <v>2676</v>
      </c>
      <c r="J446" s="1" t="s">
        <v>2677</v>
      </c>
      <c r="K446" s="1" t="s">
        <v>172</v>
      </c>
      <c r="L446" s="1" t="s">
        <v>789</v>
      </c>
      <c r="M446" s="1" t="s">
        <v>49</v>
      </c>
      <c r="N446" s="1" t="s">
        <v>2678</v>
      </c>
      <c r="O446" s="1" t="s">
        <v>35</v>
      </c>
      <c r="P446" s="1" t="s">
        <v>2676</v>
      </c>
      <c r="Q446" s="1" t="s">
        <v>1089</v>
      </c>
      <c r="R446" s="1" t="s">
        <v>37</v>
      </c>
      <c r="S446" s="1" t="s">
        <v>37</v>
      </c>
      <c r="T446" s="1" t="s">
        <v>37</v>
      </c>
      <c r="U446" s="1" t="s">
        <v>37</v>
      </c>
    </row>
    <row r="447" spans="1:21">
      <c r="A447" s="1" t="s">
        <v>2679</v>
      </c>
      <c r="B447" s="1" t="s">
        <v>115</v>
      </c>
      <c r="C447" s="1" t="s">
        <v>116</v>
      </c>
      <c r="D447" s="1" t="s">
        <v>24</v>
      </c>
      <c r="E447" s="1" t="s">
        <v>25</v>
      </c>
      <c r="F447" s="1" t="s">
        <v>26</v>
      </c>
      <c r="G447" s="1" t="s">
        <v>1335</v>
      </c>
      <c r="H447" s="1" t="s">
        <v>253</v>
      </c>
      <c r="I447" s="1" t="s">
        <v>2680</v>
      </c>
      <c r="J447" s="1" t="s">
        <v>2681</v>
      </c>
      <c r="K447" s="1" t="s">
        <v>290</v>
      </c>
      <c r="L447" s="1" t="s">
        <v>2682</v>
      </c>
      <c r="M447" s="1" t="s">
        <v>59</v>
      </c>
      <c r="N447" s="1" t="s">
        <v>1335</v>
      </c>
      <c r="O447" s="1" t="s">
        <v>35</v>
      </c>
      <c r="P447" s="1" t="s">
        <v>2680</v>
      </c>
      <c r="Q447" s="1" t="s">
        <v>386</v>
      </c>
      <c r="R447" s="1" t="s">
        <v>37</v>
      </c>
      <c r="S447" s="1" t="s">
        <v>37</v>
      </c>
      <c r="T447" s="1" t="s">
        <v>37</v>
      </c>
      <c r="U447" s="1" t="s">
        <v>37</v>
      </c>
    </row>
    <row r="448" spans="1:21">
      <c r="A448" s="1" t="s">
        <v>2683</v>
      </c>
      <c r="B448" s="1" t="s">
        <v>39</v>
      </c>
      <c r="C448" s="1" t="s">
        <v>40</v>
      </c>
      <c r="D448" s="1" t="s">
        <v>24</v>
      </c>
      <c r="E448" s="1" t="s">
        <v>992</v>
      </c>
      <c r="F448" s="1" t="s">
        <v>117</v>
      </c>
      <c r="G448" s="1" t="s">
        <v>2684</v>
      </c>
      <c r="H448" s="1" t="s">
        <v>99</v>
      </c>
      <c r="I448" s="1" t="s">
        <v>2685</v>
      </c>
      <c r="J448" s="1" t="s">
        <v>2686</v>
      </c>
      <c r="K448" s="1" t="s">
        <v>515</v>
      </c>
      <c r="L448" s="1" t="s">
        <v>460</v>
      </c>
      <c r="M448" s="1" t="s">
        <v>59</v>
      </c>
      <c r="N448" s="1" t="s">
        <v>2687</v>
      </c>
      <c r="O448" s="1" t="s">
        <v>35</v>
      </c>
      <c r="P448" s="1" t="s">
        <v>2685</v>
      </c>
      <c r="Q448" s="1" t="s">
        <v>1655</v>
      </c>
      <c r="R448" s="1" t="s">
        <v>37</v>
      </c>
      <c r="S448" s="1" t="s">
        <v>37</v>
      </c>
      <c r="T448" s="1" t="s">
        <v>37</v>
      </c>
      <c r="U448" s="1" t="s">
        <v>37</v>
      </c>
    </row>
    <row r="449" spans="1:21">
      <c r="A449" s="1" t="s">
        <v>2688</v>
      </c>
      <c r="B449" s="1" t="s">
        <v>39</v>
      </c>
      <c r="C449" s="1" t="s">
        <v>40</v>
      </c>
      <c r="D449" s="1" t="s">
        <v>41</v>
      </c>
      <c r="E449" s="1" t="s">
        <v>992</v>
      </c>
      <c r="F449" s="1" t="s">
        <v>127</v>
      </c>
      <c r="G449" s="1" t="s">
        <v>2689</v>
      </c>
      <c r="H449" s="1" t="s">
        <v>119</v>
      </c>
      <c r="I449" s="1" t="s">
        <v>2690</v>
      </c>
      <c r="J449" s="1" t="s">
        <v>2691</v>
      </c>
      <c r="K449" s="1" t="s">
        <v>262</v>
      </c>
      <c r="L449" s="1" t="s">
        <v>1380</v>
      </c>
      <c r="M449" s="1" t="s">
        <v>59</v>
      </c>
      <c r="N449" s="1" t="s">
        <v>2692</v>
      </c>
      <c r="O449" s="1" t="s">
        <v>35</v>
      </c>
      <c r="P449" s="1" t="s">
        <v>2690</v>
      </c>
      <c r="Q449" s="1" t="s">
        <v>434</v>
      </c>
      <c r="R449" s="1" t="s">
        <v>37</v>
      </c>
      <c r="S449" s="1" t="s">
        <v>37</v>
      </c>
      <c r="T449" s="1" t="s">
        <v>37</v>
      </c>
      <c r="U449" s="1" t="s">
        <v>37</v>
      </c>
    </row>
    <row r="450" spans="1:21">
      <c r="A450" s="1" t="s">
        <v>2693</v>
      </c>
      <c r="B450" s="1" t="s">
        <v>115</v>
      </c>
      <c r="C450" s="1" t="s">
        <v>116</v>
      </c>
      <c r="D450" s="1" t="s">
        <v>24</v>
      </c>
      <c r="E450" s="1" t="s">
        <v>25</v>
      </c>
      <c r="F450" s="1" t="s">
        <v>26</v>
      </c>
      <c r="G450" s="1" t="s">
        <v>2694</v>
      </c>
      <c r="H450" s="1" t="s">
        <v>253</v>
      </c>
      <c r="I450" s="1" t="s">
        <v>2695</v>
      </c>
      <c r="J450" s="1" t="s">
        <v>2696</v>
      </c>
      <c r="K450" s="1" t="s">
        <v>599</v>
      </c>
      <c r="L450" s="1" t="s">
        <v>824</v>
      </c>
      <c r="M450" s="1" t="s">
        <v>59</v>
      </c>
      <c r="N450" s="1" t="s">
        <v>2694</v>
      </c>
      <c r="O450" s="1" t="s">
        <v>35</v>
      </c>
      <c r="P450" s="1" t="s">
        <v>2695</v>
      </c>
      <c r="Q450" s="1" t="s">
        <v>79</v>
      </c>
      <c r="R450" s="1" t="s">
        <v>37</v>
      </c>
      <c r="S450" s="1" t="s">
        <v>37</v>
      </c>
      <c r="T450" s="1" t="s">
        <v>37</v>
      </c>
      <c r="U450" s="1" t="s">
        <v>37</v>
      </c>
    </row>
    <row r="451" spans="1:21">
      <c r="A451" s="1" t="s">
        <v>2697</v>
      </c>
      <c r="B451" s="1" t="s">
        <v>115</v>
      </c>
      <c r="C451" s="1" t="s">
        <v>116</v>
      </c>
      <c r="D451" s="1" t="s">
        <v>24</v>
      </c>
      <c r="E451" s="1" t="s">
        <v>25</v>
      </c>
      <c r="F451" s="1" t="s">
        <v>72</v>
      </c>
      <c r="G451" s="1" t="s">
        <v>2698</v>
      </c>
      <c r="H451" s="1" t="s">
        <v>253</v>
      </c>
      <c r="I451" s="1" t="s">
        <v>2699</v>
      </c>
      <c r="J451" s="1" t="s">
        <v>2700</v>
      </c>
      <c r="K451" s="1" t="s">
        <v>737</v>
      </c>
      <c r="L451" s="1" t="s">
        <v>2701</v>
      </c>
      <c r="M451" s="1" t="s">
        <v>59</v>
      </c>
      <c r="N451" s="1" t="s">
        <v>2698</v>
      </c>
      <c r="O451" s="1" t="s">
        <v>35</v>
      </c>
      <c r="P451" s="1" t="s">
        <v>2699</v>
      </c>
      <c r="Q451" s="1" t="s">
        <v>51</v>
      </c>
      <c r="R451" s="1" t="s">
        <v>37</v>
      </c>
      <c r="S451" s="1" t="s">
        <v>37</v>
      </c>
      <c r="T451" s="1" t="s">
        <v>37</v>
      </c>
      <c r="U451" s="1" t="s">
        <v>37</v>
      </c>
    </row>
    <row r="452" spans="1:21">
      <c r="A452" s="1" t="s">
        <v>2702</v>
      </c>
      <c r="B452" s="1" t="s">
        <v>115</v>
      </c>
      <c r="C452" s="1" t="s">
        <v>116</v>
      </c>
      <c r="D452" s="1" t="s">
        <v>41</v>
      </c>
      <c r="E452" s="1" t="s">
        <v>25</v>
      </c>
      <c r="F452" s="1" t="s">
        <v>42</v>
      </c>
      <c r="G452" s="1" t="s">
        <v>2703</v>
      </c>
      <c r="H452" s="1" t="s">
        <v>90</v>
      </c>
      <c r="I452" s="1" t="s">
        <v>2704</v>
      </c>
      <c r="J452" s="1" t="s">
        <v>2705</v>
      </c>
      <c r="K452" s="1" t="s">
        <v>187</v>
      </c>
      <c r="L452" s="1" t="s">
        <v>2480</v>
      </c>
      <c r="M452" s="1" t="s">
        <v>49</v>
      </c>
      <c r="N452" s="1" t="s">
        <v>2706</v>
      </c>
      <c r="O452" s="1" t="s">
        <v>35</v>
      </c>
      <c r="P452" s="1" t="s">
        <v>2704</v>
      </c>
      <c r="Q452" s="1" t="s">
        <v>257</v>
      </c>
      <c r="R452" s="1" t="s">
        <v>37</v>
      </c>
      <c r="S452" s="1" t="s">
        <v>37</v>
      </c>
      <c r="T452" s="1" t="s">
        <v>37</v>
      </c>
      <c r="U452" s="1" t="s">
        <v>37</v>
      </c>
    </row>
    <row r="453" spans="1:21">
      <c r="A453" s="1" t="s">
        <v>2707</v>
      </c>
      <c r="B453" s="1" t="s">
        <v>115</v>
      </c>
      <c r="C453" s="1" t="s">
        <v>116</v>
      </c>
      <c r="D453" s="1" t="s">
        <v>41</v>
      </c>
      <c r="E453" s="1" t="s">
        <v>992</v>
      </c>
      <c r="F453" s="1" t="s">
        <v>42</v>
      </c>
      <c r="G453" s="1" t="s">
        <v>1791</v>
      </c>
      <c r="H453" s="1" t="s">
        <v>90</v>
      </c>
      <c r="I453" s="1" t="s">
        <v>2708</v>
      </c>
      <c r="J453" s="1" t="s">
        <v>2709</v>
      </c>
      <c r="K453" s="1" t="s">
        <v>668</v>
      </c>
      <c r="L453" s="1" t="s">
        <v>549</v>
      </c>
      <c r="M453" s="1" t="s">
        <v>49</v>
      </c>
      <c r="N453" s="1" t="s">
        <v>2710</v>
      </c>
      <c r="O453" s="1" t="s">
        <v>35</v>
      </c>
      <c r="P453" s="1" t="s">
        <v>2708</v>
      </c>
      <c r="Q453" s="1" t="s">
        <v>338</v>
      </c>
      <c r="R453" s="1" t="s">
        <v>37</v>
      </c>
      <c r="S453" s="1" t="s">
        <v>37</v>
      </c>
      <c r="T453" s="1" t="s">
        <v>37</v>
      </c>
      <c r="U453" s="1" t="s">
        <v>37</v>
      </c>
    </row>
    <row r="454" spans="1:21">
      <c r="A454" s="1" t="s">
        <v>2711</v>
      </c>
      <c r="B454" s="1" t="s">
        <v>22</v>
      </c>
      <c r="C454" s="1" t="s">
        <v>23</v>
      </c>
      <c r="D454" s="1" t="s">
        <v>41</v>
      </c>
      <c r="E454" s="1" t="s">
        <v>25</v>
      </c>
      <c r="F454" s="1" t="s">
        <v>117</v>
      </c>
      <c r="G454" s="1" t="s">
        <v>2712</v>
      </c>
      <c r="H454" s="1" t="s">
        <v>44</v>
      </c>
      <c r="I454" s="1" t="s">
        <v>2713</v>
      </c>
      <c r="J454" s="1" t="s">
        <v>2714</v>
      </c>
      <c r="K454" s="1" t="s">
        <v>378</v>
      </c>
      <c r="L454" s="1" t="s">
        <v>291</v>
      </c>
      <c r="M454" s="1" t="s">
        <v>33</v>
      </c>
      <c r="N454" s="1" t="s">
        <v>2715</v>
      </c>
      <c r="O454" s="1" t="s">
        <v>35</v>
      </c>
      <c r="P454" s="1" t="s">
        <v>2713</v>
      </c>
      <c r="Q454" s="1" t="s">
        <v>212</v>
      </c>
      <c r="R454" s="1" t="s">
        <v>37</v>
      </c>
      <c r="S454" s="1" t="s">
        <v>37</v>
      </c>
      <c r="T454" s="1" t="s">
        <v>37</v>
      </c>
      <c r="U454" s="1" t="s">
        <v>37</v>
      </c>
    </row>
    <row r="455" spans="1:21">
      <c r="A455" s="1" t="s">
        <v>2716</v>
      </c>
      <c r="B455" s="1" t="s">
        <v>22</v>
      </c>
      <c r="C455" s="1" t="s">
        <v>23</v>
      </c>
      <c r="D455" s="1" t="s">
        <v>41</v>
      </c>
      <c r="E455" s="1" t="s">
        <v>992</v>
      </c>
      <c r="F455" s="1" t="s">
        <v>26</v>
      </c>
      <c r="G455" s="1" t="s">
        <v>2717</v>
      </c>
      <c r="H455" s="1" t="s">
        <v>253</v>
      </c>
      <c r="I455" s="1" t="s">
        <v>2718</v>
      </c>
      <c r="J455" s="1" t="s">
        <v>2719</v>
      </c>
      <c r="K455" s="1" t="s">
        <v>57</v>
      </c>
      <c r="L455" s="1" t="s">
        <v>2720</v>
      </c>
      <c r="M455" s="1" t="s">
        <v>33</v>
      </c>
      <c r="N455" s="1" t="s">
        <v>2717</v>
      </c>
      <c r="O455" s="1" t="s">
        <v>35</v>
      </c>
      <c r="P455" s="1" t="s">
        <v>2718</v>
      </c>
      <c r="Q455" s="1" t="s">
        <v>618</v>
      </c>
      <c r="R455" s="1" t="s">
        <v>37</v>
      </c>
      <c r="S455" s="1" t="s">
        <v>37</v>
      </c>
      <c r="T455" s="1" t="s">
        <v>37</v>
      </c>
      <c r="U455" s="1" t="s">
        <v>37</v>
      </c>
    </row>
    <row r="456" spans="1:21">
      <c r="A456" s="1" t="s">
        <v>2721</v>
      </c>
      <c r="B456" s="1" t="s">
        <v>22</v>
      </c>
      <c r="C456" s="1" t="s">
        <v>23</v>
      </c>
      <c r="D456" s="1" t="s">
        <v>24</v>
      </c>
      <c r="E456" s="1" t="s">
        <v>992</v>
      </c>
      <c r="F456" s="1" t="s">
        <v>42</v>
      </c>
      <c r="G456" s="1" t="s">
        <v>2722</v>
      </c>
      <c r="H456" s="1" t="s">
        <v>129</v>
      </c>
      <c r="I456" s="1" t="s">
        <v>2723</v>
      </c>
      <c r="J456" s="1" t="s">
        <v>2724</v>
      </c>
      <c r="K456" s="1" t="s">
        <v>1452</v>
      </c>
      <c r="L456" s="1" t="s">
        <v>2725</v>
      </c>
      <c r="M456" s="1" t="s">
        <v>49</v>
      </c>
      <c r="N456" s="1" t="s">
        <v>2726</v>
      </c>
      <c r="O456" s="1" t="s">
        <v>35</v>
      </c>
      <c r="P456" s="1" t="s">
        <v>2723</v>
      </c>
      <c r="Q456" s="1" t="s">
        <v>330</v>
      </c>
      <c r="R456" s="1" t="s">
        <v>37</v>
      </c>
      <c r="S456" s="1" t="s">
        <v>37</v>
      </c>
      <c r="T456" s="1" t="s">
        <v>37</v>
      </c>
      <c r="U456" s="1" t="s">
        <v>37</v>
      </c>
    </row>
    <row r="457" spans="1:21">
      <c r="A457" s="1" t="s">
        <v>2727</v>
      </c>
      <c r="B457" s="1" t="s">
        <v>115</v>
      </c>
      <c r="C457" s="1" t="s">
        <v>116</v>
      </c>
      <c r="D457" s="1" t="s">
        <v>24</v>
      </c>
      <c r="E457" s="1" t="s">
        <v>25</v>
      </c>
      <c r="F457" s="1" t="s">
        <v>127</v>
      </c>
      <c r="G457" s="1" t="s">
        <v>2728</v>
      </c>
      <c r="H457" s="1" t="s">
        <v>44</v>
      </c>
      <c r="I457" s="1" t="s">
        <v>2729</v>
      </c>
      <c r="J457" s="1" t="s">
        <v>2730</v>
      </c>
      <c r="K457" s="1" t="s">
        <v>1206</v>
      </c>
      <c r="L457" s="1" t="s">
        <v>2731</v>
      </c>
      <c r="M457" s="1" t="s">
        <v>49</v>
      </c>
      <c r="N457" s="1" t="s">
        <v>2732</v>
      </c>
      <c r="O457" s="1" t="s">
        <v>35</v>
      </c>
      <c r="P457" s="1" t="s">
        <v>2729</v>
      </c>
      <c r="Q457" s="1" t="s">
        <v>190</v>
      </c>
      <c r="R457" s="1" t="s">
        <v>37</v>
      </c>
      <c r="S457" s="1" t="s">
        <v>37</v>
      </c>
      <c r="T457" s="1" t="s">
        <v>37</v>
      </c>
      <c r="U457" s="1" t="s">
        <v>37</v>
      </c>
    </row>
    <row r="458" spans="1:21">
      <c r="A458" s="1" t="s">
        <v>2733</v>
      </c>
      <c r="B458" s="1" t="s">
        <v>115</v>
      </c>
      <c r="C458" s="1" t="s">
        <v>116</v>
      </c>
      <c r="D458" s="1" t="s">
        <v>24</v>
      </c>
      <c r="E458" s="1" t="s">
        <v>25</v>
      </c>
      <c r="F458" s="1" t="s">
        <v>117</v>
      </c>
      <c r="G458" s="1" t="s">
        <v>2734</v>
      </c>
      <c r="H458" s="1" t="s">
        <v>275</v>
      </c>
      <c r="I458" s="1" t="s">
        <v>2735</v>
      </c>
      <c r="J458" s="1" t="s">
        <v>2736</v>
      </c>
      <c r="K458" s="1" t="s">
        <v>489</v>
      </c>
      <c r="L458" s="1" t="s">
        <v>2737</v>
      </c>
      <c r="M458" s="1" t="s">
        <v>59</v>
      </c>
      <c r="N458" s="1" t="s">
        <v>2738</v>
      </c>
      <c r="O458" s="1" t="s">
        <v>35</v>
      </c>
      <c r="P458" s="1" t="s">
        <v>2735</v>
      </c>
      <c r="Q458" s="1" t="s">
        <v>135</v>
      </c>
      <c r="R458" s="1" t="s">
        <v>37</v>
      </c>
      <c r="S458" s="1" t="s">
        <v>37</v>
      </c>
      <c r="T458" s="1" t="s">
        <v>37</v>
      </c>
      <c r="U458" s="1" t="s">
        <v>37</v>
      </c>
    </row>
    <row r="459" spans="1:21">
      <c r="A459" s="1" t="s">
        <v>2739</v>
      </c>
      <c r="B459" s="1" t="s">
        <v>115</v>
      </c>
      <c r="C459" s="1" t="s">
        <v>116</v>
      </c>
      <c r="D459" s="1" t="s">
        <v>41</v>
      </c>
      <c r="E459" s="1" t="s">
        <v>992</v>
      </c>
      <c r="F459" s="1" t="s">
        <v>42</v>
      </c>
      <c r="G459" s="1" t="s">
        <v>2740</v>
      </c>
      <c r="H459" s="1" t="s">
        <v>99</v>
      </c>
      <c r="I459" s="1" t="s">
        <v>2741</v>
      </c>
      <c r="J459" s="1" t="s">
        <v>2742</v>
      </c>
      <c r="K459" s="1" t="s">
        <v>156</v>
      </c>
      <c r="L459" s="1" t="s">
        <v>1396</v>
      </c>
      <c r="M459" s="1" t="s">
        <v>49</v>
      </c>
      <c r="N459" s="1" t="s">
        <v>2743</v>
      </c>
      <c r="O459" s="1" t="s">
        <v>35</v>
      </c>
      <c r="P459" s="1" t="s">
        <v>2741</v>
      </c>
      <c r="Q459" s="1" t="s">
        <v>957</v>
      </c>
      <c r="R459" s="1" t="s">
        <v>37</v>
      </c>
      <c r="S459" s="1" t="s">
        <v>37</v>
      </c>
      <c r="T459" s="1" t="s">
        <v>37</v>
      </c>
      <c r="U459" s="1" t="s">
        <v>37</v>
      </c>
    </row>
    <row r="460" spans="1:21">
      <c r="A460" s="1" t="s">
        <v>2744</v>
      </c>
      <c r="B460" s="1" t="s">
        <v>39</v>
      </c>
      <c r="C460" s="1" t="s">
        <v>40</v>
      </c>
      <c r="D460" s="1" t="s">
        <v>24</v>
      </c>
      <c r="E460" s="1" t="s">
        <v>25</v>
      </c>
      <c r="F460" s="1" t="s">
        <v>42</v>
      </c>
      <c r="G460" s="1" t="s">
        <v>2745</v>
      </c>
      <c r="H460" s="1" t="s">
        <v>99</v>
      </c>
      <c r="I460" s="1" t="s">
        <v>2746</v>
      </c>
      <c r="J460" s="1" t="s">
        <v>2747</v>
      </c>
      <c r="K460" s="1" t="s">
        <v>67</v>
      </c>
      <c r="L460" s="1" t="s">
        <v>1087</v>
      </c>
      <c r="M460" s="1" t="s">
        <v>49</v>
      </c>
      <c r="N460" s="1" t="s">
        <v>2748</v>
      </c>
      <c r="O460" s="1" t="s">
        <v>35</v>
      </c>
      <c r="P460" s="1" t="s">
        <v>2746</v>
      </c>
      <c r="Q460" s="1" t="s">
        <v>338</v>
      </c>
      <c r="R460" s="1" t="s">
        <v>37</v>
      </c>
      <c r="S460" s="1" t="s">
        <v>37</v>
      </c>
      <c r="T460" s="1" t="s">
        <v>37</v>
      </c>
      <c r="U460" s="1" t="s">
        <v>37</v>
      </c>
    </row>
    <row r="461" spans="1:21">
      <c r="A461" s="1" t="s">
        <v>2749</v>
      </c>
      <c r="B461" s="1" t="s">
        <v>39</v>
      </c>
      <c r="C461" s="1" t="s">
        <v>40</v>
      </c>
      <c r="D461" s="1" t="s">
        <v>41</v>
      </c>
      <c r="E461" s="1" t="s">
        <v>992</v>
      </c>
      <c r="F461" s="1" t="s">
        <v>117</v>
      </c>
      <c r="G461" s="1" t="s">
        <v>2750</v>
      </c>
      <c r="H461" s="1" t="s">
        <v>253</v>
      </c>
      <c r="I461" s="1" t="s">
        <v>2751</v>
      </c>
      <c r="J461" s="1" t="s">
        <v>2752</v>
      </c>
      <c r="K461" s="1" t="s">
        <v>636</v>
      </c>
      <c r="L461" s="1" t="s">
        <v>1765</v>
      </c>
      <c r="M461" s="1" t="s">
        <v>59</v>
      </c>
      <c r="N461" s="1" t="s">
        <v>2750</v>
      </c>
      <c r="O461" s="1" t="s">
        <v>35</v>
      </c>
      <c r="P461" s="1" t="s">
        <v>2751</v>
      </c>
      <c r="Q461" s="1" t="s">
        <v>351</v>
      </c>
      <c r="R461" s="1" t="s">
        <v>37</v>
      </c>
      <c r="S461" s="1" t="s">
        <v>37</v>
      </c>
      <c r="T461" s="1" t="s">
        <v>37</v>
      </c>
      <c r="U461" s="1" t="s">
        <v>37</v>
      </c>
    </row>
    <row r="462" spans="1:21">
      <c r="A462" s="1" t="s">
        <v>2753</v>
      </c>
      <c r="B462" s="1" t="s">
        <v>39</v>
      </c>
      <c r="C462" s="1" t="s">
        <v>40</v>
      </c>
      <c r="D462" s="1" t="s">
        <v>41</v>
      </c>
      <c r="E462" s="1" t="s">
        <v>992</v>
      </c>
      <c r="F462" s="1" t="s">
        <v>117</v>
      </c>
      <c r="G462" s="1" t="s">
        <v>2754</v>
      </c>
      <c r="H462" s="1" t="s">
        <v>44</v>
      </c>
      <c r="I462" s="1" t="s">
        <v>2755</v>
      </c>
      <c r="J462" s="1" t="s">
        <v>2756</v>
      </c>
      <c r="K462" s="1" t="s">
        <v>419</v>
      </c>
      <c r="L462" s="1" t="s">
        <v>2757</v>
      </c>
      <c r="M462" s="1" t="s">
        <v>49</v>
      </c>
      <c r="N462" s="1" t="s">
        <v>2758</v>
      </c>
      <c r="O462" s="1" t="s">
        <v>35</v>
      </c>
      <c r="P462" s="1" t="s">
        <v>2755</v>
      </c>
      <c r="Q462" s="1" t="s">
        <v>135</v>
      </c>
      <c r="R462" s="1" t="s">
        <v>37</v>
      </c>
      <c r="S462" s="1" t="s">
        <v>37</v>
      </c>
      <c r="T462" s="1" t="s">
        <v>37</v>
      </c>
      <c r="U462" s="1" t="s">
        <v>37</v>
      </c>
    </row>
    <row r="463" spans="1:21">
      <c r="A463" s="1" t="s">
        <v>2759</v>
      </c>
      <c r="B463" s="1" t="s">
        <v>115</v>
      </c>
      <c r="C463" s="1" t="s">
        <v>116</v>
      </c>
      <c r="D463" s="1" t="s">
        <v>24</v>
      </c>
      <c r="E463" s="1" t="s">
        <v>25</v>
      </c>
      <c r="F463" s="1" t="s">
        <v>117</v>
      </c>
      <c r="G463" s="1" t="s">
        <v>2760</v>
      </c>
      <c r="H463" s="1" t="s">
        <v>99</v>
      </c>
      <c r="I463" s="1" t="s">
        <v>2761</v>
      </c>
      <c r="J463" s="1" t="s">
        <v>2762</v>
      </c>
      <c r="K463" s="1" t="s">
        <v>57</v>
      </c>
      <c r="L463" s="1" t="s">
        <v>2307</v>
      </c>
      <c r="M463" s="1" t="s">
        <v>59</v>
      </c>
      <c r="N463" s="1" t="s">
        <v>2763</v>
      </c>
      <c r="O463" s="1" t="s">
        <v>35</v>
      </c>
      <c r="P463" s="1" t="s">
        <v>2761</v>
      </c>
      <c r="Q463" s="1" t="s">
        <v>576</v>
      </c>
      <c r="R463" s="1" t="s">
        <v>37</v>
      </c>
      <c r="S463" s="1" t="s">
        <v>37</v>
      </c>
      <c r="T463" s="1" t="s">
        <v>37</v>
      </c>
      <c r="U463" s="1" t="s">
        <v>37</v>
      </c>
    </row>
    <row r="464" spans="1:21">
      <c r="A464" s="1" t="s">
        <v>2764</v>
      </c>
      <c r="B464" s="1" t="s">
        <v>39</v>
      </c>
      <c r="C464" s="1" t="s">
        <v>40</v>
      </c>
      <c r="D464" s="1" t="s">
        <v>41</v>
      </c>
      <c r="E464" s="1" t="s">
        <v>25</v>
      </c>
      <c r="F464" s="1" t="s">
        <v>72</v>
      </c>
      <c r="G464" s="1" t="s">
        <v>2765</v>
      </c>
      <c r="H464" s="1" t="s">
        <v>129</v>
      </c>
      <c r="I464" s="1" t="s">
        <v>2766</v>
      </c>
      <c r="J464" s="1" t="s">
        <v>2767</v>
      </c>
      <c r="K464" s="1" t="s">
        <v>419</v>
      </c>
      <c r="L464" s="1" t="s">
        <v>1351</v>
      </c>
      <c r="M464" s="1" t="s">
        <v>49</v>
      </c>
      <c r="N464" s="1" t="s">
        <v>2768</v>
      </c>
      <c r="O464" s="1" t="s">
        <v>35</v>
      </c>
      <c r="P464" s="1" t="s">
        <v>2766</v>
      </c>
      <c r="Q464" s="1" t="s">
        <v>440</v>
      </c>
      <c r="R464" s="1" t="s">
        <v>37</v>
      </c>
      <c r="S464" s="1" t="s">
        <v>37</v>
      </c>
      <c r="T464" s="1" t="s">
        <v>37</v>
      </c>
      <c r="U464" s="1" t="s">
        <v>37</v>
      </c>
    </row>
    <row r="465" spans="1:21">
      <c r="A465" s="1" t="s">
        <v>2769</v>
      </c>
      <c r="B465" s="1" t="s">
        <v>39</v>
      </c>
      <c r="C465" s="1" t="s">
        <v>40</v>
      </c>
      <c r="D465" s="1" t="s">
        <v>24</v>
      </c>
      <c r="E465" s="1" t="s">
        <v>25</v>
      </c>
      <c r="F465" s="1" t="s">
        <v>117</v>
      </c>
      <c r="G465" s="1" t="s">
        <v>2770</v>
      </c>
      <c r="H465" s="1" t="s">
        <v>253</v>
      </c>
      <c r="I465" s="1" t="s">
        <v>2771</v>
      </c>
      <c r="J465" s="1" t="s">
        <v>2772</v>
      </c>
      <c r="K465" s="1" t="s">
        <v>1636</v>
      </c>
      <c r="L465" s="1" t="s">
        <v>2005</v>
      </c>
      <c r="M465" s="1" t="s">
        <v>49</v>
      </c>
      <c r="N465" s="1" t="s">
        <v>2770</v>
      </c>
      <c r="O465" s="1" t="s">
        <v>35</v>
      </c>
      <c r="P465" s="1" t="s">
        <v>2771</v>
      </c>
      <c r="Q465" s="1" t="s">
        <v>544</v>
      </c>
      <c r="R465" s="1" t="s">
        <v>37</v>
      </c>
      <c r="S465" s="1" t="s">
        <v>37</v>
      </c>
      <c r="T465" s="1" t="s">
        <v>37</v>
      </c>
      <c r="U465" s="1" t="s">
        <v>37</v>
      </c>
    </row>
    <row r="466" spans="1:21">
      <c r="A466" s="1" t="s">
        <v>2773</v>
      </c>
      <c r="B466" s="1" t="s">
        <v>22</v>
      </c>
      <c r="C466" s="1" t="s">
        <v>23</v>
      </c>
      <c r="D466" s="1" t="s">
        <v>24</v>
      </c>
      <c r="E466" s="1" t="s">
        <v>992</v>
      </c>
      <c r="F466" s="1" t="s">
        <v>117</v>
      </c>
      <c r="G466" s="1" t="s">
        <v>2774</v>
      </c>
      <c r="H466" s="1" t="s">
        <v>44</v>
      </c>
      <c r="I466" s="1" t="s">
        <v>2775</v>
      </c>
      <c r="J466" s="1" t="s">
        <v>2776</v>
      </c>
      <c r="K466" s="1" t="s">
        <v>757</v>
      </c>
      <c r="L466" s="1" t="s">
        <v>256</v>
      </c>
      <c r="M466" s="1" t="s">
        <v>59</v>
      </c>
      <c r="N466" s="1" t="s">
        <v>2777</v>
      </c>
      <c r="O466" s="1" t="s">
        <v>35</v>
      </c>
      <c r="P466" s="1" t="s">
        <v>2775</v>
      </c>
      <c r="Q466" s="1" t="s">
        <v>36</v>
      </c>
      <c r="R466" s="1" t="s">
        <v>37</v>
      </c>
      <c r="S466" s="1" t="s">
        <v>37</v>
      </c>
      <c r="T466" s="1" t="s">
        <v>37</v>
      </c>
      <c r="U466" s="1" t="s">
        <v>37</v>
      </c>
    </row>
    <row r="467" spans="1:21">
      <c r="A467" s="1" t="s">
        <v>2778</v>
      </c>
      <c r="B467" s="1" t="s">
        <v>39</v>
      </c>
      <c r="C467" s="1" t="s">
        <v>40</v>
      </c>
      <c r="D467" s="1" t="s">
        <v>24</v>
      </c>
      <c r="E467" s="1" t="s">
        <v>25</v>
      </c>
      <c r="F467" s="1" t="s">
        <v>72</v>
      </c>
      <c r="G467" s="1" t="s">
        <v>2779</v>
      </c>
      <c r="H467" s="1" t="s">
        <v>99</v>
      </c>
      <c r="I467" s="1" t="s">
        <v>2780</v>
      </c>
      <c r="J467" s="1" t="s">
        <v>2781</v>
      </c>
      <c r="K467" s="1" t="s">
        <v>240</v>
      </c>
      <c r="L467" s="1" t="s">
        <v>1647</v>
      </c>
      <c r="M467" s="1" t="s">
        <v>59</v>
      </c>
      <c r="N467" s="1" t="s">
        <v>2782</v>
      </c>
      <c r="O467" s="1" t="s">
        <v>35</v>
      </c>
      <c r="P467" s="1" t="s">
        <v>2780</v>
      </c>
      <c r="Q467" s="1" t="s">
        <v>151</v>
      </c>
      <c r="R467" s="1" t="s">
        <v>37</v>
      </c>
      <c r="S467" s="1" t="s">
        <v>37</v>
      </c>
      <c r="T467" s="1" t="s">
        <v>37</v>
      </c>
      <c r="U467" s="1" t="s">
        <v>37</v>
      </c>
    </row>
    <row r="468" spans="1:21">
      <c r="A468" s="1" t="s">
        <v>2783</v>
      </c>
      <c r="B468" s="1" t="s">
        <v>39</v>
      </c>
      <c r="C468" s="1" t="s">
        <v>40</v>
      </c>
      <c r="D468" s="1" t="s">
        <v>24</v>
      </c>
      <c r="E468" s="1" t="s">
        <v>25</v>
      </c>
      <c r="F468" s="1" t="s">
        <v>26</v>
      </c>
      <c r="G468" s="1" t="s">
        <v>2784</v>
      </c>
      <c r="H468" s="1" t="s">
        <v>28</v>
      </c>
      <c r="I468" s="1" t="s">
        <v>2785</v>
      </c>
      <c r="J468" s="1" t="s">
        <v>2786</v>
      </c>
      <c r="K468" s="1" t="s">
        <v>76</v>
      </c>
      <c r="L468" s="1" t="s">
        <v>1976</v>
      </c>
      <c r="M468" s="1" t="s">
        <v>59</v>
      </c>
      <c r="N468" s="1" t="s">
        <v>2787</v>
      </c>
      <c r="O468" s="1" t="s">
        <v>35</v>
      </c>
      <c r="P468" s="1" t="s">
        <v>2785</v>
      </c>
      <c r="Q468" s="1" t="s">
        <v>265</v>
      </c>
      <c r="R468" s="1" t="s">
        <v>37</v>
      </c>
      <c r="S468" s="1" t="s">
        <v>37</v>
      </c>
      <c r="T468" s="1" t="s">
        <v>37</v>
      </c>
      <c r="U468" s="1" t="s">
        <v>37</v>
      </c>
    </row>
    <row r="469" spans="1:21">
      <c r="A469" s="1" t="s">
        <v>2788</v>
      </c>
      <c r="B469" s="1" t="s">
        <v>115</v>
      </c>
      <c r="C469" s="1" t="s">
        <v>116</v>
      </c>
      <c r="D469" s="1" t="s">
        <v>41</v>
      </c>
      <c r="E469" s="1" t="s">
        <v>992</v>
      </c>
      <c r="F469" s="1" t="s">
        <v>72</v>
      </c>
      <c r="G469" s="1" t="s">
        <v>2789</v>
      </c>
      <c r="H469" s="1" t="s">
        <v>90</v>
      </c>
      <c r="I469" s="1" t="s">
        <v>2790</v>
      </c>
      <c r="J469" s="1" t="s">
        <v>2791</v>
      </c>
      <c r="K469" s="1" t="s">
        <v>247</v>
      </c>
      <c r="L469" s="1" t="s">
        <v>2792</v>
      </c>
      <c r="M469" s="1" t="s">
        <v>49</v>
      </c>
      <c r="N469" s="1" t="s">
        <v>2793</v>
      </c>
      <c r="O469" s="1" t="s">
        <v>35</v>
      </c>
      <c r="P469" s="1" t="s">
        <v>2790</v>
      </c>
      <c r="Q469" s="1" t="s">
        <v>135</v>
      </c>
      <c r="R469" s="1" t="s">
        <v>37</v>
      </c>
      <c r="S469" s="1" t="s">
        <v>37</v>
      </c>
      <c r="T469" s="1" t="s">
        <v>37</v>
      </c>
      <c r="U469" s="1" t="s">
        <v>37</v>
      </c>
    </row>
    <row r="470" spans="1:21">
      <c r="A470" s="1" t="s">
        <v>2794</v>
      </c>
      <c r="B470" s="1" t="s">
        <v>39</v>
      </c>
      <c r="C470" s="1" t="s">
        <v>40</v>
      </c>
      <c r="D470" s="1" t="s">
        <v>41</v>
      </c>
      <c r="E470" s="1" t="s">
        <v>992</v>
      </c>
      <c r="F470" s="1" t="s">
        <v>117</v>
      </c>
      <c r="G470" s="1" t="s">
        <v>2795</v>
      </c>
      <c r="H470" s="1" t="s">
        <v>253</v>
      </c>
      <c r="I470" s="1" t="s">
        <v>2796</v>
      </c>
      <c r="J470" s="1" t="s">
        <v>2797</v>
      </c>
      <c r="K470" s="1" t="s">
        <v>718</v>
      </c>
      <c r="L470" s="1" t="s">
        <v>1351</v>
      </c>
      <c r="M470" s="1" t="s">
        <v>33</v>
      </c>
      <c r="N470" s="1" t="s">
        <v>2795</v>
      </c>
      <c r="O470" s="1" t="s">
        <v>35</v>
      </c>
      <c r="P470" s="1" t="s">
        <v>2796</v>
      </c>
      <c r="Q470" s="1" t="s">
        <v>113</v>
      </c>
      <c r="R470" s="1" t="s">
        <v>37</v>
      </c>
      <c r="S470" s="1" t="s">
        <v>37</v>
      </c>
      <c r="T470" s="1" t="s">
        <v>37</v>
      </c>
      <c r="U470" s="1" t="s">
        <v>37</v>
      </c>
    </row>
    <row r="471" spans="1:21">
      <c r="A471" s="1" t="s">
        <v>2798</v>
      </c>
      <c r="B471" s="1" t="s">
        <v>39</v>
      </c>
      <c r="C471" s="1" t="s">
        <v>40</v>
      </c>
      <c r="D471" s="1" t="s">
        <v>24</v>
      </c>
      <c r="E471" s="1" t="s">
        <v>25</v>
      </c>
      <c r="F471" s="1" t="s">
        <v>42</v>
      </c>
      <c r="G471" s="1" t="s">
        <v>2799</v>
      </c>
      <c r="H471" s="1" t="s">
        <v>253</v>
      </c>
      <c r="I471" s="1" t="s">
        <v>2800</v>
      </c>
      <c r="J471" s="1" t="s">
        <v>2801</v>
      </c>
      <c r="K471" s="1" t="s">
        <v>489</v>
      </c>
      <c r="L471" s="1" t="s">
        <v>2089</v>
      </c>
      <c r="M471" s="1" t="s">
        <v>49</v>
      </c>
      <c r="N471" s="1" t="s">
        <v>2799</v>
      </c>
      <c r="O471" s="1" t="s">
        <v>35</v>
      </c>
      <c r="P471" s="1" t="s">
        <v>2800</v>
      </c>
      <c r="Q471" s="1" t="s">
        <v>70</v>
      </c>
      <c r="R471" s="1" t="s">
        <v>37</v>
      </c>
      <c r="S471" s="1" t="s">
        <v>37</v>
      </c>
      <c r="T471" s="1" t="s">
        <v>37</v>
      </c>
      <c r="U471" s="1" t="s">
        <v>37</v>
      </c>
    </row>
    <row r="472" spans="1:21">
      <c r="A472" s="1" t="s">
        <v>2802</v>
      </c>
      <c r="B472" s="1" t="s">
        <v>39</v>
      </c>
      <c r="C472" s="1" t="s">
        <v>40</v>
      </c>
      <c r="D472" s="1" t="s">
        <v>24</v>
      </c>
      <c r="E472" s="1" t="s">
        <v>25</v>
      </c>
      <c r="F472" s="1" t="s">
        <v>53</v>
      </c>
      <c r="G472" s="1" t="s">
        <v>2803</v>
      </c>
      <c r="H472" s="1" t="s">
        <v>90</v>
      </c>
      <c r="I472" s="1" t="s">
        <v>2804</v>
      </c>
      <c r="J472" s="1" t="s">
        <v>2805</v>
      </c>
      <c r="K472" s="1" t="s">
        <v>629</v>
      </c>
      <c r="L472" s="1" t="s">
        <v>2806</v>
      </c>
      <c r="M472" s="1" t="s">
        <v>33</v>
      </c>
      <c r="N472" s="1" t="s">
        <v>2807</v>
      </c>
      <c r="O472" s="1" t="s">
        <v>35</v>
      </c>
      <c r="P472" s="1" t="s">
        <v>2804</v>
      </c>
      <c r="Q472" s="1" t="s">
        <v>476</v>
      </c>
      <c r="R472" s="1" t="s">
        <v>37</v>
      </c>
      <c r="S472" s="1" t="s">
        <v>37</v>
      </c>
      <c r="T472" s="1" t="s">
        <v>37</v>
      </c>
      <c r="U472" s="1" t="s">
        <v>37</v>
      </c>
    </row>
    <row r="473" spans="1:21">
      <c r="A473" s="1" t="s">
        <v>2808</v>
      </c>
      <c r="B473" s="1" t="s">
        <v>22</v>
      </c>
      <c r="C473" s="1" t="s">
        <v>23</v>
      </c>
      <c r="D473" s="1" t="s">
        <v>24</v>
      </c>
      <c r="E473" s="1" t="s">
        <v>25</v>
      </c>
      <c r="F473" s="1" t="s">
        <v>72</v>
      </c>
      <c r="G473" s="1" t="s">
        <v>2809</v>
      </c>
      <c r="H473" s="1" t="s">
        <v>129</v>
      </c>
      <c r="I473" s="1" t="s">
        <v>2810</v>
      </c>
      <c r="J473" s="1" t="s">
        <v>2811</v>
      </c>
      <c r="K473" s="1" t="s">
        <v>270</v>
      </c>
      <c r="L473" s="1" t="s">
        <v>2812</v>
      </c>
      <c r="M473" s="1" t="s">
        <v>49</v>
      </c>
      <c r="N473" s="1" t="s">
        <v>2813</v>
      </c>
      <c r="O473" s="1" t="s">
        <v>35</v>
      </c>
      <c r="P473" s="1" t="s">
        <v>2810</v>
      </c>
      <c r="Q473" s="1" t="s">
        <v>1089</v>
      </c>
      <c r="R473" s="1" t="s">
        <v>37</v>
      </c>
      <c r="S473" s="1" t="s">
        <v>37</v>
      </c>
      <c r="T473" s="1" t="s">
        <v>37</v>
      </c>
      <c r="U473" s="1" t="s">
        <v>37</v>
      </c>
    </row>
    <row r="474" spans="1:21">
      <c r="A474" s="1" t="s">
        <v>2814</v>
      </c>
      <c r="B474" s="1" t="s">
        <v>22</v>
      </c>
      <c r="C474" s="1" t="s">
        <v>23</v>
      </c>
      <c r="D474" s="1" t="s">
        <v>24</v>
      </c>
      <c r="E474" s="1" t="s">
        <v>992</v>
      </c>
      <c r="F474" s="1" t="s">
        <v>127</v>
      </c>
      <c r="G474" s="1" t="s">
        <v>2815</v>
      </c>
      <c r="H474" s="1" t="s">
        <v>99</v>
      </c>
      <c r="I474" s="1" t="s">
        <v>2816</v>
      </c>
      <c r="J474" s="1" t="s">
        <v>2817</v>
      </c>
      <c r="K474" s="1" t="s">
        <v>356</v>
      </c>
      <c r="L474" s="1" t="s">
        <v>1531</v>
      </c>
      <c r="M474" s="1" t="s">
        <v>59</v>
      </c>
      <c r="N474" s="1" t="s">
        <v>2818</v>
      </c>
      <c r="O474" s="1" t="s">
        <v>35</v>
      </c>
      <c r="P474" s="1" t="s">
        <v>2816</v>
      </c>
      <c r="Q474" s="1" t="s">
        <v>618</v>
      </c>
      <c r="R474" s="1" t="s">
        <v>37</v>
      </c>
      <c r="S474" s="1" t="s">
        <v>37</v>
      </c>
      <c r="T474" s="1" t="s">
        <v>37</v>
      </c>
      <c r="U474" s="1" t="s">
        <v>37</v>
      </c>
    </row>
    <row r="475" spans="1:21">
      <c r="A475" s="1" t="s">
        <v>2819</v>
      </c>
      <c r="B475" s="1" t="s">
        <v>115</v>
      </c>
      <c r="C475" s="1" t="s">
        <v>116</v>
      </c>
      <c r="D475" s="1" t="s">
        <v>24</v>
      </c>
      <c r="E475" s="1" t="s">
        <v>992</v>
      </c>
      <c r="F475" s="1" t="s">
        <v>26</v>
      </c>
      <c r="G475" s="1" t="s">
        <v>2820</v>
      </c>
      <c r="H475" s="1" t="s">
        <v>64</v>
      </c>
      <c r="I475" s="1" t="s">
        <v>2821</v>
      </c>
      <c r="J475" s="1" t="s">
        <v>2822</v>
      </c>
      <c r="K475" s="1" t="s">
        <v>1094</v>
      </c>
      <c r="L475" s="1" t="s">
        <v>2682</v>
      </c>
      <c r="M475" s="1" t="s">
        <v>49</v>
      </c>
      <c r="N475" s="1" t="s">
        <v>2823</v>
      </c>
      <c r="O475" s="1" t="s">
        <v>35</v>
      </c>
      <c r="P475" s="1" t="s">
        <v>2821</v>
      </c>
      <c r="Q475" s="1" t="s">
        <v>182</v>
      </c>
      <c r="R475" s="1" t="s">
        <v>37</v>
      </c>
      <c r="S475" s="1" t="s">
        <v>37</v>
      </c>
      <c r="T475" s="1" t="s">
        <v>37</v>
      </c>
      <c r="U475" s="1" t="s">
        <v>37</v>
      </c>
    </row>
    <row r="476" spans="1:21">
      <c r="A476" s="1" t="s">
        <v>2824</v>
      </c>
      <c r="B476" s="1" t="s">
        <v>22</v>
      </c>
      <c r="C476" s="1" t="s">
        <v>23</v>
      </c>
      <c r="D476" s="1" t="s">
        <v>24</v>
      </c>
      <c r="E476" s="1" t="s">
        <v>25</v>
      </c>
      <c r="F476" s="1" t="s">
        <v>42</v>
      </c>
      <c r="G476" s="1" t="s">
        <v>2825</v>
      </c>
      <c r="H476" s="1" t="s">
        <v>44</v>
      </c>
      <c r="I476" s="1" t="s">
        <v>2826</v>
      </c>
      <c r="J476" s="1" t="s">
        <v>2827</v>
      </c>
      <c r="K476" s="1" t="s">
        <v>1094</v>
      </c>
      <c r="L476" s="1" t="s">
        <v>589</v>
      </c>
      <c r="M476" s="1" t="s">
        <v>49</v>
      </c>
      <c r="N476" s="1" t="s">
        <v>2828</v>
      </c>
      <c r="O476" s="1" t="s">
        <v>35</v>
      </c>
      <c r="P476" s="1" t="s">
        <v>2826</v>
      </c>
      <c r="Q476" s="1" t="s">
        <v>468</v>
      </c>
      <c r="R476" s="1" t="s">
        <v>37</v>
      </c>
      <c r="S476" s="1" t="s">
        <v>37</v>
      </c>
      <c r="T476" s="1" t="s">
        <v>37</v>
      </c>
      <c r="U476" s="1" t="s">
        <v>37</v>
      </c>
    </row>
    <row r="477" spans="1:21">
      <c r="A477" s="1" t="s">
        <v>2829</v>
      </c>
      <c r="B477" s="1" t="s">
        <v>22</v>
      </c>
      <c r="C477" s="1" t="s">
        <v>23</v>
      </c>
      <c r="D477" s="1" t="s">
        <v>41</v>
      </c>
      <c r="E477" s="1" t="s">
        <v>992</v>
      </c>
      <c r="F477" s="1" t="s">
        <v>26</v>
      </c>
      <c r="G477" s="1" t="s">
        <v>2830</v>
      </c>
      <c r="H477" s="1" t="s">
        <v>119</v>
      </c>
      <c r="I477" s="1" t="s">
        <v>2831</v>
      </c>
      <c r="J477" s="1" t="s">
        <v>2832</v>
      </c>
      <c r="K477" s="1" t="s">
        <v>93</v>
      </c>
      <c r="L477" s="1" t="s">
        <v>661</v>
      </c>
      <c r="M477" s="1" t="s">
        <v>59</v>
      </c>
      <c r="N477" s="1" t="s">
        <v>2833</v>
      </c>
      <c r="O477" s="1" t="s">
        <v>35</v>
      </c>
      <c r="P477" s="1" t="s">
        <v>2831</v>
      </c>
      <c r="Q477" s="1" t="s">
        <v>359</v>
      </c>
      <c r="R477" s="1" t="s">
        <v>37</v>
      </c>
      <c r="S477" s="1" t="s">
        <v>37</v>
      </c>
      <c r="T477" s="1" t="s">
        <v>37</v>
      </c>
      <c r="U477" s="1" t="s">
        <v>37</v>
      </c>
    </row>
    <row r="478" spans="1:21">
      <c r="A478" s="1" t="s">
        <v>2834</v>
      </c>
      <c r="B478" s="1" t="s">
        <v>22</v>
      </c>
      <c r="C478" s="1" t="s">
        <v>23</v>
      </c>
      <c r="D478" s="1" t="s">
        <v>41</v>
      </c>
      <c r="E478" s="1" t="s">
        <v>25</v>
      </c>
      <c r="F478" s="1" t="s">
        <v>72</v>
      </c>
      <c r="G478" s="1" t="s">
        <v>2835</v>
      </c>
      <c r="H478" s="1" t="s">
        <v>44</v>
      </c>
      <c r="I478" s="1" t="s">
        <v>2836</v>
      </c>
      <c r="J478" s="1" t="s">
        <v>2837</v>
      </c>
      <c r="K478" s="1" t="s">
        <v>1379</v>
      </c>
      <c r="L478" s="1" t="s">
        <v>2153</v>
      </c>
      <c r="M478" s="1" t="s">
        <v>59</v>
      </c>
      <c r="N478" s="1" t="s">
        <v>2838</v>
      </c>
      <c r="O478" s="1" t="s">
        <v>35</v>
      </c>
      <c r="P478" s="1" t="s">
        <v>2836</v>
      </c>
      <c r="Q478" s="1" t="s">
        <v>791</v>
      </c>
      <c r="R478" s="1" t="s">
        <v>37</v>
      </c>
      <c r="S478" s="1" t="s">
        <v>37</v>
      </c>
      <c r="T478" s="1" t="s">
        <v>37</v>
      </c>
      <c r="U478" s="1" t="s">
        <v>37</v>
      </c>
    </row>
    <row r="479" spans="1:21">
      <c r="A479" s="1" t="s">
        <v>2839</v>
      </c>
      <c r="B479" s="1" t="s">
        <v>39</v>
      </c>
      <c r="C479" s="1" t="s">
        <v>40</v>
      </c>
      <c r="D479" s="1" t="s">
        <v>41</v>
      </c>
      <c r="E479" s="1" t="s">
        <v>992</v>
      </c>
      <c r="F479" s="1" t="s">
        <v>42</v>
      </c>
      <c r="G479" s="1" t="s">
        <v>2840</v>
      </c>
      <c r="H479" s="1" t="s">
        <v>129</v>
      </c>
      <c r="I479" s="1" t="s">
        <v>2841</v>
      </c>
      <c r="J479" s="1" t="s">
        <v>2842</v>
      </c>
      <c r="K479" s="1" t="s">
        <v>445</v>
      </c>
      <c r="L479" s="1" t="s">
        <v>2843</v>
      </c>
      <c r="M479" s="1" t="s">
        <v>33</v>
      </c>
      <c r="N479" s="1" t="s">
        <v>2844</v>
      </c>
      <c r="O479" s="1" t="s">
        <v>35</v>
      </c>
      <c r="P479" s="1" t="s">
        <v>2841</v>
      </c>
      <c r="Q479" s="1" t="s">
        <v>205</v>
      </c>
      <c r="R479" s="1" t="s">
        <v>37</v>
      </c>
      <c r="S479" s="1" t="s">
        <v>37</v>
      </c>
      <c r="T479" s="1" t="s">
        <v>37</v>
      </c>
      <c r="U479" s="1" t="s">
        <v>37</v>
      </c>
    </row>
    <row r="480" spans="1:21">
      <c r="A480" s="1" t="s">
        <v>2845</v>
      </c>
      <c r="B480" s="1" t="s">
        <v>115</v>
      </c>
      <c r="C480" s="1" t="s">
        <v>116</v>
      </c>
      <c r="D480" s="1" t="s">
        <v>41</v>
      </c>
      <c r="E480" s="1" t="s">
        <v>992</v>
      </c>
      <c r="F480" s="1" t="s">
        <v>72</v>
      </c>
      <c r="G480" s="1" t="s">
        <v>2846</v>
      </c>
      <c r="H480" s="1" t="s">
        <v>99</v>
      </c>
      <c r="I480" s="1" t="s">
        <v>2847</v>
      </c>
      <c r="J480" s="1" t="s">
        <v>2848</v>
      </c>
      <c r="K480" s="1" t="s">
        <v>378</v>
      </c>
      <c r="L480" s="1" t="s">
        <v>357</v>
      </c>
      <c r="M480" s="1" t="s">
        <v>33</v>
      </c>
      <c r="N480" s="1" t="s">
        <v>2849</v>
      </c>
      <c r="O480" s="1" t="s">
        <v>35</v>
      </c>
      <c r="P480" s="1" t="s">
        <v>2847</v>
      </c>
      <c r="Q480" s="1" t="s">
        <v>257</v>
      </c>
      <c r="R480" s="1" t="s">
        <v>37</v>
      </c>
      <c r="S480" s="1" t="s">
        <v>37</v>
      </c>
      <c r="T480" s="1" t="s">
        <v>37</v>
      </c>
      <c r="U480" s="1" t="s">
        <v>37</v>
      </c>
    </row>
    <row r="481" spans="1:21">
      <c r="A481" s="1" t="s">
        <v>2850</v>
      </c>
      <c r="B481" s="1" t="s">
        <v>22</v>
      </c>
      <c r="C481" s="1" t="s">
        <v>23</v>
      </c>
      <c r="D481" s="1" t="s">
        <v>41</v>
      </c>
      <c r="E481" s="1" t="s">
        <v>992</v>
      </c>
      <c r="F481" s="1" t="s">
        <v>42</v>
      </c>
      <c r="G481" s="1" t="s">
        <v>2550</v>
      </c>
      <c r="H481" s="1" t="s">
        <v>253</v>
      </c>
      <c r="I481" s="1" t="s">
        <v>2851</v>
      </c>
      <c r="J481" s="1" t="s">
        <v>2852</v>
      </c>
      <c r="K481" s="1" t="s">
        <v>1057</v>
      </c>
      <c r="L481" s="1" t="s">
        <v>460</v>
      </c>
      <c r="M481" s="1" t="s">
        <v>33</v>
      </c>
      <c r="N481" s="1" t="s">
        <v>2550</v>
      </c>
      <c r="O481" s="1" t="s">
        <v>35</v>
      </c>
      <c r="P481" s="1" t="s">
        <v>2851</v>
      </c>
      <c r="Q481" s="1" t="s">
        <v>257</v>
      </c>
      <c r="R481" s="1" t="s">
        <v>37</v>
      </c>
      <c r="S481" s="1" t="s">
        <v>37</v>
      </c>
      <c r="T481" s="1" t="s">
        <v>37</v>
      </c>
      <c r="U481" s="1" t="s">
        <v>37</v>
      </c>
    </row>
    <row r="482" spans="1:21">
      <c r="A482" s="1" t="s">
        <v>2853</v>
      </c>
      <c r="B482" s="1" t="s">
        <v>39</v>
      </c>
      <c r="C482" s="1" t="s">
        <v>40</v>
      </c>
      <c r="D482" s="1" t="s">
        <v>41</v>
      </c>
      <c r="E482" s="1" t="s">
        <v>992</v>
      </c>
      <c r="F482" s="1" t="s">
        <v>117</v>
      </c>
      <c r="G482" s="1" t="s">
        <v>2854</v>
      </c>
      <c r="H482" s="1" t="s">
        <v>64</v>
      </c>
      <c r="I482" s="1" t="s">
        <v>2855</v>
      </c>
      <c r="J482" s="1" t="s">
        <v>2856</v>
      </c>
      <c r="K482" s="1" t="s">
        <v>356</v>
      </c>
      <c r="L482" s="1" t="s">
        <v>1862</v>
      </c>
      <c r="M482" s="1" t="s">
        <v>49</v>
      </c>
      <c r="N482" s="1" t="s">
        <v>2857</v>
      </c>
      <c r="O482" s="1" t="s">
        <v>35</v>
      </c>
      <c r="P482" s="1" t="s">
        <v>2855</v>
      </c>
      <c r="Q482" s="1" t="s">
        <v>70</v>
      </c>
      <c r="R482" s="1" t="s">
        <v>37</v>
      </c>
      <c r="S482" s="1" t="s">
        <v>37</v>
      </c>
      <c r="T482" s="1" t="s">
        <v>37</v>
      </c>
      <c r="U482" s="1" t="s">
        <v>37</v>
      </c>
    </row>
    <row r="483" spans="1:21">
      <c r="A483" s="1" t="s">
        <v>2858</v>
      </c>
      <c r="B483" s="1" t="s">
        <v>39</v>
      </c>
      <c r="C483" s="1" t="s">
        <v>40</v>
      </c>
      <c r="D483" s="1" t="s">
        <v>41</v>
      </c>
      <c r="E483" s="1" t="s">
        <v>25</v>
      </c>
      <c r="F483" s="1" t="s">
        <v>42</v>
      </c>
      <c r="G483" s="1" t="s">
        <v>2859</v>
      </c>
      <c r="H483" s="1" t="s">
        <v>99</v>
      </c>
      <c r="I483" s="1" t="s">
        <v>2860</v>
      </c>
      <c r="J483" s="1" t="s">
        <v>2861</v>
      </c>
      <c r="K483" s="1" t="s">
        <v>489</v>
      </c>
      <c r="L483" s="1" t="s">
        <v>2267</v>
      </c>
      <c r="M483" s="1" t="s">
        <v>49</v>
      </c>
      <c r="N483" s="1" t="s">
        <v>2862</v>
      </c>
      <c r="O483" s="1" t="s">
        <v>35</v>
      </c>
      <c r="P483" s="1" t="s">
        <v>2860</v>
      </c>
      <c r="Q483" s="1" t="s">
        <v>957</v>
      </c>
      <c r="R483" s="1" t="s">
        <v>37</v>
      </c>
      <c r="S483" s="1" t="s">
        <v>37</v>
      </c>
      <c r="T483" s="1" t="s">
        <v>37</v>
      </c>
      <c r="U483" s="1" t="s">
        <v>37</v>
      </c>
    </row>
    <row r="484" spans="1:21">
      <c r="A484" s="1" t="s">
        <v>2863</v>
      </c>
      <c r="B484" s="1" t="s">
        <v>22</v>
      </c>
      <c r="C484" s="1" t="s">
        <v>23</v>
      </c>
      <c r="D484" s="1" t="s">
        <v>41</v>
      </c>
      <c r="E484" s="1" t="s">
        <v>992</v>
      </c>
      <c r="F484" s="1" t="s">
        <v>72</v>
      </c>
      <c r="G484" s="1" t="s">
        <v>2864</v>
      </c>
      <c r="H484" s="1" t="s">
        <v>44</v>
      </c>
      <c r="I484" s="1" t="s">
        <v>2865</v>
      </c>
      <c r="J484" s="1" t="s">
        <v>2866</v>
      </c>
      <c r="K484" s="1" t="s">
        <v>906</v>
      </c>
      <c r="L484" s="1" t="s">
        <v>1070</v>
      </c>
      <c r="M484" s="1" t="s">
        <v>33</v>
      </c>
      <c r="N484" s="1" t="s">
        <v>2867</v>
      </c>
      <c r="O484" s="1" t="s">
        <v>35</v>
      </c>
      <c r="P484" s="1" t="s">
        <v>2865</v>
      </c>
      <c r="Q484" s="1" t="s">
        <v>44</v>
      </c>
      <c r="R484" s="1" t="s">
        <v>37</v>
      </c>
      <c r="S484" s="1" t="s">
        <v>37</v>
      </c>
      <c r="T484" s="1" t="s">
        <v>37</v>
      </c>
      <c r="U484" s="1" t="s">
        <v>37</v>
      </c>
    </row>
    <row r="485" spans="1:21">
      <c r="A485" s="1" t="s">
        <v>2868</v>
      </c>
      <c r="B485" s="1" t="s">
        <v>115</v>
      </c>
      <c r="C485" s="1" t="s">
        <v>116</v>
      </c>
      <c r="D485" s="1" t="s">
        <v>24</v>
      </c>
      <c r="E485" s="1" t="s">
        <v>992</v>
      </c>
      <c r="F485" s="1" t="s">
        <v>53</v>
      </c>
      <c r="G485" s="1" t="s">
        <v>2869</v>
      </c>
      <c r="H485" s="1" t="s">
        <v>99</v>
      </c>
      <c r="I485" s="1" t="s">
        <v>2870</v>
      </c>
      <c r="J485" s="1" t="s">
        <v>2871</v>
      </c>
      <c r="K485" s="1" t="s">
        <v>148</v>
      </c>
      <c r="L485" s="1" t="s">
        <v>173</v>
      </c>
      <c r="M485" s="1" t="s">
        <v>49</v>
      </c>
      <c r="N485" s="1" t="s">
        <v>2872</v>
      </c>
      <c r="O485" s="1" t="s">
        <v>35</v>
      </c>
      <c r="P485" s="1" t="s">
        <v>2870</v>
      </c>
      <c r="Q485" s="1" t="s">
        <v>90</v>
      </c>
      <c r="R485" s="1" t="s">
        <v>37</v>
      </c>
      <c r="S485" s="1" t="s">
        <v>37</v>
      </c>
      <c r="T485" s="1" t="s">
        <v>37</v>
      </c>
      <c r="U485" s="1" t="s">
        <v>37</v>
      </c>
    </row>
    <row r="486" spans="1:21">
      <c r="A486" s="1" t="s">
        <v>2873</v>
      </c>
      <c r="B486" s="1" t="s">
        <v>39</v>
      </c>
      <c r="C486" s="1" t="s">
        <v>40</v>
      </c>
      <c r="D486" s="1" t="s">
        <v>24</v>
      </c>
      <c r="E486" s="1" t="s">
        <v>25</v>
      </c>
      <c r="F486" s="1" t="s">
        <v>72</v>
      </c>
      <c r="G486" s="1" t="s">
        <v>2874</v>
      </c>
      <c r="H486" s="1" t="s">
        <v>99</v>
      </c>
      <c r="I486" s="1" t="s">
        <v>2875</v>
      </c>
      <c r="J486" s="1" t="s">
        <v>2876</v>
      </c>
      <c r="K486" s="1" t="s">
        <v>187</v>
      </c>
      <c r="L486" s="1" t="s">
        <v>271</v>
      </c>
      <c r="M486" s="1" t="s">
        <v>59</v>
      </c>
      <c r="N486" s="1" t="s">
        <v>2877</v>
      </c>
      <c r="O486" s="1" t="s">
        <v>35</v>
      </c>
      <c r="P486" s="1" t="s">
        <v>2875</v>
      </c>
      <c r="Q486" s="1" t="s">
        <v>28</v>
      </c>
      <c r="R486" s="1" t="s">
        <v>37</v>
      </c>
      <c r="S486" s="1" t="s">
        <v>37</v>
      </c>
      <c r="T486" s="1" t="s">
        <v>37</v>
      </c>
      <c r="U486" s="1" t="s">
        <v>37</v>
      </c>
    </row>
    <row r="487" spans="1:21">
      <c r="A487" s="1" t="s">
        <v>2878</v>
      </c>
      <c r="B487" s="1" t="s">
        <v>115</v>
      </c>
      <c r="C487" s="1" t="s">
        <v>116</v>
      </c>
      <c r="D487" s="1" t="s">
        <v>24</v>
      </c>
      <c r="E487" s="1" t="s">
        <v>25</v>
      </c>
      <c r="F487" s="1" t="s">
        <v>72</v>
      </c>
      <c r="G487" s="1" t="s">
        <v>1145</v>
      </c>
      <c r="H487" s="1" t="s">
        <v>129</v>
      </c>
      <c r="I487" s="1" t="s">
        <v>2879</v>
      </c>
      <c r="J487" s="1" t="s">
        <v>2880</v>
      </c>
      <c r="K487" s="1" t="s">
        <v>1194</v>
      </c>
      <c r="L487" s="1" t="s">
        <v>2881</v>
      </c>
      <c r="M487" s="1" t="s">
        <v>33</v>
      </c>
      <c r="N487" s="1" t="s">
        <v>2882</v>
      </c>
      <c r="O487" s="1" t="s">
        <v>35</v>
      </c>
      <c r="P487" s="1" t="s">
        <v>2879</v>
      </c>
      <c r="Q487" s="1" t="s">
        <v>468</v>
      </c>
      <c r="R487" s="1" t="s">
        <v>37</v>
      </c>
      <c r="S487" s="1" t="s">
        <v>37</v>
      </c>
      <c r="T487" s="1" t="s">
        <v>37</v>
      </c>
      <c r="U487" s="1" t="s">
        <v>37</v>
      </c>
    </row>
    <row r="488" spans="1:21">
      <c r="A488" s="1" t="s">
        <v>2883</v>
      </c>
      <c r="B488" s="1" t="s">
        <v>115</v>
      </c>
      <c r="C488" s="1" t="s">
        <v>116</v>
      </c>
      <c r="D488" s="1" t="s">
        <v>41</v>
      </c>
      <c r="E488" s="1" t="s">
        <v>25</v>
      </c>
      <c r="F488" s="1" t="s">
        <v>127</v>
      </c>
      <c r="G488" s="1" t="s">
        <v>2884</v>
      </c>
      <c r="H488" s="1" t="s">
        <v>99</v>
      </c>
      <c r="I488" s="1" t="s">
        <v>2885</v>
      </c>
      <c r="J488" s="1" t="s">
        <v>2886</v>
      </c>
      <c r="K488" s="1" t="s">
        <v>452</v>
      </c>
      <c r="L488" s="1" t="s">
        <v>432</v>
      </c>
      <c r="M488" s="1" t="s">
        <v>49</v>
      </c>
      <c r="N488" s="1" t="s">
        <v>2887</v>
      </c>
      <c r="O488" s="1" t="s">
        <v>35</v>
      </c>
      <c r="P488" s="1" t="s">
        <v>2885</v>
      </c>
      <c r="Q488" s="1" t="s">
        <v>663</v>
      </c>
      <c r="R488" s="1" t="s">
        <v>37</v>
      </c>
      <c r="S488" s="1" t="s">
        <v>37</v>
      </c>
      <c r="T488" s="1" t="s">
        <v>37</v>
      </c>
      <c r="U488" s="1" t="s">
        <v>37</v>
      </c>
    </row>
    <row r="489" spans="1:21">
      <c r="A489" s="1" t="s">
        <v>2888</v>
      </c>
      <c r="B489" s="1" t="s">
        <v>22</v>
      </c>
      <c r="C489" s="1" t="s">
        <v>23</v>
      </c>
      <c r="D489" s="1" t="s">
        <v>41</v>
      </c>
      <c r="E489" s="1" t="s">
        <v>992</v>
      </c>
      <c r="F489" s="1" t="s">
        <v>127</v>
      </c>
      <c r="G489" s="1" t="s">
        <v>2784</v>
      </c>
      <c r="H489" s="1" t="s">
        <v>129</v>
      </c>
      <c r="I489" s="1" t="s">
        <v>2889</v>
      </c>
      <c r="J489" s="1" t="s">
        <v>2890</v>
      </c>
      <c r="K489" s="1" t="s">
        <v>335</v>
      </c>
      <c r="L489" s="1" t="s">
        <v>1446</v>
      </c>
      <c r="M489" s="1" t="s">
        <v>33</v>
      </c>
      <c r="N489" s="1" t="s">
        <v>2891</v>
      </c>
      <c r="O489" s="1" t="s">
        <v>35</v>
      </c>
      <c r="P489" s="1" t="s">
        <v>2889</v>
      </c>
      <c r="Q489" s="1" t="s">
        <v>638</v>
      </c>
      <c r="R489" s="1" t="s">
        <v>37</v>
      </c>
      <c r="S489" s="1" t="s">
        <v>37</v>
      </c>
      <c r="T489" s="1" t="s">
        <v>37</v>
      </c>
      <c r="U489" s="1" t="s">
        <v>37</v>
      </c>
    </row>
    <row r="490" spans="1:21">
      <c r="A490" s="1" t="s">
        <v>2892</v>
      </c>
      <c r="B490" s="1" t="s">
        <v>39</v>
      </c>
      <c r="C490" s="1" t="s">
        <v>40</v>
      </c>
      <c r="D490" s="1" t="s">
        <v>41</v>
      </c>
      <c r="E490" s="1" t="s">
        <v>992</v>
      </c>
      <c r="F490" s="1" t="s">
        <v>53</v>
      </c>
      <c r="G490" s="1" t="s">
        <v>2893</v>
      </c>
      <c r="H490" s="1" t="s">
        <v>253</v>
      </c>
      <c r="I490" s="1" t="s">
        <v>2894</v>
      </c>
      <c r="J490" s="1" t="s">
        <v>2895</v>
      </c>
      <c r="K490" s="1" t="s">
        <v>1122</v>
      </c>
      <c r="L490" s="1" t="s">
        <v>2896</v>
      </c>
      <c r="M490" s="1" t="s">
        <v>49</v>
      </c>
      <c r="N490" s="1" t="s">
        <v>2893</v>
      </c>
      <c r="O490" s="1" t="s">
        <v>35</v>
      </c>
      <c r="P490" s="1" t="s">
        <v>2894</v>
      </c>
      <c r="Q490" s="1" t="s">
        <v>550</v>
      </c>
      <c r="R490" s="1" t="s">
        <v>37</v>
      </c>
      <c r="S490" s="1" t="s">
        <v>37</v>
      </c>
      <c r="T490" s="1" t="s">
        <v>37</v>
      </c>
      <c r="U490" s="1" t="s">
        <v>37</v>
      </c>
    </row>
    <row r="491" spans="1:21">
      <c r="A491" s="1" t="s">
        <v>2897</v>
      </c>
      <c r="B491" s="1" t="s">
        <v>115</v>
      </c>
      <c r="C491" s="1" t="s">
        <v>116</v>
      </c>
      <c r="D491" s="1" t="s">
        <v>24</v>
      </c>
      <c r="E491" s="1" t="s">
        <v>25</v>
      </c>
      <c r="F491" s="1" t="s">
        <v>53</v>
      </c>
      <c r="G491" s="1" t="s">
        <v>2898</v>
      </c>
      <c r="H491" s="1" t="s">
        <v>275</v>
      </c>
      <c r="I491" s="1" t="s">
        <v>2899</v>
      </c>
      <c r="J491" s="1" t="s">
        <v>2900</v>
      </c>
      <c r="K491" s="1" t="s">
        <v>2159</v>
      </c>
      <c r="L491" s="1" t="s">
        <v>2032</v>
      </c>
      <c r="M491" s="1" t="s">
        <v>33</v>
      </c>
      <c r="N491" s="1" t="s">
        <v>2901</v>
      </c>
      <c r="O491" s="1" t="s">
        <v>35</v>
      </c>
      <c r="P491" s="1" t="s">
        <v>2899</v>
      </c>
      <c r="Q491" s="1" t="s">
        <v>971</v>
      </c>
      <c r="R491" s="1" t="s">
        <v>37</v>
      </c>
      <c r="S491" s="1" t="s">
        <v>37</v>
      </c>
      <c r="T491" s="1" t="s">
        <v>37</v>
      </c>
      <c r="U491" s="1" t="s">
        <v>37</v>
      </c>
    </row>
    <row r="492" spans="1:21">
      <c r="A492" s="1" t="s">
        <v>2902</v>
      </c>
      <c r="B492" s="1" t="s">
        <v>115</v>
      </c>
      <c r="C492" s="1" t="s">
        <v>116</v>
      </c>
      <c r="D492" s="1" t="s">
        <v>41</v>
      </c>
      <c r="E492" s="1" t="s">
        <v>25</v>
      </c>
      <c r="F492" s="1" t="s">
        <v>127</v>
      </c>
      <c r="G492" s="1" t="s">
        <v>2903</v>
      </c>
      <c r="H492" s="1" t="s">
        <v>107</v>
      </c>
      <c r="I492" s="1" t="s">
        <v>2904</v>
      </c>
      <c r="J492" s="1" t="s">
        <v>2905</v>
      </c>
      <c r="K492" s="1" t="s">
        <v>522</v>
      </c>
      <c r="L492" s="1" t="s">
        <v>271</v>
      </c>
      <c r="M492" s="1" t="s">
        <v>33</v>
      </c>
      <c r="N492" s="1" t="s">
        <v>2906</v>
      </c>
      <c r="O492" s="1" t="s">
        <v>35</v>
      </c>
      <c r="P492" s="1" t="s">
        <v>2904</v>
      </c>
      <c r="Q492" s="1" t="s">
        <v>159</v>
      </c>
      <c r="R492" s="1" t="s">
        <v>37</v>
      </c>
      <c r="S492" s="1" t="s">
        <v>37</v>
      </c>
      <c r="T492" s="1" t="s">
        <v>37</v>
      </c>
      <c r="U492" s="1" t="s">
        <v>37</v>
      </c>
    </row>
    <row r="493" spans="1:21">
      <c r="A493" s="1" t="s">
        <v>2907</v>
      </c>
      <c r="B493" s="1" t="s">
        <v>22</v>
      </c>
      <c r="C493" s="1" t="s">
        <v>23</v>
      </c>
      <c r="D493" s="1" t="s">
        <v>24</v>
      </c>
      <c r="E493" s="1" t="s">
        <v>25</v>
      </c>
      <c r="F493" s="1" t="s">
        <v>127</v>
      </c>
      <c r="G493" s="1" t="s">
        <v>2908</v>
      </c>
      <c r="H493" s="1" t="s">
        <v>99</v>
      </c>
      <c r="I493" s="1" t="s">
        <v>2909</v>
      </c>
      <c r="J493" s="1" t="s">
        <v>2910</v>
      </c>
      <c r="K493" s="1" t="s">
        <v>225</v>
      </c>
      <c r="L493" s="1" t="s">
        <v>2911</v>
      </c>
      <c r="M493" s="1" t="s">
        <v>59</v>
      </c>
      <c r="N493" s="1" t="s">
        <v>2912</v>
      </c>
      <c r="O493" s="1" t="s">
        <v>35</v>
      </c>
      <c r="P493" s="1" t="s">
        <v>2909</v>
      </c>
      <c r="Q493" s="1" t="s">
        <v>113</v>
      </c>
      <c r="R493" s="1" t="s">
        <v>37</v>
      </c>
      <c r="S493" s="1" t="s">
        <v>37</v>
      </c>
      <c r="T493" s="1" t="s">
        <v>37</v>
      </c>
      <c r="U493" s="1" t="s">
        <v>37</v>
      </c>
    </row>
    <row r="494" spans="1:21">
      <c r="A494" s="1" t="s">
        <v>2913</v>
      </c>
      <c r="B494" s="1" t="s">
        <v>115</v>
      </c>
      <c r="C494" s="1" t="s">
        <v>116</v>
      </c>
      <c r="D494" s="1" t="s">
        <v>24</v>
      </c>
      <c r="E494" s="1" t="s">
        <v>25</v>
      </c>
      <c r="F494" s="1" t="s">
        <v>26</v>
      </c>
      <c r="G494" s="1" t="s">
        <v>2914</v>
      </c>
      <c r="H494" s="1" t="s">
        <v>64</v>
      </c>
      <c r="I494" s="1" t="s">
        <v>2915</v>
      </c>
      <c r="J494" s="1" t="s">
        <v>2916</v>
      </c>
      <c r="K494" s="1" t="s">
        <v>217</v>
      </c>
      <c r="L494" s="1" t="s">
        <v>1396</v>
      </c>
      <c r="M494" s="1" t="s">
        <v>33</v>
      </c>
      <c r="N494" s="1" t="s">
        <v>2917</v>
      </c>
      <c r="O494" s="1" t="s">
        <v>35</v>
      </c>
      <c r="P494" s="1" t="s">
        <v>2915</v>
      </c>
      <c r="Q494" s="1" t="s">
        <v>576</v>
      </c>
      <c r="R494" s="1" t="s">
        <v>37</v>
      </c>
      <c r="S494" s="1" t="s">
        <v>37</v>
      </c>
      <c r="T494" s="1" t="s">
        <v>37</v>
      </c>
      <c r="U494" s="1" t="s">
        <v>37</v>
      </c>
    </row>
    <row r="495" spans="1:21">
      <c r="A495" s="1" t="s">
        <v>2918</v>
      </c>
      <c r="B495" s="1" t="s">
        <v>39</v>
      </c>
      <c r="C495" s="1" t="s">
        <v>40</v>
      </c>
      <c r="D495" s="1" t="s">
        <v>24</v>
      </c>
      <c r="E495" s="1" t="s">
        <v>25</v>
      </c>
      <c r="F495" s="1" t="s">
        <v>53</v>
      </c>
      <c r="G495" s="1" t="s">
        <v>2919</v>
      </c>
      <c r="H495" s="1" t="s">
        <v>99</v>
      </c>
      <c r="I495" s="1" t="s">
        <v>2920</v>
      </c>
      <c r="J495" s="1" t="s">
        <v>2921</v>
      </c>
      <c r="K495" s="1" t="s">
        <v>217</v>
      </c>
      <c r="L495" s="1" t="s">
        <v>1453</v>
      </c>
      <c r="M495" s="1" t="s">
        <v>59</v>
      </c>
      <c r="N495" s="1" t="s">
        <v>2922</v>
      </c>
      <c r="O495" s="1" t="s">
        <v>35</v>
      </c>
      <c r="P495" s="1" t="s">
        <v>2920</v>
      </c>
      <c r="Q495" s="1" t="s">
        <v>70</v>
      </c>
      <c r="R495" s="1" t="s">
        <v>37</v>
      </c>
      <c r="S495" s="1" t="s">
        <v>37</v>
      </c>
      <c r="T495" s="1" t="s">
        <v>37</v>
      </c>
      <c r="U495" s="1" t="s">
        <v>37</v>
      </c>
    </row>
    <row r="496" spans="1:21">
      <c r="A496" s="1" t="s">
        <v>2923</v>
      </c>
      <c r="B496" s="1" t="s">
        <v>115</v>
      </c>
      <c r="C496" s="1" t="s">
        <v>116</v>
      </c>
      <c r="D496" s="1" t="s">
        <v>41</v>
      </c>
      <c r="E496" s="1" t="s">
        <v>992</v>
      </c>
      <c r="F496" s="1" t="s">
        <v>127</v>
      </c>
      <c r="G496" s="1" t="s">
        <v>2924</v>
      </c>
      <c r="H496" s="1" t="s">
        <v>107</v>
      </c>
      <c r="I496" s="1" t="s">
        <v>2925</v>
      </c>
      <c r="J496" s="1" t="s">
        <v>2926</v>
      </c>
      <c r="K496" s="1" t="s">
        <v>1500</v>
      </c>
      <c r="L496" s="1" t="s">
        <v>2927</v>
      </c>
      <c r="M496" s="1" t="s">
        <v>33</v>
      </c>
      <c r="N496" s="1" t="s">
        <v>2928</v>
      </c>
      <c r="O496" s="1" t="s">
        <v>35</v>
      </c>
      <c r="P496" s="1" t="s">
        <v>2925</v>
      </c>
      <c r="Q496" s="1" t="s">
        <v>151</v>
      </c>
      <c r="R496" s="1" t="s">
        <v>37</v>
      </c>
      <c r="S496" s="1" t="s">
        <v>37</v>
      </c>
      <c r="T496" s="1" t="s">
        <v>37</v>
      </c>
      <c r="U496" s="1" t="s">
        <v>37</v>
      </c>
    </row>
    <row r="497" spans="1:21">
      <c r="A497" s="1" t="s">
        <v>2929</v>
      </c>
      <c r="B497" s="1" t="s">
        <v>115</v>
      </c>
      <c r="C497" s="1" t="s">
        <v>116</v>
      </c>
      <c r="D497" s="1" t="s">
        <v>41</v>
      </c>
      <c r="E497" s="1" t="s">
        <v>992</v>
      </c>
      <c r="F497" s="1" t="s">
        <v>72</v>
      </c>
      <c r="G497" s="1" t="s">
        <v>2930</v>
      </c>
      <c r="H497" s="1" t="s">
        <v>64</v>
      </c>
      <c r="I497" s="1" t="s">
        <v>2931</v>
      </c>
      <c r="J497" s="1" t="s">
        <v>2932</v>
      </c>
      <c r="K497" s="1" t="s">
        <v>1408</v>
      </c>
      <c r="L497" s="1" t="s">
        <v>2933</v>
      </c>
      <c r="M497" s="1" t="s">
        <v>49</v>
      </c>
      <c r="N497" s="1" t="s">
        <v>2934</v>
      </c>
      <c r="O497" s="1" t="s">
        <v>35</v>
      </c>
      <c r="P497" s="1" t="s">
        <v>2931</v>
      </c>
      <c r="Q497" s="1" t="s">
        <v>618</v>
      </c>
      <c r="R497" s="1" t="s">
        <v>37</v>
      </c>
      <c r="S497" s="1" t="s">
        <v>37</v>
      </c>
      <c r="T497" s="1" t="s">
        <v>37</v>
      </c>
      <c r="U497" s="1" t="s">
        <v>37</v>
      </c>
    </row>
    <row r="498" spans="1:21">
      <c r="A498" s="1" t="s">
        <v>2935</v>
      </c>
      <c r="B498" s="1" t="s">
        <v>39</v>
      </c>
      <c r="C498" s="1" t="s">
        <v>40</v>
      </c>
      <c r="D498" s="1" t="s">
        <v>41</v>
      </c>
      <c r="E498" s="1" t="s">
        <v>25</v>
      </c>
      <c r="F498" s="1" t="s">
        <v>42</v>
      </c>
      <c r="G498" s="1" t="s">
        <v>2936</v>
      </c>
      <c r="H498" s="1" t="s">
        <v>107</v>
      </c>
      <c r="I498" s="1" t="s">
        <v>2937</v>
      </c>
      <c r="J498" s="1" t="s">
        <v>2938</v>
      </c>
      <c r="K498" s="1" t="s">
        <v>187</v>
      </c>
      <c r="L498" s="1" t="s">
        <v>1759</v>
      </c>
      <c r="M498" s="1" t="s">
        <v>49</v>
      </c>
      <c r="N498" s="1" t="s">
        <v>2939</v>
      </c>
      <c r="O498" s="1" t="s">
        <v>35</v>
      </c>
      <c r="P498" s="1" t="s">
        <v>2937</v>
      </c>
      <c r="Q498" s="1" t="s">
        <v>250</v>
      </c>
      <c r="R498" s="1" t="s">
        <v>37</v>
      </c>
      <c r="S498" s="1" t="s">
        <v>37</v>
      </c>
      <c r="T498" s="1" t="s">
        <v>37</v>
      </c>
      <c r="U498" s="1" t="s">
        <v>37</v>
      </c>
    </row>
    <row r="499" spans="1:21">
      <c r="A499" s="1" t="s">
        <v>2940</v>
      </c>
      <c r="B499" s="1" t="s">
        <v>39</v>
      </c>
      <c r="C499" s="1" t="s">
        <v>40</v>
      </c>
      <c r="D499" s="1" t="s">
        <v>41</v>
      </c>
      <c r="E499" s="1" t="s">
        <v>25</v>
      </c>
      <c r="F499" s="1" t="s">
        <v>117</v>
      </c>
      <c r="G499" s="1" t="s">
        <v>2941</v>
      </c>
      <c r="H499" s="1" t="s">
        <v>90</v>
      </c>
      <c r="I499" s="1" t="s">
        <v>2942</v>
      </c>
      <c r="J499" s="1" t="s">
        <v>2943</v>
      </c>
      <c r="K499" s="1" t="s">
        <v>67</v>
      </c>
      <c r="L499" s="1" t="s">
        <v>2944</v>
      </c>
      <c r="M499" s="1" t="s">
        <v>49</v>
      </c>
      <c r="N499" s="1" t="s">
        <v>2945</v>
      </c>
      <c r="O499" s="1" t="s">
        <v>35</v>
      </c>
      <c r="P499" s="1" t="s">
        <v>2942</v>
      </c>
      <c r="Q499" s="1" t="s">
        <v>957</v>
      </c>
      <c r="R499" s="1" t="s">
        <v>37</v>
      </c>
      <c r="S499" s="1" t="s">
        <v>37</v>
      </c>
      <c r="T499" s="1" t="s">
        <v>37</v>
      </c>
      <c r="U499" s="1" t="s">
        <v>37</v>
      </c>
    </row>
    <row r="500" spans="1:21">
      <c r="A500" s="1" t="s">
        <v>2946</v>
      </c>
      <c r="B500" s="1" t="s">
        <v>115</v>
      </c>
      <c r="C500" s="1" t="s">
        <v>116</v>
      </c>
      <c r="D500" s="1" t="s">
        <v>24</v>
      </c>
      <c r="E500" s="1" t="s">
        <v>25</v>
      </c>
      <c r="F500" s="1" t="s">
        <v>72</v>
      </c>
      <c r="G500" s="1" t="s">
        <v>2947</v>
      </c>
      <c r="H500" s="1" t="s">
        <v>253</v>
      </c>
      <c r="I500" s="1" t="s">
        <v>2948</v>
      </c>
      <c r="J500" s="1" t="s">
        <v>2949</v>
      </c>
      <c r="K500" s="1" t="s">
        <v>195</v>
      </c>
      <c r="L500" s="1" t="s">
        <v>241</v>
      </c>
      <c r="M500" s="1" t="s">
        <v>49</v>
      </c>
      <c r="N500" s="1" t="s">
        <v>2947</v>
      </c>
      <c r="O500" s="1" t="s">
        <v>35</v>
      </c>
      <c r="P500" s="1" t="s">
        <v>2948</v>
      </c>
      <c r="Q500" s="1" t="s">
        <v>1655</v>
      </c>
      <c r="R500" s="1" t="s">
        <v>37</v>
      </c>
      <c r="S500" s="1" t="s">
        <v>37</v>
      </c>
      <c r="T500" s="1" t="s">
        <v>37</v>
      </c>
      <c r="U500" s="1" t="s">
        <v>37</v>
      </c>
    </row>
    <row r="501" spans="1:21">
      <c r="A501" s="1" t="s">
        <v>2950</v>
      </c>
      <c r="B501" s="1" t="s">
        <v>22</v>
      </c>
      <c r="C501" s="1" t="s">
        <v>23</v>
      </c>
      <c r="D501" s="1" t="s">
        <v>24</v>
      </c>
      <c r="E501" s="1" t="s">
        <v>25</v>
      </c>
      <c r="F501" s="1" t="s">
        <v>72</v>
      </c>
      <c r="G501" s="1" t="s">
        <v>2951</v>
      </c>
      <c r="H501" s="1" t="s">
        <v>64</v>
      </c>
      <c r="I501" s="1" t="s">
        <v>2952</v>
      </c>
      <c r="J501" s="1" t="s">
        <v>2953</v>
      </c>
      <c r="K501" s="1" t="s">
        <v>356</v>
      </c>
      <c r="L501" s="1" t="s">
        <v>398</v>
      </c>
      <c r="M501" s="1" t="s">
        <v>49</v>
      </c>
      <c r="N501" s="1" t="s">
        <v>2954</v>
      </c>
      <c r="O501" s="1" t="s">
        <v>35</v>
      </c>
      <c r="P501" s="1" t="s">
        <v>2952</v>
      </c>
      <c r="Q501" s="1" t="s">
        <v>51</v>
      </c>
      <c r="R501" s="1" t="s">
        <v>37</v>
      </c>
      <c r="S501" s="1" t="s">
        <v>37</v>
      </c>
      <c r="T501" s="1" t="s">
        <v>37</v>
      </c>
      <c r="U501" s="1" t="s">
        <v>37</v>
      </c>
    </row>
    <row r="502" spans="1:21">
      <c r="A502" s="1" t="s">
        <v>2955</v>
      </c>
      <c r="B502" s="1" t="s">
        <v>115</v>
      </c>
      <c r="C502" s="1" t="s">
        <v>116</v>
      </c>
      <c r="D502" s="1" t="s">
        <v>24</v>
      </c>
      <c r="E502" s="1" t="s">
        <v>992</v>
      </c>
      <c r="F502" s="1" t="s">
        <v>72</v>
      </c>
      <c r="G502" s="1" t="s">
        <v>2956</v>
      </c>
      <c r="H502" s="1" t="s">
        <v>253</v>
      </c>
      <c r="I502" s="1" t="s">
        <v>2957</v>
      </c>
      <c r="J502" s="1" t="s">
        <v>2958</v>
      </c>
      <c r="K502" s="1" t="s">
        <v>419</v>
      </c>
      <c r="L502" s="1" t="s">
        <v>1417</v>
      </c>
      <c r="M502" s="1" t="s">
        <v>59</v>
      </c>
      <c r="N502" s="1" t="s">
        <v>2956</v>
      </c>
      <c r="O502" s="1" t="s">
        <v>35</v>
      </c>
      <c r="P502" s="1" t="s">
        <v>2957</v>
      </c>
      <c r="Q502" s="1" t="s">
        <v>476</v>
      </c>
      <c r="R502" s="1" t="s">
        <v>37</v>
      </c>
      <c r="S502" s="1" t="s">
        <v>37</v>
      </c>
      <c r="T502" s="1" t="s">
        <v>37</v>
      </c>
      <c r="U502" s="1" t="s">
        <v>37</v>
      </c>
    </row>
    <row r="503" spans="1:21">
      <c r="A503" s="1" t="s">
        <v>2959</v>
      </c>
      <c r="B503" s="1" t="s">
        <v>39</v>
      </c>
      <c r="C503" s="1" t="s">
        <v>40</v>
      </c>
      <c r="D503" s="1" t="s">
        <v>24</v>
      </c>
      <c r="E503" s="1" t="s">
        <v>25</v>
      </c>
      <c r="F503" s="1" t="s">
        <v>127</v>
      </c>
      <c r="G503" s="1" t="s">
        <v>2960</v>
      </c>
      <c r="H503" s="1" t="s">
        <v>253</v>
      </c>
      <c r="I503" s="1" t="s">
        <v>2961</v>
      </c>
      <c r="J503" s="1" t="s">
        <v>2962</v>
      </c>
      <c r="K503" s="1" t="s">
        <v>31</v>
      </c>
      <c r="L503" s="1" t="s">
        <v>2963</v>
      </c>
      <c r="M503" s="1" t="s">
        <v>33</v>
      </c>
      <c r="N503" s="1" t="s">
        <v>2960</v>
      </c>
      <c r="O503" s="1" t="s">
        <v>35</v>
      </c>
      <c r="P503" s="1" t="s">
        <v>2961</v>
      </c>
      <c r="Q503" s="1" t="s">
        <v>36</v>
      </c>
      <c r="R503" s="1" t="s">
        <v>37</v>
      </c>
      <c r="S503" s="1" t="s">
        <v>37</v>
      </c>
      <c r="T503" s="1" t="s">
        <v>37</v>
      </c>
      <c r="U503" s="1" t="s">
        <v>37</v>
      </c>
    </row>
    <row r="504" spans="1:21">
      <c r="A504" s="1" t="s">
        <v>2964</v>
      </c>
      <c r="B504" s="1" t="s">
        <v>39</v>
      </c>
      <c r="C504" s="1" t="s">
        <v>40</v>
      </c>
      <c r="D504" s="1" t="s">
        <v>41</v>
      </c>
      <c r="E504" s="1" t="s">
        <v>992</v>
      </c>
      <c r="F504" s="1" t="s">
        <v>53</v>
      </c>
      <c r="G504" s="1" t="s">
        <v>2906</v>
      </c>
      <c r="H504" s="1" t="s">
        <v>107</v>
      </c>
      <c r="I504" s="1" t="s">
        <v>2965</v>
      </c>
      <c r="J504" s="1" t="s">
        <v>2966</v>
      </c>
      <c r="K504" s="1" t="s">
        <v>67</v>
      </c>
      <c r="L504" s="1" t="s">
        <v>271</v>
      </c>
      <c r="M504" s="1" t="s">
        <v>33</v>
      </c>
      <c r="N504" s="1" t="s">
        <v>2967</v>
      </c>
      <c r="O504" s="1" t="s">
        <v>35</v>
      </c>
      <c r="P504" s="1" t="s">
        <v>2965</v>
      </c>
      <c r="Q504" s="1" t="s">
        <v>275</v>
      </c>
      <c r="R504" s="1" t="s">
        <v>37</v>
      </c>
      <c r="S504" s="1" t="s">
        <v>37</v>
      </c>
      <c r="T504" s="1" t="s">
        <v>37</v>
      </c>
      <c r="U504" s="1" t="s">
        <v>37</v>
      </c>
    </row>
    <row r="505" spans="1:21">
      <c r="A505" s="1" t="s">
        <v>2968</v>
      </c>
      <c r="B505" s="1" t="s">
        <v>115</v>
      </c>
      <c r="C505" s="1" t="s">
        <v>116</v>
      </c>
      <c r="D505" s="1" t="s">
        <v>41</v>
      </c>
      <c r="E505" s="1" t="s">
        <v>25</v>
      </c>
      <c r="F505" s="1" t="s">
        <v>72</v>
      </c>
      <c r="G505" s="1" t="s">
        <v>2969</v>
      </c>
      <c r="H505" s="1" t="s">
        <v>107</v>
      </c>
      <c r="I505" s="1" t="s">
        <v>2970</v>
      </c>
      <c r="J505" s="1" t="s">
        <v>2971</v>
      </c>
      <c r="K505" s="1" t="s">
        <v>84</v>
      </c>
      <c r="L505" s="1" t="s">
        <v>2972</v>
      </c>
      <c r="M505" s="1" t="s">
        <v>49</v>
      </c>
      <c r="N505" s="1" t="s">
        <v>2973</v>
      </c>
      <c r="O505" s="1" t="s">
        <v>35</v>
      </c>
      <c r="P505" s="1" t="s">
        <v>2970</v>
      </c>
      <c r="Q505" s="1" t="s">
        <v>359</v>
      </c>
      <c r="R505" s="1" t="s">
        <v>37</v>
      </c>
      <c r="S505" s="1" t="s">
        <v>37</v>
      </c>
      <c r="T505" s="1" t="s">
        <v>37</v>
      </c>
      <c r="U505" s="1" t="s">
        <v>37</v>
      </c>
    </row>
    <row r="506" spans="1:21">
      <c r="A506" s="1" t="s">
        <v>2974</v>
      </c>
      <c r="B506" s="1" t="s">
        <v>115</v>
      </c>
      <c r="C506" s="1" t="s">
        <v>116</v>
      </c>
      <c r="D506" s="1" t="s">
        <v>41</v>
      </c>
      <c r="E506" s="1" t="s">
        <v>992</v>
      </c>
      <c r="F506" s="1" t="s">
        <v>72</v>
      </c>
      <c r="G506" s="1" t="s">
        <v>2975</v>
      </c>
      <c r="H506" s="1" t="s">
        <v>253</v>
      </c>
      <c r="I506" s="1" t="s">
        <v>2976</v>
      </c>
      <c r="J506" s="1" t="s">
        <v>2977</v>
      </c>
      <c r="K506" s="1" t="s">
        <v>93</v>
      </c>
      <c r="L506" s="1" t="s">
        <v>2978</v>
      </c>
      <c r="M506" s="1" t="s">
        <v>59</v>
      </c>
      <c r="N506" s="1" t="s">
        <v>2975</v>
      </c>
      <c r="O506" s="1" t="s">
        <v>35</v>
      </c>
      <c r="P506" s="1" t="s">
        <v>2976</v>
      </c>
      <c r="Q506" s="1" t="s">
        <v>386</v>
      </c>
      <c r="R506" s="1" t="s">
        <v>37</v>
      </c>
      <c r="S506" s="1" t="s">
        <v>37</v>
      </c>
      <c r="T506" s="1" t="s">
        <v>37</v>
      </c>
      <c r="U506" s="1" t="s">
        <v>37</v>
      </c>
    </row>
    <row r="507" spans="1:21">
      <c r="A507" s="1" t="s">
        <v>2979</v>
      </c>
      <c r="B507" s="1" t="s">
        <v>22</v>
      </c>
      <c r="C507" s="1" t="s">
        <v>23</v>
      </c>
      <c r="D507" s="1" t="s">
        <v>24</v>
      </c>
      <c r="E507" s="1" t="s">
        <v>992</v>
      </c>
      <c r="F507" s="1" t="s">
        <v>42</v>
      </c>
      <c r="G507" s="1" t="s">
        <v>2980</v>
      </c>
      <c r="H507" s="1" t="s">
        <v>64</v>
      </c>
      <c r="I507" s="1" t="s">
        <v>2981</v>
      </c>
      <c r="J507" s="1" t="s">
        <v>2982</v>
      </c>
      <c r="K507" s="1" t="s">
        <v>290</v>
      </c>
      <c r="L507" s="1" t="s">
        <v>776</v>
      </c>
      <c r="M507" s="1" t="s">
        <v>33</v>
      </c>
      <c r="N507" s="1" t="s">
        <v>2983</v>
      </c>
      <c r="O507" s="1" t="s">
        <v>35</v>
      </c>
      <c r="P507" s="1" t="s">
        <v>2981</v>
      </c>
      <c r="Q507" s="1" t="s">
        <v>971</v>
      </c>
      <c r="R507" s="1" t="s">
        <v>37</v>
      </c>
      <c r="S507" s="1" t="s">
        <v>37</v>
      </c>
      <c r="T507" s="1" t="s">
        <v>37</v>
      </c>
      <c r="U507" s="1" t="s">
        <v>37</v>
      </c>
    </row>
    <row r="508" spans="1:21">
      <c r="A508" s="1" t="s">
        <v>2984</v>
      </c>
      <c r="B508" s="1" t="s">
        <v>115</v>
      </c>
      <c r="C508" s="1" t="s">
        <v>116</v>
      </c>
      <c r="D508" s="1" t="s">
        <v>24</v>
      </c>
      <c r="E508" s="1" t="s">
        <v>25</v>
      </c>
      <c r="F508" s="1" t="s">
        <v>72</v>
      </c>
      <c r="G508" s="1" t="s">
        <v>2985</v>
      </c>
      <c r="H508" s="1" t="s">
        <v>119</v>
      </c>
      <c r="I508" s="1" t="s">
        <v>2986</v>
      </c>
      <c r="J508" s="1" t="s">
        <v>2987</v>
      </c>
      <c r="K508" s="1" t="s">
        <v>906</v>
      </c>
      <c r="L508" s="1" t="s">
        <v>1272</v>
      </c>
      <c r="M508" s="1" t="s">
        <v>49</v>
      </c>
      <c r="N508" s="1" t="s">
        <v>2988</v>
      </c>
      <c r="O508" s="1" t="s">
        <v>35</v>
      </c>
      <c r="P508" s="1" t="s">
        <v>2986</v>
      </c>
      <c r="Q508" s="1" t="s">
        <v>257</v>
      </c>
      <c r="R508" s="1" t="s">
        <v>37</v>
      </c>
      <c r="S508" s="1" t="s">
        <v>37</v>
      </c>
      <c r="T508" s="1" t="s">
        <v>37</v>
      </c>
      <c r="U508" s="1" t="s">
        <v>37</v>
      </c>
    </row>
    <row r="509" spans="1:21">
      <c r="A509" s="1" t="s">
        <v>2989</v>
      </c>
      <c r="B509" s="1" t="s">
        <v>115</v>
      </c>
      <c r="C509" s="1" t="s">
        <v>116</v>
      </c>
      <c r="D509" s="1" t="s">
        <v>41</v>
      </c>
      <c r="E509" s="1" t="s">
        <v>25</v>
      </c>
      <c r="F509" s="1" t="s">
        <v>117</v>
      </c>
      <c r="G509" s="1" t="s">
        <v>2556</v>
      </c>
      <c r="H509" s="1" t="s">
        <v>90</v>
      </c>
      <c r="I509" s="1" t="s">
        <v>2990</v>
      </c>
      <c r="J509" s="1" t="s">
        <v>2991</v>
      </c>
      <c r="K509" s="1" t="s">
        <v>1057</v>
      </c>
      <c r="L509" s="1" t="s">
        <v>2992</v>
      </c>
      <c r="M509" s="1" t="s">
        <v>59</v>
      </c>
      <c r="N509" s="1" t="s">
        <v>2993</v>
      </c>
      <c r="O509" s="1" t="s">
        <v>35</v>
      </c>
      <c r="P509" s="1" t="s">
        <v>2990</v>
      </c>
      <c r="Q509" s="1" t="s">
        <v>265</v>
      </c>
      <c r="R509" s="1" t="s">
        <v>37</v>
      </c>
      <c r="S509" s="1" t="s">
        <v>37</v>
      </c>
      <c r="T509" s="1" t="s">
        <v>37</v>
      </c>
      <c r="U509" s="1" t="s">
        <v>37</v>
      </c>
    </row>
    <row r="510" spans="1:21">
      <c r="A510" s="1" t="s">
        <v>2994</v>
      </c>
      <c r="B510" s="1" t="s">
        <v>115</v>
      </c>
      <c r="C510" s="1" t="s">
        <v>116</v>
      </c>
      <c r="D510" s="1" t="s">
        <v>24</v>
      </c>
      <c r="E510" s="1" t="s">
        <v>992</v>
      </c>
      <c r="F510" s="1" t="s">
        <v>26</v>
      </c>
      <c r="G510" s="1" t="s">
        <v>2995</v>
      </c>
      <c r="H510" s="1" t="s">
        <v>44</v>
      </c>
      <c r="I510" s="1" t="s">
        <v>2996</v>
      </c>
      <c r="J510" s="1" t="s">
        <v>2997</v>
      </c>
      <c r="K510" s="1" t="s">
        <v>164</v>
      </c>
      <c r="L510" s="1" t="s">
        <v>2280</v>
      </c>
      <c r="M510" s="1" t="s">
        <v>49</v>
      </c>
      <c r="N510" s="1" t="s">
        <v>2998</v>
      </c>
      <c r="O510" s="1" t="s">
        <v>35</v>
      </c>
      <c r="P510" s="1" t="s">
        <v>2996</v>
      </c>
      <c r="Q510" s="1" t="s">
        <v>28</v>
      </c>
      <c r="R510" s="1" t="s">
        <v>37</v>
      </c>
      <c r="S510" s="1" t="s">
        <v>37</v>
      </c>
      <c r="T510" s="1" t="s">
        <v>37</v>
      </c>
      <c r="U510" s="1" t="s">
        <v>37</v>
      </c>
    </row>
    <row r="511" spans="1:21">
      <c r="A511" s="1" t="s">
        <v>2999</v>
      </c>
      <c r="B511" s="1" t="s">
        <v>39</v>
      </c>
      <c r="C511" s="1" t="s">
        <v>40</v>
      </c>
      <c r="D511" s="1" t="s">
        <v>24</v>
      </c>
      <c r="E511" s="1" t="s">
        <v>25</v>
      </c>
      <c r="F511" s="1" t="s">
        <v>53</v>
      </c>
      <c r="G511" s="1" t="s">
        <v>3000</v>
      </c>
      <c r="H511" s="1" t="s">
        <v>90</v>
      </c>
      <c r="I511" s="1" t="s">
        <v>3001</v>
      </c>
      <c r="J511" s="1" t="s">
        <v>3002</v>
      </c>
      <c r="K511" s="1" t="s">
        <v>718</v>
      </c>
      <c r="L511" s="1" t="s">
        <v>111</v>
      </c>
      <c r="M511" s="1" t="s">
        <v>59</v>
      </c>
      <c r="N511" s="1" t="s">
        <v>3003</v>
      </c>
      <c r="O511" s="1" t="s">
        <v>35</v>
      </c>
      <c r="P511" s="1" t="s">
        <v>3001</v>
      </c>
      <c r="Q511" s="1" t="s">
        <v>220</v>
      </c>
      <c r="R511" s="1" t="s">
        <v>37</v>
      </c>
      <c r="S511" s="1" t="s">
        <v>37</v>
      </c>
      <c r="T511" s="1" t="s">
        <v>37</v>
      </c>
      <c r="U511" s="1" t="s">
        <v>37</v>
      </c>
    </row>
    <row r="512" spans="1:21">
      <c r="A512" s="1" t="s">
        <v>3004</v>
      </c>
      <c r="B512" s="1" t="s">
        <v>115</v>
      </c>
      <c r="C512" s="1" t="s">
        <v>116</v>
      </c>
      <c r="D512" s="1" t="s">
        <v>24</v>
      </c>
      <c r="E512" s="1" t="s">
        <v>25</v>
      </c>
      <c r="F512" s="1" t="s">
        <v>72</v>
      </c>
      <c r="G512" s="1" t="s">
        <v>3005</v>
      </c>
      <c r="H512" s="1" t="s">
        <v>28</v>
      </c>
      <c r="I512" s="1" t="s">
        <v>3006</v>
      </c>
      <c r="J512" s="1" t="s">
        <v>3007</v>
      </c>
      <c r="K512" s="1" t="s">
        <v>847</v>
      </c>
      <c r="L512" s="1" t="s">
        <v>1317</v>
      </c>
      <c r="M512" s="1" t="s">
        <v>59</v>
      </c>
      <c r="N512" s="1" t="s">
        <v>3008</v>
      </c>
      <c r="O512" s="1" t="s">
        <v>35</v>
      </c>
      <c r="P512" s="1" t="s">
        <v>3006</v>
      </c>
      <c r="Q512" s="1" t="s">
        <v>957</v>
      </c>
      <c r="R512" s="1" t="s">
        <v>37</v>
      </c>
      <c r="S512" s="1" t="s">
        <v>37</v>
      </c>
      <c r="T512" s="1" t="s">
        <v>37</v>
      </c>
      <c r="U512" s="1" t="s">
        <v>37</v>
      </c>
    </row>
    <row r="513" spans="1:21">
      <c r="A513" s="1" t="s">
        <v>3009</v>
      </c>
      <c r="B513" s="1" t="s">
        <v>22</v>
      </c>
      <c r="C513" s="1" t="s">
        <v>23</v>
      </c>
      <c r="D513" s="1" t="s">
        <v>41</v>
      </c>
      <c r="E513" s="1" t="s">
        <v>25</v>
      </c>
      <c r="F513" s="1" t="s">
        <v>53</v>
      </c>
      <c r="G513" s="1" t="s">
        <v>3010</v>
      </c>
      <c r="H513" s="1" t="s">
        <v>44</v>
      </c>
      <c r="I513" s="1" t="s">
        <v>3011</v>
      </c>
      <c r="J513" s="1" t="s">
        <v>3012</v>
      </c>
      <c r="K513" s="1" t="s">
        <v>31</v>
      </c>
      <c r="L513" s="1" t="s">
        <v>1988</v>
      </c>
      <c r="M513" s="1" t="s">
        <v>33</v>
      </c>
      <c r="N513" s="1" t="s">
        <v>3013</v>
      </c>
      <c r="O513" s="1" t="s">
        <v>35</v>
      </c>
      <c r="P513" s="1" t="s">
        <v>3011</v>
      </c>
      <c r="Q513" s="1" t="s">
        <v>440</v>
      </c>
      <c r="R513" s="1" t="s">
        <v>37</v>
      </c>
      <c r="S513" s="1" t="s">
        <v>37</v>
      </c>
      <c r="T513" s="1" t="s">
        <v>37</v>
      </c>
      <c r="U513" s="1" t="s">
        <v>37</v>
      </c>
    </row>
    <row r="514" spans="1:21">
      <c r="A514" s="1" t="s">
        <v>3014</v>
      </c>
      <c r="B514" s="1" t="s">
        <v>22</v>
      </c>
      <c r="C514" s="1" t="s">
        <v>23</v>
      </c>
      <c r="D514" s="1" t="s">
        <v>41</v>
      </c>
      <c r="E514" s="1" t="s">
        <v>25</v>
      </c>
      <c r="F514" s="1" t="s">
        <v>127</v>
      </c>
      <c r="G514" s="1" t="s">
        <v>3015</v>
      </c>
      <c r="H514" s="1" t="s">
        <v>28</v>
      </c>
      <c r="I514" s="1" t="s">
        <v>3016</v>
      </c>
      <c r="J514" s="1" t="s">
        <v>3017</v>
      </c>
      <c r="K514" s="1" t="s">
        <v>67</v>
      </c>
      <c r="L514" s="1" t="s">
        <v>3018</v>
      </c>
      <c r="M514" s="1" t="s">
        <v>33</v>
      </c>
      <c r="N514" s="1" t="s">
        <v>3019</v>
      </c>
      <c r="O514" s="1" t="s">
        <v>35</v>
      </c>
      <c r="P514" s="1" t="s">
        <v>3016</v>
      </c>
      <c r="Q514" s="1" t="s">
        <v>484</v>
      </c>
      <c r="R514" s="1" t="s">
        <v>37</v>
      </c>
      <c r="S514" s="1" t="s">
        <v>37</v>
      </c>
      <c r="T514" s="1" t="s">
        <v>37</v>
      </c>
      <c r="U514" s="1" t="s">
        <v>37</v>
      </c>
    </row>
    <row r="515" spans="1:21">
      <c r="A515" s="1" t="s">
        <v>3020</v>
      </c>
      <c r="B515" s="1" t="s">
        <v>22</v>
      </c>
      <c r="C515" s="1" t="s">
        <v>23</v>
      </c>
      <c r="D515" s="1" t="s">
        <v>41</v>
      </c>
      <c r="E515" s="1" t="s">
        <v>992</v>
      </c>
      <c r="F515" s="1" t="s">
        <v>42</v>
      </c>
      <c r="G515" s="1" t="s">
        <v>3021</v>
      </c>
      <c r="H515" s="1" t="s">
        <v>28</v>
      </c>
      <c r="I515" s="1" t="s">
        <v>3022</v>
      </c>
      <c r="J515" s="1" t="s">
        <v>3023</v>
      </c>
      <c r="K515" s="1" t="s">
        <v>1718</v>
      </c>
      <c r="L515" s="1" t="s">
        <v>3024</v>
      </c>
      <c r="M515" s="1" t="s">
        <v>49</v>
      </c>
      <c r="N515" s="1" t="s">
        <v>3025</v>
      </c>
      <c r="O515" s="1" t="s">
        <v>35</v>
      </c>
      <c r="P515" s="1" t="s">
        <v>3022</v>
      </c>
      <c r="Q515" s="1" t="s">
        <v>338</v>
      </c>
      <c r="R515" s="1" t="s">
        <v>37</v>
      </c>
      <c r="S515" s="1" t="s">
        <v>37</v>
      </c>
      <c r="T515" s="1" t="s">
        <v>37</v>
      </c>
      <c r="U515" s="1" t="s">
        <v>37</v>
      </c>
    </row>
    <row r="516" spans="1:21">
      <c r="A516" s="1" t="s">
        <v>3026</v>
      </c>
      <c r="B516" s="1" t="s">
        <v>39</v>
      </c>
      <c r="C516" s="1" t="s">
        <v>40</v>
      </c>
      <c r="D516" s="1" t="s">
        <v>24</v>
      </c>
      <c r="E516" s="1" t="s">
        <v>992</v>
      </c>
      <c r="F516" s="1" t="s">
        <v>72</v>
      </c>
      <c r="G516" s="1" t="s">
        <v>3027</v>
      </c>
      <c r="H516" s="1" t="s">
        <v>28</v>
      </c>
      <c r="I516" s="1" t="s">
        <v>3028</v>
      </c>
      <c r="J516" s="1" t="s">
        <v>3029</v>
      </c>
      <c r="K516" s="1" t="s">
        <v>636</v>
      </c>
      <c r="L516" s="1" t="s">
        <v>3030</v>
      </c>
      <c r="M516" s="1" t="s">
        <v>59</v>
      </c>
      <c r="N516" s="1" t="s">
        <v>3031</v>
      </c>
      <c r="O516" s="1" t="s">
        <v>35</v>
      </c>
      <c r="P516" s="1" t="s">
        <v>3028</v>
      </c>
      <c r="Q516" s="1" t="s">
        <v>159</v>
      </c>
      <c r="R516" s="1" t="s">
        <v>37</v>
      </c>
      <c r="S516" s="1" t="s">
        <v>37</v>
      </c>
      <c r="T516" s="1" t="s">
        <v>37</v>
      </c>
      <c r="U516" s="1" t="s">
        <v>37</v>
      </c>
    </row>
    <row r="517" spans="1:21">
      <c r="A517" s="1" t="s">
        <v>3032</v>
      </c>
      <c r="B517" s="1" t="s">
        <v>39</v>
      </c>
      <c r="C517" s="1" t="s">
        <v>40</v>
      </c>
      <c r="D517" s="1" t="s">
        <v>24</v>
      </c>
      <c r="E517" s="1" t="s">
        <v>25</v>
      </c>
      <c r="F517" s="1" t="s">
        <v>127</v>
      </c>
      <c r="G517" s="1" t="s">
        <v>3033</v>
      </c>
      <c r="H517" s="1" t="s">
        <v>253</v>
      </c>
      <c r="I517" s="1" t="s">
        <v>3034</v>
      </c>
      <c r="J517" s="1" t="s">
        <v>3035</v>
      </c>
      <c r="K517" s="1" t="s">
        <v>1379</v>
      </c>
      <c r="L517" s="1" t="s">
        <v>3036</v>
      </c>
      <c r="M517" s="1" t="s">
        <v>33</v>
      </c>
      <c r="N517" s="1" t="s">
        <v>3033</v>
      </c>
      <c r="O517" s="1" t="s">
        <v>35</v>
      </c>
      <c r="P517" s="1" t="s">
        <v>3034</v>
      </c>
      <c r="Q517" s="1" t="s">
        <v>250</v>
      </c>
      <c r="R517" s="1" t="s">
        <v>37</v>
      </c>
      <c r="S517" s="1" t="s">
        <v>37</v>
      </c>
      <c r="T517" s="1" t="s">
        <v>37</v>
      </c>
      <c r="U517" s="1" t="s">
        <v>37</v>
      </c>
    </row>
    <row r="518" spans="1:21">
      <c r="A518" s="1" t="s">
        <v>3037</v>
      </c>
      <c r="B518" s="1" t="s">
        <v>115</v>
      </c>
      <c r="C518" s="1" t="s">
        <v>116</v>
      </c>
      <c r="D518" s="1" t="s">
        <v>24</v>
      </c>
      <c r="E518" s="1" t="s">
        <v>992</v>
      </c>
      <c r="F518" s="1" t="s">
        <v>26</v>
      </c>
      <c r="G518" s="1" t="s">
        <v>3038</v>
      </c>
      <c r="H518" s="1" t="s">
        <v>44</v>
      </c>
      <c r="I518" s="1" t="s">
        <v>3039</v>
      </c>
      <c r="J518" s="1" t="s">
        <v>3040</v>
      </c>
      <c r="K518" s="1" t="s">
        <v>164</v>
      </c>
      <c r="L518" s="1" t="s">
        <v>157</v>
      </c>
      <c r="M518" s="1" t="s">
        <v>33</v>
      </c>
      <c r="N518" s="1" t="s">
        <v>3041</v>
      </c>
      <c r="O518" s="1" t="s">
        <v>35</v>
      </c>
      <c r="P518" s="1" t="s">
        <v>3039</v>
      </c>
      <c r="Q518" s="1" t="s">
        <v>971</v>
      </c>
      <c r="R518" s="1" t="s">
        <v>37</v>
      </c>
      <c r="S518" s="1" t="s">
        <v>37</v>
      </c>
      <c r="T518" s="1" t="s">
        <v>37</v>
      </c>
      <c r="U518" s="1" t="s">
        <v>37</v>
      </c>
    </row>
    <row r="519" spans="1:21">
      <c r="A519" s="1" t="s">
        <v>3042</v>
      </c>
      <c r="B519" s="1" t="s">
        <v>39</v>
      </c>
      <c r="C519" s="1" t="s">
        <v>40</v>
      </c>
      <c r="D519" s="1" t="s">
        <v>24</v>
      </c>
      <c r="E519" s="1" t="s">
        <v>992</v>
      </c>
      <c r="F519" s="1" t="s">
        <v>53</v>
      </c>
      <c r="G519" s="1" t="s">
        <v>3043</v>
      </c>
      <c r="H519" s="1" t="s">
        <v>44</v>
      </c>
      <c r="I519" s="1" t="s">
        <v>3044</v>
      </c>
      <c r="J519" s="1" t="s">
        <v>3045</v>
      </c>
      <c r="K519" s="1" t="s">
        <v>581</v>
      </c>
      <c r="L519" s="1" t="s">
        <v>3046</v>
      </c>
      <c r="M519" s="1" t="s">
        <v>59</v>
      </c>
      <c r="N519" s="1" t="s">
        <v>3047</v>
      </c>
      <c r="O519" s="1" t="s">
        <v>35</v>
      </c>
      <c r="P519" s="1" t="s">
        <v>3044</v>
      </c>
      <c r="Q519" s="1" t="s">
        <v>576</v>
      </c>
      <c r="R519" s="1" t="s">
        <v>37</v>
      </c>
      <c r="S519" s="1" t="s">
        <v>37</v>
      </c>
      <c r="T519" s="1" t="s">
        <v>37</v>
      </c>
      <c r="U519" s="1" t="s">
        <v>37</v>
      </c>
    </row>
    <row r="520" spans="1:21">
      <c r="A520" s="1" t="s">
        <v>3048</v>
      </c>
      <c r="B520" s="1" t="s">
        <v>22</v>
      </c>
      <c r="C520" s="1" t="s">
        <v>23</v>
      </c>
      <c r="D520" s="1" t="s">
        <v>41</v>
      </c>
      <c r="E520" s="1" t="s">
        <v>992</v>
      </c>
      <c r="F520" s="1" t="s">
        <v>53</v>
      </c>
      <c r="G520" s="1" t="s">
        <v>3049</v>
      </c>
      <c r="H520" s="1" t="s">
        <v>107</v>
      </c>
      <c r="I520" s="1" t="s">
        <v>3050</v>
      </c>
      <c r="J520" s="1" t="s">
        <v>3051</v>
      </c>
      <c r="K520" s="1" t="s">
        <v>742</v>
      </c>
      <c r="L520" s="1" t="s">
        <v>731</v>
      </c>
      <c r="M520" s="1" t="s">
        <v>33</v>
      </c>
      <c r="N520" s="1" t="s">
        <v>3052</v>
      </c>
      <c r="O520" s="1" t="s">
        <v>35</v>
      </c>
      <c r="P520" s="1" t="s">
        <v>3050</v>
      </c>
      <c r="Q520" s="1" t="s">
        <v>1089</v>
      </c>
      <c r="R520" s="1" t="s">
        <v>37</v>
      </c>
      <c r="S520" s="1" t="s">
        <v>37</v>
      </c>
      <c r="T520" s="1" t="s">
        <v>37</v>
      </c>
      <c r="U520" s="1" t="s">
        <v>37</v>
      </c>
    </row>
    <row r="521" spans="1:21">
      <c r="A521" s="1" t="s">
        <v>3053</v>
      </c>
      <c r="B521" s="1" t="s">
        <v>39</v>
      </c>
      <c r="C521" s="1" t="s">
        <v>40</v>
      </c>
      <c r="D521" s="1" t="s">
        <v>24</v>
      </c>
      <c r="E521" s="1" t="s">
        <v>992</v>
      </c>
      <c r="F521" s="1" t="s">
        <v>72</v>
      </c>
      <c r="G521" s="1" t="s">
        <v>3054</v>
      </c>
      <c r="H521" s="1" t="s">
        <v>44</v>
      </c>
      <c r="I521" s="1" t="s">
        <v>3055</v>
      </c>
      <c r="J521" s="1" t="s">
        <v>3056</v>
      </c>
      <c r="K521" s="1" t="s">
        <v>349</v>
      </c>
      <c r="L521" s="1" t="s">
        <v>1422</v>
      </c>
      <c r="M521" s="1" t="s">
        <v>59</v>
      </c>
      <c r="N521" s="1" t="s">
        <v>3057</v>
      </c>
      <c r="O521" s="1" t="s">
        <v>35</v>
      </c>
      <c r="P521" s="1" t="s">
        <v>3055</v>
      </c>
      <c r="Q521" s="1" t="s">
        <v>550</v>
      </c>
      <c r="R521" s="1" t="s">
        <v>37</v>
      </c>
      <c r="S521" s="1" t="s">
        <v>37</v>
      </c>
      <c r="T521" s="1" t="s">
        <v>37</v>
      </c>
      <c r="U521" s="1" t="s">
        <v>37</v>
      </c>
    </row>
    <row r="522" spans="1:21">
      <c r="A522" s="1" t="s">
        <v>3058</v>
      </c>
      <c r="B522" s="1" t="s">
        <v>115</v>
      </c>
      <c r="C522" s="1" t="s">
        <v>116</v>
      </c>
      <c r="D522" s="1" t="s">
        <v>41</v>
      </c>
      <c r="E522" s="1" t="s">
        <v>25</v>
      </c>
      <c r="F522" s="1" t="s">
        <v>42</v>
      </c>
      <c r="G522" s="1" t="s">
        <v>3059</v>
      </c>
      <c r="H522" s="1" t="s">
        <v>119</v>
      </c>
      <c r="I522" s="1" t="s">
        <v>3060</v>
      </c>
      <c r="J522" s="1" t="s">
        <v>3061</v>
      </c>
      <c r="K522" s="1" t="s">
        <v>737</v>
      </c>
      <c r="L522" s="1" t="s">
        <v>3062</v>
      </c>
      <c r="M522" s="1" t="s">
        <v>59</v>
      </c>
      <c r="N522" s="1" t="s">
        <v>3063</v>
      </c>
      <c r="O522" s="1" t="s">
        <v>35</v>
      </c>
      <c r="P522" s="1" t="s">
        <v>3060</v>
      </c>
      <c r="Q522" s="1" t="s">
        <v>265</v>
      </c>
      <c r="R522" s="1" t="s">
        <v>37</v>
      </c>
      <c r="S522" s="1" t="s">
        <v>37</v>
      </c>
      <c r="T522" s="1" t="s">
        <v>37</v>
      </c>
      <c r="U522" s="1" t="s">
        <v>37</v>
      </c>
    </row>
    <row r="523" spans="1:21">
      <c r="A523" s="1" t="s">
        <v>3064</v>
      </c>
      <c r="B523" s="1" t="s">
        <v>39</v>
      </c>
      <c r="C523" s="1" t="s">
        <v>40</v>
      </c>
      <c r="D523" s="1" t="s">
        <v>24</v>
      </c>
      <c r="E523" s="1" t="s">
        <v>25</v>
      </c>
      <c r="F523" s="1" t="s">
        <v>53</v>
      </c>
      <c r="G523" s="1" t="s">
        <v>3065</v>
      </c>
      <c r="H523" s="1" t="s">
        <v>90</v>
      </c>
      <c r="I523" s="1" t="s">
        <v>3066</v>
      </c>
      <c r="J523" s="1" t="s">
        <v>3067</v>
      </c>
      <c r="K523" s="1" t="s">
        <v>1408</v>
      </c>
      <c r="L523" s="1" t="s">
        <v>1653</v>
      </c>
      <c r="M523" s="1" t="s">
        <v>49</v>
      </c>
      <c r="N523" s="1" t="s">
        <v>3068</v>
      </c>
      <c r="O523" s="1" t="s">
        <v>35</v>
      </c>
      <c r="P523" s="1" t="s">
        <v>3066</v>
      </c>
      <c r="Q523" s="1" t="s">
        <v>663</v>
      </c>
      <c r="R523" s="1" t="s">
        <v>37</v>
      </c>
      <c r="S523" s="1" t="s">
        <v>37</v>
      </c>
      <c r="T523" s="1" t="s">
        <v>37</v>
      </c>
      <c r="U523" s="1" t="s">
        <v>37</v>
      </c>
    </row>
    <row r="524" spans="1:21">
      <c r="A524" s="1" t="s">
        <v>3069</v>
      </c>
      <c r="B524" s="1" t="s">
        <v>22</v>
      </c>
      <c r="C524" s="1" t="s">
        <v>23</v>
      </c>
      <c r="D524" s="1" t="s">
        <v>24</v>
      </c>
      <c r="E524" s="1" t="s">
        <v>25</v>
      </c>
      <c r="F524" s="1" t="s">
        <v>53</v>
      </c>
      <c r="G524" s="1" t="s">
        <v>3070</v>
      </c>
      <c r="H524" s="1" t="s">
        <v>90</v>
      </c>
      <c r="I524" s="1" t="s">
        <v>3071</v>
      </c>
      <c r="J524" s="1" t="s">
        <v>3072</v>
      </c>
      <c r="K524" s="1" t="s">
        <v>132</v>
      </c>
      <c r="L524" s="1" t="s">
        <v>3073</v>
      </c>
      <c r="M524" s="1" t="s">
        <v>59</v>
      </c>
      <c r="N524" s="1" t="s">
        <v>3074</v>
      </c>
      <c r="O524" s="1" t="s">
        <v>35</v>
      </c>
      <c r="P524" s="1" t="s">
        <v>3071</v>
      </c>
      <c r="Q524" s="1" t="s">
        <v>125</v>
      </c>
      <c r="R524" s="1" t="s">
        <v>37</v>
      </c>
      <c r="S524" s="1" t="s">
        <v>37</v>
      </c>
      <c r="T524" s="1" t="s">
        <v>37</v>
      </c>
      <c r="U524" s="1" t="s">
        <v>37</v>
      </c>
    </row>
    <row r="525" spans="1:21">
      <c r="A525" s="1" t="s">
        <v>3075</v>
      </c>
      <c r="B525" s="1" t="s">
        <v>39</v>
      </c>
      <c r="C525" s="1" t="s">
        <v>40</v>
      </c>
      <c r="D525" s="1" t="s">
        <v>41</v>
      </c>
      <c r="E525" s="1" t="s">
        <v>992</v>
      </c>
      <c r="F525" s="1" t="s">
        <v>26</v>
      </c>
      <c r="G525" s="1" t="s">
        <v>3076</v>
      </c>
      <c r="H525" s="1" t="s">
        <v>107</v>
      </c>
      <c r="I525" s="1" t="s">
        <v>3077</v>
      </c>
      <c r="J525" s="1" t="s">
        <v>3078</v>
      </c>
      <c r="K525" s="1" t="s">
        <v>187</v>
      </c>
      <c r="L525" s="1" t="s">
        <v>3079</v>
      </c>
      <c r="M525" s="1" t="s">
        <v>49</v>
      </c>
      <c r="N525" s="1" t="s">
        <v>3080</v>
      </c>
      <c r="O525" s="1" t="s">
        <v>35</v>
      </c>
      <c r="P525" s="1" t="s">
        <v>3077</v>
      </c>
      <c r="Q525" s="1" t="s">
        <v>44</v>
      </c>
      <c r="R525" s="1" t="s">
        <v>37</v>
      </c>
      <c r="S525" s="1" t="s">
        <v>37</v>
      </c>
      <c r="T525" s="1" t="s">
        <v>37</v>
      </c>
      <c r="U525" s="1" t="s">
        <v>37</v>
      </c>
    </row>
    <row r="526" spans="1:21">
      <c r="A526" s="1" t="s">
        <v>3081</v>
      </c>
      <c r="B526" s="1" t="s">
        <v>22</v>
      </c>
      <c r="C526" s="1" t="s">
        <v>23</v>
      </c>
      <c r="D526" s="1" t="s">
        <v>41</v>
      </c>
      <c r="E526" s="1" t="s">
        <v>992</v>
      </c>
      <c r="F526" s="1" t="s">
        <v>117</v>
      </c>
      <c r="G526" s="1" t="s">
        <v>3082</v>
      </c>
      <c r="H526" s="1" t="s">
        <v>90</v>
      </c>
      <c r="I526" s="1" t="s">
        <v>3083</v>
      </c>
      <c r="J526" s="1" t="s">
        <v>3084</v>
      </c>
      <c r="K526" s="1" t="s">
        <v>67</v>
      </c>
      <c r="L526" s="1" t="s">
        <v>94</v>
      </c>
      <c r="M526" s="1" t="s">
        <v>59</v>
      </c>
      <c r="N526" s="1" t="s">
        <v>3085</v>
      </c>
      <c r="O526" s="1" t="s">
        <v>35</v>
      </c>
      <c r="P526" s="1" t="s">
        <v>3083</v>
      </c>
      <c r="Q526" s="1" t="s">
        <v>64</v>
      </c>
      <c r="R526" s="1" t="s">
        <v>37</v>
      </c>
      <c r="S526" s="1" t="s">
        <v>37</v>
      </c>
      <c r="T526" s="1" t="s">
        <v>37</v>
      </c>
      <c r="U526" s="1" t="s">
        <v>37</v>
      </c>
    </row>
    <row r="527" spans="1:21">
      <c r="A527" s="1" t="s">
        <v>3086</v>
      </c>
      <c r="B527" s="1" t="s">
        <v>22</v>
      </c>
      <c r="C527" s="1" t="s">
        <v>23</v>
      </c>
      <c r="D527" s="1" t="s">
        <v>24</v>
      </c>
      <c r="E527" s="1" t="s">
        <v>25</v>
      </c>
      <c r="F527" s="1" t="s">
        <v>72</v>
      </c>
      <c r="G527" s="1" t="s">
        <v>3087</v>
      </c>
      <c r="H527" s="1" t="s">
        <v>44</v>
      </c>
      <c r="I527" s="1" t="s">
        <v>3088</v>
      </c>
      <c r="J527" s="1" t="s">
        <v>3089</v>
      </c>
      <c r="K527" s="1" t="s">
        <v>93</v>
      </c>
      <c r="L527" s="1" t="s">
        <v>3090</v>
      </c>
      <c r="M527" s="1" t="s">
        <v>33</v>
      </c>
      <c r="N527" s="1" t="s">
        <v>3091</v>
      </c>
      <c r="O527" s="1" t="s">
        <v>35</v>
      </c>
      <c r="P527" s="1" t="s">
        <v>3088</v>
      </c>
      <c r="Q527" s="1" t="s">
        <v>151</v>
      </c>
      <c r="R527" s="1" t="s">
        <v>37</v>
      </c>
      <c r="S527" s="1" t="s">
        <v>37</v>
      </c>
      <c r="T527" s="1" t="s">
        <v>37</v>
      </c>
      <c r="U527" s="1" t="s">
        <v>37</v>
      </c>
    </row>
    <row r="528" spans="1:21">
      <c r="A528" s="1" t="s">
        <v>3092</v>
      </c>
      <c r="B528" s="1" t="s">
        <v>115</v>
      </c>
      <c r="C528" s="1" t="s">
        <v>116</v>
      </c>
      <c r="D528" s="1" t="s">
        <v>41</v>
      </c>
      <c r="E528" s="1" t="s">
        <v>992</v>
      </c>
      <c r="F528" s="1" t="s">
        <v>127</v>
      </c>
      <c r="G528" s="1" t="s">
        <v>3093</v>
      </c>
      <c r="H528" s="1" t="s">
        <v>129</v>
      </c>
      <c r="I528" s="1" t="s">
        <v>3094</v>
      </c>
      <c r="J528" s="1" t="s">
        <v>3095</v>
      </c>
      <c r="K528" s="1" t="s">
        <v>847</v>
      </c>
      <c r="L528" s="1" t="s">
        <v>3096</v>
      </c>
      <c r="M528" s="1" t="s">
        <v>59</v>
      </c>
      <c r="N528" s="1" t="s">
        <v>3097</v>
      </c>
      <c r="O528" s="1" t="s">
        <v>35</v>
      </c>
      <c r="P528" s="1" t="s">
        <v>3094</v>
      </c>
      <c r="Q528" s="1" t="s">
        <v>275</v>
      </c>
      <c r="R528" s="1" t="s">
        <v>37</v>
      </c>
      <c r="S528" s="1" t="s">
        <v>37</v>
      </c>
      <c r="T528" s="1" t="s">
        <v>37</v>
      </c>
      <c r="U528" s="1" t="s">
        <v>37</v>
      </c>
    </row>
    <row r="529" spans="1:21">
      <c r="A529" s="1" t="s">
        <v>3098</v>
      </c>
      <c r="B529" s="1" t="s">
        <v>115</v>
      </c>
      <c r="C529" s="1" t="s">
        <v>116</v>
      </c>
      <c r="D529" s="1" t="s">
        <v>24</v>
      </c>
      <c r="E529" s="1" t="s">
        <v>992</v>
      </c>
      <c r="F529" s="1" t="s">
        <v>127</v>
      </c>
      <c r="G529" s="1" t="s">
        <v>3099</v>
      </c>
      <c r="H529" s="1" t="s">
        <v>107</v>
      </c>
      <c r="I529" s="1" t="s">
        <v>3100</v>
      </c>
      <c r="J529" s="1" t="s">
        <v>3101</v>
      </c>
      <c r="K529" s="1" t="s">
        <v>588</v>
      </c>
      <c r="L529" s="1" t="s">
        <v>2385</v>
      </c>
      <c r="M529" s="1" t="s">
        <v>33</v>
      </c>
      <c r="N529" s="1" t="s">
        <v>3102</v>
      </c>
      <c r="O529" s="1" t="s">
        <v>35</v>
      </c>
      <c r="P529" s="1" t="s">
        <v>3100</v>
      </c>
      <c r="Q529" s="1" t="s">
        <v>257</v>
      </c>
      <c r="R529" s="1" t="s">
        <v>37</v>
      </c>
      <c r="S529" s="1" t="s">
        <v>37</v>
      </c>
      <c r="T529" s="1" t="s">
        <v>37</v>
      </c>
      <c r="U529" s="1" t="s">
        <v>37</v>
      </c>
    </row>
    <row r="530" spans="1:21">
      <c r="A530" s="1" t="s">
        <v>3103</v>
      </c>
      <c r="B530" s="1" t="s">
        <v>115</v>
      </c>
      <c r="C530" s="1" t="s">
        <v>116</v>
      </c>
      <c r="D530" s="1" t="s">
        <v>24</v>
      </c>
      <c r="E530" s="1" t="s">
        <v>25</v>
      </c>
      <c r="F530" s="1" t="s">
        <v>117</v>
      </c>
      <c r="G530" s="1" t="s">
        <v>3104</v>
      </c>
      <c r="H530" s="1" t="s">
        <v>99</v>
      </c>
      <c r="I530" s="1" t="s">
        <v>3105</v>
      </c>
      <c r="J530" s="1" t="s">
        <v>3106</v>
      </c>
      <c r="K530" s="1" t="s">
        <v>156</v>
      </c>
      <c r="L530" s="1" t="s">
        <v>466</v>
      </c>
      <c r="M530" s="1" t="s">
        <v>59</v>
      </c>
      <c r="N530" s="1" t="s">
        <v>3107</v>
      </c>
      <c r="O530" s="1" t="s">
        <v>35</v>
      </c>
      <c r="P530" s="1" t="s">
        <v>3105</v>
      </c>
      <c r="Q530" s="1" t="s">
        <v>440</v>
      </c>
      <c r="R530" s="1" t="s">
        <v>37</v>
      </c>
      <c r="S530" s="1" t="s">
        <v>37</v>
      </c>
      <c r="T530" s="1" t="s">
        <v>37</v>
      </c>
      <c r="U530" s="1" t="s">
        <v>37</v>
      </c>
    </row>
    <row r="531" spans="1:21">
      <c r="A531" s="1" t="s">
        <v>3108</v>
      </c>
      <c r="B531" s="1" t="s">
        <v>22</v>
      </c>
      <c r="C531" s="1" t="s">
        <v>23</v>
      </c>
      <c r="D531" s="1" t="s">
        <v>41</v>
      </c>
      <c r="E531" s="1" t="s">
        <v>992</v>
      </c>
      <c r="F531" s="1" t="s">
        <v>72</v>
      </c>
      <c r="G531" s="1" t="s">
        <v>3109</v>
      </c>
      <c r="H531" s="1" t="s">
        <v>275</v>
      </c>
      <c r="I531" s="1" t="s">
        <v>3110</v>
      </c>
      <c r="J531" s="1" t="s">
        <v>3111</v>
      </c>
      <c r="K531" s="1" t="s">
        <v>232</v>
      </c>
      <c r="L531" s="1" t="s">
        <v>3112</v>
      </c>
      <c r="M531" s="1" t="s">
        <v>49</v>
      </c>
      <c r="N531" s="1" t="s">
        <v>3113</v>
      </c>
      <c r="O531" s="1" t="s">
        <v>35</v>
      </c>
      <c r="P531" s="1" t="s">
        <v>3110</v>
      </c>
      <c r="Q531" s="1" t="s">
        <v>484</v>
      </c>
      <c r="R531" s="1" t="s">
        <v>37</v>
      </c>
      <c r="S531" s="1" t="s">
        <v>37</v>
      </c>
      <c r="T531" s="1" t="s">
        <v>37</v>
      </c>
      <c r="U531" s="1" t="s">
        <v>37</v>
      </c>
    </row>
    <row r="532" spans="1:21">
      <c r="A532" s="1" t="s">
        <v>3114</v>
      </c>
      <c r="B532" s="1" t="s">
        <v>22</v>
      </c>
      <c r="C532" s="1" t="s">
        <v>23</v>
      </c>
      <c r="D532" s="1" t="s">
        <v>41</v>
      </c>
      <c r="E532" s="1" t="s">
        <v>992</v>
      </c>
      <c r="F532" s="1" t="s">
        <v>26</v>
      </c>
      <c r="G532" s="1" t="s">
        <v>3115</v>
      </c>
      <c r="H532" s="1" t="s">
        <v>90</v>
      </c>
      <c r="I532" s="1" t="s">
        <v>3116</v>
      </c>
      <c r="J532" s="1" t="s">
        <v>3117</v>
      </c>
      <c r="K532" s="1" t="s">
        <v>148</v>
      </c>
      <c r="L532" s="1" t="s">
        <v>453</v>
      </c>
      <c r="M532" s="1" t="s">
        <v>33</v>
      </c>
      <c r="N532" s="1" t="s">
        <v>3118</v>
      </c>
      <c r="O532" s="1" t="s">
        <v>35</v>
      </c>
      <c r="P532" s="1" t="s">
        <v>3116</v>
      </c>
      <c r="Q532" s="1" t="s">
        <v>28</v>
      </c>
      <c r="R532" s="1" t="s">
        <v>37</v>
      </c>
      <c r="S532" s="1" t="s">
        <v>37</v>
      </c>
      <c r="T532" s="1" t="s">
        <v>37</v>
      </c>
      <c r="U532" s="1" t="s">
        <v>37</v>
      </c>
    </row>
    <row r="533" spans="1:21">
      <c r="A533" s="1" t="s">
        <v>3119</v>
      </c>
      <c r="B533" s="1" t="s">
        <v>22</v>
      </c>
      <c r="C533" s="1" t="s">
        <v>23</v>
      </c>
      <c r="D533" s="1" t="s">
        <v>24</v>
      </c>
      <c r="E533" s="1" t="s">
        <v>992</v>
      </c>
      <c r="F533" s="1" t="s">
        <v>127</v>
      </c>
      <c r="G533" s="1" t="s">
        <v>3120</v>
      </c>
      <c r="H533" s="1" t="s">
        <v>64</v>
      </c>
      <c r="I533" s="1" t="s">
        <v>3121</v>
      </c>
      <c r="J533" s="1" t="s">
        <v>3122</v>
      </c>
      <c r="K533" s="1" t="s">
        <v>541</v>
      </c>
      <c r="L533" s="1" t="s">
        <v>3123</v>
      </c>
      <c r="M533" s="1" t="s">
        <v>59</v>
      </c>
      <c r="N533" s="1" t="s">
        <v>3124</v>
      </c>
      <c r="O533" s="1" t="s">
        <v>35</v>
      </c>
      <c r="P533" s="1" t="s">
        <v>3121</v>
      </c>
      <c r="Q533" s="1" t="s">
        <v>113</v>
      </c>
      <c r="R533" s="1" t="s">
        <v>37</v>
      </c>
      <c r="S533" s="1" t="s">
        <v>37</v>
      </c>
      <c r="T533" s="1" t="s">
        <v>37</v>
      </c>
      <c r="U533" s="1" t="s">
        <v>37</v>
      </c>
    </row>
    <row r="534" spans="1:21">
      <c r="A534" s="1" t="s">
        <v>3125</v>
      </c>
      <c r="B534" s="1" t="s">
        <v>115</v>
      </c>
      <c r="C534" s="1" t="s">
        <v>116</v>
      </c>
      <c r="D534" s="1" t="s">
        <v>41</v>
      </c>
      <c r="E534" s="1" t="s">
        <v>992</v>
      </c>
      <c r="F534" s="1" t="s">
        <v>42</v>
      </c>
      <c r="G534" s="1" t="s">
        <v>3126</v>
      </c>
      <c r="H534" s="1" t="s">
        <v>99</v>
      </c>
      <c r="I534" s="1" t="s">
        <v>3127</v>
      </c>
      <c r="J534" s="1" t="s">
        <v>3128</v>
      </c>
      <c r="K534" s="1" t="s">
        <v>132</v>
      </c>
      <c r="L534" s="1" t="s">
        <v>248</v>
      </c>
      <c r="M534" s="1" t="s">
        <v>33</v>
      </c>
      <c r="N534" s="1" t="s">
        <v>3129</v>
      </c>
      <c r="O534" s="1" t="s">
        <v>35</v>
      </c>
      <c r="P534" s="1" t="s">
        <v>3127</v>
      </c>
      <c r="Q534" s="1" t="s">
        <v>159</v>
      </c>
      <c r="R534" s="1" t="s">
        <v>37</v>
      </c>
      <c r="S534" s="1" t="s">
        <v>37</v>
      </c>
      <c r="T534" s="1" t="s">
        <v>37</v>
      </c>
      <c r="U534" s="1" t="s">
        <v>37</v>
      </c>
    </row>
    <row r="535" spans="1:21">
      <c r="A535" s="1" t="s">
        <v>3130</v>
      </c>
      <c r="B535" s="1" t="s">
        <v>39</v>
      </c>
      <c r="C535" s="1" t="s">
        <v>40</v>
      </c>
      <c r="D535" s="1" t="s">
        <v>41</v>
      </c>
      <c r="E535" s="1" t="s">
        <v>25</v>
      </c>
      <c r="F535" s="1" t="s">
        <v>117</v>
      </c>
      <c r="G535" s="1" t="s">
        <v>3131</v>
      </c>
      <c r="H535" s="1" t="s">
        <v>275</v>
      </c>
      <c r="I535" s="1" t="s">
        <v>3132</v>
      </c>
      <c r="J535" s="1" t="s">
        <v>3133</v>
      </c>
      <c r="K535" s="1" t="s">
        <v>737</v>
      </c>
      <c r="L535" s="1" t="s">
        <v>3134</v>
      </c>
      <c r="M535" s="1" t="s">
        <v>33</v>
      </c>
      <c r="N535" s="1" t="s">
        <v>3135</v>
      </c>
      <c r="O535" s="1" t="s">
        <v>35</v>
      </c>
      <c r="P535" s="1" t="s">
        <v>3132</v>
      </c>
      <c r="Q535" s="1" t="s">
        <v>70</v>
      </c>
      <c r="R535" s="1" t="s">
        <v>37</v>
      </c>
      <c r="S535" s="1" t="s">
        <v>37</v>
      </c>
      <c r="T535" s="1" t="s">
        <v>37</v>
      </c>
      <c r="U535" s="1" t="s">
        <v>37</v>
      </c>
    </row>
    <row r="536" spans="1:21">
      <c r="A536" s="1" t="s">
        <v>3136</v>
      </c>
      <c r="B536" s="1" t="s">
        <v>22</v>
      </c>
      <c r="C536" s="1" t="s">
        <v>23</v>
      </c>
      <c r="D536" s="1" t="s">
        <v>41</v>
      </c>
      <c r="E536" s="1" t="s">
        <v>25</v>
      </c>
      <c r="F536" s="1" t="s">
        <v>53</v>
      </c>
      <c r="G536" s="1" t="s">
        <v>3137</v>
      </c>
      <c r="H536" s="1" t="s">
        <v>44</v>
      </c>
      <c r="I536" s="1" t="s">
        <v>3138</v>
      </c>
      <c r="J536" s="1" t="s">
        <v>3139</v>
      </c>
      <c r="K536" s="1" t="s">
        <v>179</v>
      </c>
      <c r="L536" s="1" t="s">
        <v>3140</v>
      </c>
      <c r="M536" s="1" t="s">
        <v>33</v>
      </c>
      <c r="N536" s="1" t="s">
        <v>3141</v>
      </c>
      <c r="O536" s="1" t="s">
        <v>35</v>
      </c>
      <c r="P536" s="1" t="s">
        <v>3138</v>
      </c>
      <c r="Q536" s="1" t="s">
        <v>957</v>
      </c>
      <c r="R536" s="1" t="s">
        <v>37</v>
      </c>
      <c r="S536" s="1" t="s">
        <v>37</v>
      </c>
      <c r="T536" s="1" t="s">
        <v>37</v>
      </c>
      <c r="U536" s="1" t="s">
        <v>37</v>
      </c>
    </row>
    <row r="537" spans="1:21">
      <c r="A537" s="1" t="s">
        <v>3142</v>
      </c>
      <c r="B537" s="1" t="s">
        <v>39</v>
      </c>
      <c r="C537" s="1" t="s">
        <v>40</v>
      </c>
      <c r="D537" s="1" t="s">
        <v>41</v>
      </c>
      <c r="E537" s="1" t="s">
        <v>992</v>
      </c>
      <c r="F537" s="1" t="s">
        <v>53</v>
      </c>
      <c r="G537" s="1" t="s">
        <v>1823</v>
      </c>
      <c r="H537" s="1" t="s">
        <v>28</v>
      </c>
      <c r="I537" s="1" t="s">
        <v>3143</v>
      </c>
      <c r="J537" s="1" t="s">
        <v>3144</v>
      </c>
      <c r="K537" s="1" t="s">
        <v>156</v>
      </c>
      <c r="L537" s="1" t="s">
        <v>1165</v>
      </c>
      <c r="M537" s="1" t="s">
        <v>33</v>
      </c>
      <c r="N537" s="1" t="s">
        <v>3145</v>
      </c>
      <c r="O537" s="1" t="s">
        <v>35</v>
      </c>
      <c r="P537" s="1" t="s">
        <v>3143</v>
      </c>
      <c r="Q537" s="1" t="s">
        <v>61</v>
      </c>
      <c r="R537" s="1" t="s">
        <v>37</v>
      </c>
      <c r="S537" s="1" t="s">
        <v>37</v>
      </c>
      <c r="T537" s="1" t="s">
        <v>37</v>
      </c>
      <c r="U537" s="1" t="s">
        <v>37</v>
      </c>
    </row>
    <row r="538" spans="1:21">
      <c r="A538" s="1" t="s">
        <v>3146</v>
      </c>
      <c r="B538" s="1" t="s">
        <v>115</v>
      </c>
      <c r="C538" s="1" t="s">
        <v>116</v>
      </c>
      <c r="D538" s="1" t="s">
        <v>24</v>
      </c>
      <c r="E538" s="1" t="s">
        <v>25</v>
      </c>
      <c r="F538" s="1" t="s">
        <v>127</v>
      </c>
      <c r="G538" s="1" t="s">
        <v>3147</v>
      </c>
      <c r="H538" s="1" t="s">
        <v>253</v>
      </c>
      <c r="I538" s="1" t="s">
        <v>3148</v>
      </c>
      <c r="J538" s="1" t="s">
        <v>3149</v>
      </c>
      <c r="K538" s="1" t="s">
        <v>31</v>
      </c>
      <c r="L538" s="1" t="s">
        <v>804</v>
      </c>
      <c r="M538" s="1" t="s">
        <v>59</v>
      </c>
      <c r="N538" s="1" t="s">
        <v>3147</v>
      </c>
      <c r="O538" s="1" t="s">
        <v>35</v>
      </c>
      <c r="P538" s="1" t="s">
        <v>3148</v>
      </c>
      <c r="Q538" s="1" t="s">
        <v>44</v>
      </c>
      <c r="R538" s="1" t="s">
        <v>37</v>
      </c>
      <c r="S538" s="1" t="s">
        <v>37</v>
      </c>
      <c r="T538" s="1" t="s">
        <v>37</v>
      </c>
      <c r="U538" s="1" t="s">
        <v>37</v>
      </c>
    </row>
    <row r="539" spans="1:21">
      <c r="A539" s="1" t="s">
        <v>3150</v>
      </c>
      <c r="B539" s="1" t="s">
        <v>22</v>
      </c>
      <c r="C539" s="1" t="s">
        <v>23</v>
      </c>
      <c r="D539" s="1" t="s">
        <v>41</v>
      </c>
      <c r="E539" s="1" t="s">
        <v>992</v>
      </c>
      <c r="F539" s="1" t="s">
        <v>53</v>
      </c>
      <c r="G539" s="1" t="s">
        <v>3151</v>
      </c>
      <c r="H539" s="1" t="s">
        <v>253</v>
      </c>
      <c r="I539" s="1" t="s">
        <v>3152</v>
      </c>
      <c r="J539" s="1" t="s">
        <v>3153</v>
      </c>
      <c r="K539" s="1" t="s">
        <v>445</v>
      </c>
      <c r="L539" s="1" t="s">
        <v>1753</v>
      </c>
      <c r="M539" s="1" t="s">
        <v>33</v>
      </c>
      <c r="N539" s="1" t="s">
        <v>3151</v>
      </c>
      <c r="O539" s="1" t="s">
        <v>35</v>
      </c>
      <c r="P539" s="1" t="s">
        <v>3152</v>
      </c>
      <c r="Q539" s="1" t="s">
        <v>190</v>
      </c>
      <c r="R539" s="1" t="s">
        <v>37</v>
      </c>
      <c r="S539" s="1" t="s">
        <v>37</v>
      </c>
      <c r="T539" s="1" t="s">
        <v>37</v>
      </c>
      <c r="U539" s="1" t="s">
        <v>37</v>
      </c>
    </row>
    <row r="540" spans="1:21">
      <c r="A540" s="1" t="s">
        <v>3154</v>
      </c>
      <c r="B540" s="1" t="s">
        <v>22</v>
      </c>
      <c r="C540" s="1" t="s">
        <v>23</v>
      </c>
      <c r="D540" s="1" t="s">
        <v>41</v>
      </c>
      <c r="E540" s="1" t="s">
        <v>25</v>
      </c>
      <c r="F540" s="1" t="s">
        <v>127</v>
      </c>
      <c r="G540" s="1" t="s">
        <v>2760</v>
      </c>
      <c r="H540" s="1" t="s">
        <v>129</v>
      </c>
      <c r="I540" s="1" t="s">
        <v>3155</v>
      </c>
      <c r="J540" s="1" t="s">
        <v>3156</v>
      </c>
      <c r="K540" s="1" t="s">
        <v>93</v>
      </c>
      <c r="L540" s="1" t="s">
        <v>3157</v>
      </c>
      <c r="M540" s="1" t="s">
        <v>59</v>
      </c>
      <c r="N540" s="1" t="s">
        <v>3158</v>
      </c>
      <c r="O540" s="1" t="s">
        <v>35</v>
      </c>
      <c r="P540" s="1" t="s">
        <v>3155</v>
      </c>
      <c r="Q540" s="1" t="s">
        <v>752</v>
      </c>
      <c r="R540" s="1" t="s">
        <v>37</v>
      </c>
      <c r="S540" s="1" t="s">
        <v>37</v>
      </c>
      <c r="T540" s="1" t="s">
        <v>37</v>
      </c>
      <c r="U540" s="1" t="s">
        <v>37</v>
      </c>
    </row>
    <row r="541" spans="1:21">
      <c r="A541" s="1" t="s">
        <v>3159</v>
      </c>
      <c r="B541" s="1" t="s">
        <v>39</v>
      </c>
      <c r="C541" s="1" t="s">
        <v>40</v>
      </c>
      <c r="D541" s="1" t="s">
        <v>24</v>
      </c>
      <c r="E541" s="1" t="s">
        <v>25</v>
      </c>
      <c r="F541" s="1" t="s">
        <v>117</v>
      </c>
      <c r="G541" s="1" t="s">
        <v>3160</v>
      </c>
      <c r="H541" s="1" t="s">
        <v>90</v>
      </c>
      <c r="I541" s="1" t="s">
        <v>3161</v>
      </c>
      <c r="J541" s="1" t="s">
        <v>3162</v>
      </c>
      <c r="K541" s="1" t="s">
        <v>749</v>
      </c>
      <c r="L541" s="1" t="s">
        <v>3163</v>
      </c>
      <c r="M541" s="1" t="s">
        <v>33</v>
      </c>
      <c r="N541" s="1" t="s">
        <v>3164</v>
      </c>
      <c r="O541" s="1" t="s">
        <v>35</v>
      </c>
      <c r="P541" s="1" t="s">
        <v>3161</v>
      </c>
      <c r="Q541" s="1" t="s">
        <v>220</v>
      </c>
      <c r="R541" s="1" t="s">
        <v>37</v>
      </c>
      <c r="S541" s="1" t="s">
        <v>37</v>
      </c>
      <c r="T541" s="1" t="s">
        <v>37</v>
      </c>
      <c r="U541" s="1" t="s">
        <v>37</v>
      </c>
    </row>
    <row r="542" spans="1:21">
      <c r="A542" s="1" t="s">
        <v>3165</v>
      </c>
      <c r="B542" s="1" t="s">
        <v>22</v>
      </c>
      <c r="C542" s="1" t="s">
        <v>23</v>
      </c>
      <c r="D542" s="1" t="s">
        <v>41</v>
      </c>
      <c r="E542" s="1" t="s">
        <v>992</v>
      </c>
      <c r="F542" s="1" t="s">
        <v>53</v>
      </c>
      <c r="G542" s="1" t="s">
        <v>3166</v>
      </c>
      <c r="H542" s="1" t="s">
        <v>119</v>
      </c>
      <c r="I542" s="1" t="s">
        <v>3167</v>
      </c>
      <c r="J542" s="1" t="s">
        <v>3168</v>
      </c>
      <c r="K542" s="1" t="s">
        <v>581</v>
      </c>
      <c r="L542" s="1" t="s">
        <v>1702</v>
      </c>
      <c r="M542" s="1" t="s">
        <v>33</v>
      </c>
      <c r="N542" s="1" t="s">
        <v>3169</v>
      </c>
      <c r="O542" s="1" t="s">
        <v>35</v>
      </c>
      <c r="P542" s="1" t="s">
        <v>3167</v>
      </c>
      <c r="Q542" s="1" t="s">
        <v>36</v>
      </c>
      <c r="R542" s="1" t="s">
        <v>37</v>
      </c>
      <c r="S542" s="1" t="s">
        <v>37</v>
      </c>
      <c r="T542" s="1" t="s">
        <v>37</v>
      </c>
      <c r="U542" s="1" t="s">
        <v>37</v>
      </c>
    </row>
    <row r="543" spans="1:21">
      <c r="A543" s="1" t="s">
        <v>3170</v>
      </c>
      <c r="B543" s="1" t="s">
        <v>39</v>
      </c>
      <c r="C543" s="1" t="s">
        <v>40</v>
      </c>
      <c r="D543" s="1" t="s">
        <v>24</v>
      </c>
      <c r="E543" s="1" t="s">
        <v>992</v>
      </c>
      <c r="F543" s="1" t="s">
        <v>26</v>
      </c>
      <c r="G543" s="1" t="s">
        <v>3171</v>
      </c>
      <c r="H543" s="1" t="s">
        <v>253</v>
      </c>
      <c r="I543" s="1" t="s">
        <v>3172</v>
      </c>
      <c r="J543" s="1" t="s">
        <v>3173</v>
      </c>
      <c r="K543" s="1" t="s">
        <v>1164</v>
      </c>
      <c r="L543" s="1" t="s">
        <v>3174</v>
      </c>
      <c r="M543" s="1" t="s">
        <v>59</v>
      </c>
      <c r="N543" s="1" t="s">
        <v>3171</v>
      </c>
      <c r="O543" s="1" t="s">
        <v>35</v>
      </c>
      <c r="P543" s="1" t="s">
        <v>3172</v>
      </c>
      <c r="Q543" s="1" t="s">
        <v>151</v>
      </c>
      <c r="R543" s="1" t="s">
        <v>37</v>
      </c>
      <c r="S543" s="1" t="s">
        <v>37</v>
      </c>
      <c r="T543" s="1" t="s">
        <v>37</v>
      </c>
      <c r="U543" s="1" t="s">
        <v>37</v>
      </c>
    </row>
    <row r="544" spans="1:21">
      <c r="A544" s="1" t="s">
        <v>3175</v>
      </c>
      <c r="B544" s="1" t="s">
        <v>115</v>
      </c>
      <c r="C544" s="1" t="s">
        <v>116</v>
      </c>
      <c r="D544" s="1" t="s">
        <v>24</v>
      </c>
      <c r="E544" s="1" t="s">
        <v>25</v>
      </c>
      <c r="F544" s="1" t="s">
        <v>72</v>
      </c>
      <c r="G544" s="1" t="s">
        <v>3176</v>
      </c>
      <c r="H544" s="1" t="s">
        <v>129</v>
      </c>
      <c r="I544" s="1" t="s">
        <v>3177</v>
      </c>
      <c r="J544" s="1" t="s">
        <v>3178</v>
      </c>
      <c r="K544" s="1" t="s">
        <v>1206</v>
      </c>
      <c r="L544" s="1" t="s">
        <v>2160</v>
      </c>
      <c r="M544" s="1" t="s">
        <v>59</v>
      </c>
      <c r="N544" s="1" t="s">
        <v>3179</v>
      </c>
      <c r="O544" s="1" t="s">
        <v>35</v>
      </c>
      <c r="P544" s="1" t="s">
        <v>3177</v>
      </c>
      <c r="Q544" s="1" t="s">
        <v>44</v>
      </c>
      <c r="R544" s="1" t="s">
        <v>37</v>
      </c>
      <c r="S544" s="1" t="s">
        <v>37</v>
      </c>
      <c r="T544" s="1" t="s">
        <v>37</v>
      </c>
      <c r="U544" s="1" t="s">
        <v>37</v>
      </c>
    </row>
    <row r="545" spans="1:21">
      <c r="A545" s="1" t="s">
        <v>3180</v>
      </c>
      <c r="B545" s="1" t="s">
        <v>39</v>
      </c>
      <c r="C545" s="1" t="s">
        <v>40</v>
      </c>
      <c r="D545" s="1" t="s">
        <v>24</v>
      </c>
      <c r="E545" s="1" t="s">
        <v>992</v>
      </c>
      <c r="F545" s="1" t="s">
        <v>42</v>
      </c>
      <c r="G545" s="1" t="s">
        <v>3181</v>
      </c>
      <c r="H545" s="1" t="s">
        <v>90</v>
      </c>
      <c r="I545" s="1" t="s">
        <v>3182</v>
      </c>
      <c r="J545" s="1" t="s">
        <v>3183</v>
      </c>
      <c r="K545" s="1" t="s">
        <v>290</v>
      </c>
      <c r="L545" s="1" t="s">
        <v>949</v>
      </c>
      <c r="M545" s="1" t="s">
        <v>59</v>
      </c>
      <c r="N545" s="1" t="s">
        <v>3184</v>
      </c>
      <c r="O545" s="1" t="s">
        <v>35</v>
      </c>
      <c r="P545" s="1" t="s">
        <v>3182</v>
      </c>
      <c r="Q545" s="1" t="s">
        <v>618</v>
      </c>
      <c r="R545" s="1" t="s">
        <v>37</v>
      </c>
      <c r="S545" s="1" t="s">
        <v>37</v>
      </c>
      <c r="T545" s="1" t="s">
        <v>37</v>
      </c>
      <c r="U545" s="1" t="s">
        <v>37</v>
      </c>
    </row>
    <row r="546" spans="1:21">
      <c r="A546" s="1" t="s">
        <v>3185</v>
      </c>
      <c r="B546" s="1" t="s">
        <v>115</v>
      </c>
      <c r="C546" s="1" t="s">
        <v>116</v>
      </c>
      <c r="D546" s="1" t="s">
        <v>41</v>
      </c>
      <c r="E546" s="1" t="s">
        <v>25</v>
      </c>
      <c r="F546" s="1" t="s">
        <v>117</v>
      </c>
      <c r="G546" s="1" t="s">
        <v>3186</v>
      </c>
      <c r="H546" s="1" t="s">
        <v>253</v>
      </c>
      <c r="I546" s="1" t="s">
        <v>3187</v>
      </c>
      <c r="J546" s="1" t="s">
        <v>3188</v>
      </c>
      <c r="K546" s="1" t="s">
        <v>31</v>
      </c>
      <c r="L546" s="1" t="s">
        <v>3189</v>
      </c>
      <c r="M546" s="1" t="s">
        <v>59</v>
      </c>
      <c r="N546" s="1" t="s">
        <v>3186</v>
      </c>
      <c r="O546" s="1" t="s">
        <v>35</v>
      </c>
      <c r="P546" s="1" t="s">
        <v>3187</v>
      </c>
      <c r="Q546" s="1" t="s">
        <v>798</v>
      </c>
      <c r="R546" s="1" t="s">
        <v>37</v>
      </c>
      <c r="S546" s="1" t="s">
        <v>37</v>
      </c>
      <c r="T546" s="1" t="s">
        <v>37</v>
      </c>
      <c r="U546" s="1" t="s">
        <v>37</v>
      </c>
    </row>
    <row r="547" spans="1:21">
      <c r="A547" s="1" t="s">
        <v>3190</v>
      </c>
      <c r="B547" s="1" t="s">
        <v>115</v>
      </c>
      <c r="C547" s="1" t="s">
        <v>116</v>
      </c>
      <c r="D547" s="1" t="s">
        <v>24</v>
      </c>
      <c r="E547" s="1" t="s">
        <v>992</v>
      </c>
      <c r="F547" s="1" t="s">
        <v>53</v>
      </c>
      <c r="G547" s="1" t="s">
        <v>3191</v>
      </c>
      <c r="H547" s="1" t="s">
        <v>129</v>
      </c>
      <c r="I547" s="1" t="s">
        <v>3192</v>
      </c>
      <c r="J547" s="1" t="s">
        <v>3193</v>
      </c>
      <c r="K547" s="1" t="s">
        <v>412</v>
      </c>
      <c r="L547" s="1" t="s">
        <v>502</v>
      </c>
      <c r="M547" s="1" t="s">
        <v>33</v>
      </c>
      <c r="N547" s="1" t="s">
        <v>3194</v>
      </c>
      <c r="O547" s="1" t="s">
        <v>35</v>
      </c>
      <c r="P547" s="1" t="s">
        <v>3192</v>
      </c>
      <c r="Q547" s="1" t="s">
        <v>752</v>
      </c>
      <c r="R547" s="1" t="s">
        <v>37</v>
      </c>
      <c r="S547" s="1" t="s">
        <v>37</v>
      </c>
      <c r="T547" s="1" t="s">
        <v>37</v>
      </c>
      <c r="U547" s="1" t="s">
        <v>37</v>
      </c>
    </row>
    <row r="548" spans="1:21">
      <c r="A548" s="1" t="s">
        <v>3195</v>
      </c>
      <c r="B548" s="1" t="s">
        <v>22</v>
      </c>
      <c r="C548" s="1" t="s">
        <v>23</v>
      </c>
      <c r="D548" s="1" t="s">
        <v>41</v>
      </c>
      <c r="E548" s="1" t="s">
        <v>25</v>
      </c>
      <c r="F548" s="1" t="s">
        <v>127</v>
      </c>
      <c r="G548" s="1" t="s">
        <v>3196</v>
      </c>
      <c r="H548" s="1" t="s">
        <v>99</v>
      </c>
      <c r="I548" s="1" t="s">
        <v>3197</v>
      </c>
      <c r="J548" s="1" t="s">
        <v>3198</v>
      </c>
      <c r="K548" s="1" t="s">
        <v>599</v>
      </c>
      <c r="L548" s="1" t="s">
        <v>2261</v>
      </c>
      <c r="M548" s="1" t="s">
        <v>33</v>
      </c>
      <c r="N548" s="1" t="s">
        <v>3199</v>
      </c>
      <c r="O548" s="1" t="s">
        <v>35</v>
      </c>
      <c r="P548" s="1" t="s">
        <v>3197</v>
      </c>
      <c r="Q548" s="1" t="s">
        <v>1655</v>
      </c>
      <c r="R548" s="1" t="s">
        <v>37</v>
      </c>
      <c r="S548" s="1" t="s">
        <v>37</v>
      </c>
      <c r="T548" s="1" t="s">
        <v>37</v>
      </c>
      <c r="U548" s="1" t="s">
        <v>37</v>
      </c>
    </row>
    <row r="549" spans="1:21">
      <c r="A549" s="1" t="s">
        <v>3200</v>
      </c>
      <c r="B549" s="1" t="s">
        <v>22</v>
      </c>
      <c r="C549" s="1" t="s">
        <v>23</v>
      </c>
      <c r="D549" s="1" t="s">
        <v>41</v>
      </c>
      <c r="E549" s="1" t="s">
        <v>992</v>
      </c>
      <c r="F549" s="1" t="s">
        <v>72</v>
      </c>
      <c r="G549" s="1" t="s">
        <v>3201</v>
      </c>
      <c r="H549" s="1" t="s">
        <v>275</v>
      </c>
      <c r="I549" s="1" t="s">
        <v>3202</v>
      </c>
      <c r="J549" s="1" t="s">
        <v>3203</v>
      </c>
      <c r="K549" s="1" t="s">
        <v>316</v>
      </c>
      <c r="L549" s="1" t="s">
        <v>3204</v>
      </c>
      <c r="M549" s="1" t="s">
        <v>59</v>
      </c>
      <c r="N549" s="1" t="s">
        <v>3205</v>
      </c>
      <c r="O549" s="1" t="s">
        <v>35</v>
      </c>
      <c r="P549" s="1" t="s">
        <v>3202</v>
      </c>
      <c r="Q549" s="1" t="s">
        <v>90</v>
      </c>
      <c r="R549" s="1" t="s">
        <v>37</v>
      </c>
      <c r="S549" s="1" t="s">
        <v>37</v>
      </c>
      <c r="T549" s="1" t="s">
        <v>37</v>
      </c>
      <c r="U549" s="1" t="s">
        <v>37</v>
      </c>
    </row>
    <row r="550" spans="1:21">
      <c r="A550" s="1" t="s">
        <v>3206</v>
      </c>
      <c r="B550" s="1" t="s">
        <v>115</v>
      </c>
      <c r="C550" s="1" t="s">
        <v>116</v>
      </c>
      <c r="D550" s="1" t="s">
        <v>41</v>
      </c>
      <c r="E550" s="1" t="s">
        <v>25</v>
      </c>
      <c r="F550" s="1" t="s">
        <v>72</v>
      </c>
      <c r="G550" s="1" t="s">
        <v>3207</v>
      </c>
      <c r="H550" s="1" t="s">
        <v>44</v>
      </c>
      <c r="I550" s="1" t="s">
        <v>3208</v>
      </c>
      <c r="J550" s="1" t="s">
        <v>3209</v>
      </c>
      <c r="K550" s="1" t="s">
        <v>623</v>
      </c>
      <c r="L550" s="1" t="s">
        <v>3210</v>
      </c>
      <c r="M550" s="1" t="s">
        <v>49</v>
      </c>
      <c r="N550" s="1" t="s">
        <v>3211</v>
      </c>
      <c r="O550" s="1" t="s">
        <v>35</v>
      </c>
      <c r="P550" s="1" t="s">
        <v>3208</v>
      </c>
      <c r="Q550" s="1" t="s">
        <v>791</v>
      </c>
      <c r="R550" s="1" t="s">
        <v>37</v>
      </c>
      <c r="S550" s="1" t="s">
        <v>37</v>
      </c>
      <c r="T550" s="1" t="s">
        <v>37</v>
      </c>
      <c r="U550" s="1" t="s">
        <v>37</v>
      </c>
    </row>
    <row r="551" spans="1:21">
      <c r="A551" s="1" t="s">
        <v>3212</v>
      </c>
      <c r="B551" s="1" t="s">
        <v>22</v>
      </c>
      <c r="C551" s="1" t="s">
        <v>23</v>
      </c>
      <c r="D551" s="1" t="s">
        <v>41</v>
      </c>
      <c r="E551" s="1" t="s">
        <v>25</v>
      </c>
      <c r="F551" s="1" t="s">
        <v>42</v>
      </c>
      <c r="G551" s="1" t="s">
        <v>3213</v>
      </c>
      <c r="H551" s="1" t="s">
        <v>90</v>
      </c>
      <c r="I551" s="1" t="s">
        <v>3214</v>
      </c>
      <c r="J551" s="1" t="s">
        <v>3215</v>
      </c>
      <c r="K551" s="1" t="s">
        <v>629</v>
      </c>
      <c r="L551" s="1" t="s">
        <v>3216</v>
      </c>
      <c r="M551" s="1" t="s">
        <v>49</v>
      </c>
      <c r="N551" s="1" t="s">
        <v>3217</v>
      </c>
      <c r="O551" s="1" t="s">
        <v>35</v>
      </c>
      <c r="P551" s="1" t="s">
        <v>3214</v>
      </c>
      <c r="Q551" s="1" t="s">
        <v>663</v>
      </c>
      <c r="R551" s="1" t="s">
        <v>37</v>
      </c>
      <c r="S551" s="1" t="s">
        <v>37</v>
      </c>
      <c r="T551" s="1" t="s">
        <v>37</v>
      </c>
      <c r="U551" s="1" t="s">
        <v>37</v>
      </c>
    </row>
    <row r="552" spans="1:21">
      <c r="A552" s="1" t="s">
        <v>3218</v>
      </c>
      <c r="B552" s="1" t="s">
        <v>115</v>
      </c>
      <c r="C552" s="1" t="s">
        <v>116</v>
      </c>
      <c r="D552" s="1" t="s">
        <v>41</v>
      </c>
      <c r="E552" s="1" t="s">
        <v>992</v>
      </c>
      <c r="F552" s="1" t="s">
        <v>127</v>
      </c>
      <c r="G552" s="1" t="s">
        <v>3219</v>
      </c>
      <c r="H552" s="1" t="s">
        <v>119</v>
      </c>
      <c r="I552" s="1" t="s">
        <v>3220</v>
      </c>
      <c r="J552" s="1" t="s">
        <v>3221</v>
      </c>
      <c r="K552" s="1" t="s">
        <v>718</v>
      </c>
      <c r="L552" s="1" t="s">
        <v>830</v>
      </c>
      <c r="M552" s="1" t="s">
        <v>33</v>
      </c>
      <c r="N552" s="1" t="s">
        <v>3222</v>
      </c>
      <c r="O552" s="1" t="s">
        <v>35</v>
      </c>
      <c r="P552" s="1" t="s">
        <v>3220</v>
      </c>
      <c r="Q552" s="1" t="s">
        <v>434</v>
      </c>
      <c r="R552" s="1" t="s">
        <v>37</v>
      </c>
      <c r="S552" s="1" t="s">
        <v>37</v>
      </c>
      <c r="T552" s="1" t="s">
        <v>37</v>
      </c>
      <c r="U552" s="1" t="s">
        <v>37</v>
      </c>
    </row>
    <row r="553" spans="1:21">
      <c r="A553" s="1" t="s">
        <v>3223</v>
      </c>
      <c r="B553" s="1" t="s">
        <v>115</v>
      </c>
      <c r="C553" s="1" t="s">
        <v>116</v>
      </c>
      <c r="D553" s="1" t="s">
        <v>41</v>
      </c>
      <c r="E553" s="1" t="s">
        <v>25</v>
      </c>
      <c r="F553" s="1" t="s">
        <v>127</v>
      </c>
      <c r="G553" s="1" t="s">
        <v>3224</v>
      </c>
      <c r="H553" s="1" t="s">
        <v>275</v>
      </c>
      <c r="I553" s="1" t="s">
        <v>3225</v>
      </c>
      <c r="J553" s="1" t="s">
        <v>3226</v>
      </c>
      <c r="K553" s="1" t="s">
        <v>1008</v>
      </c>
      <c r="L553" s="1" t="s">
        <v>3227</v>
      </c>
      <c r="M553" s="1" t="s">
        <v>49</v>
      </c>
      <c r="N553" s="1" t="s">
        <v>3228</v>
      </c>
      <c r="O553" s="1" t="s">
        <v>35</v>
      </c>
      <c r="P553" s="1" t="s">
        <v>3225</v>
      </c>
      <c r="Q553" s="1" t="s">
        <v>1655</v>
      </c>
      <c r="R553" s="1" t="s">
        <v>37</v>
      </c>
      <c r="S553" s="1" t="s">
        <v>37</v>
      </c>
      <c r="T553" s="1" t="s">
        <v>37</v>
      </c>
      <c r="U553" s="1" t="s">
        <v>37</v>
      </c>
    </row>
    <row r="554" spans="1:21">
      <c r="A554" s="1" t="s">
        <v>3229</v>
      </c>
      <c r="B554" s="1" t="s">
        <v>115</v>
      </c>
      <c r="C554" s="1" t="s">
        <v>116</v>
      </c>
      <c r="D554" s="1" t="s">
        <v>41</v>
      </c>
      <c r="E554" s="1" t="s">
        <v>25</v>
      </c>
      <c r="F554" s="1" t="s">
        <v>26</v>
      </c>
      <c r="G554" s="1" t="s">
        <v>3230</v>
      </c>
      <c r="H554" s="1" t="s">
        <v>275</v>
      </c>
      <c r="I554" s="1" t="s">
        <v>3231</v>
      </c>
      <c r="J554" s="1" t="s">
        <v>3232</v>
      </c>
      <c r="K554" s="1" t="s">
        <v>803</v>
      </c>
      <c r="L554" s="1" t="s">
        <v>3233</v>
      </c>
      <c r="M554" s="1" t="s">
        <v>49</v>
      </c>
      <c r="N554" s="1" t="s">
        <v>3234</v>
      </c>
      <c r="O554" s="1" t="s">
        <v>35</v>
      </c>
      <c r="P554" s="1" t="s">
        <v>3231</v>
      </c>
      <c r="Q554" s="1" t="s">
        <v>1089</v>
      </c>
      <c r="R554" s="1" t="s">
        <v>37</v>
      </c>
      <c r="S554" s="1" t="s">
        <v>37</v>
      </c>
      <c r="T554" s="1" t="s">
        <v>37</v>
      </c>
      <c r="U554" s="1" t="s">
        <v>37</v>
      </c>
    </row>
    <row r="555" spans="1:21">
      <c r="A555" s="1" t="s">
        <v>3235</v>
      </c>
      <c r="B555" s="1" t="s">
        <v>39</v>
      </c>
      <c r="C555" s="1" t="s">
        <v>40</v>
      </c>
      <c r="D555" s="1" t="s">
        <v>41</v>
      </c>
      <c r="E555" s="1" t="s">
        <v>992</v>
      </c>
      <c r="F555" s="1" t="s">
        <v>42</v>
      </c>
      <c r="G555" s="1" t="s">
        <v>3236</v>
      </c>
      <c r="H555" s="1" t="s">
        <v>90</v>
      </c>
      <c r="I555" s="1" t="s">
        <v>3237</v>
      </c>
      <c r="J555" s="1" t="s">
        <v>3238</v>
      </c>
      <c r="K555" s="1" t="s">
        <v>445</v>
      </c>
      <c r="L555" s="1" t="s">
        <v>655</v>
      </c>
      <c r="M555" s="1" t="s">
        <v>59</v>
      </c>
      <c r="N555" s="1" t="s">
        <v>3239</v>
      </c>
      <c r="O555" s="1" t="s">
        <v>35</v>
      </c>
      <c r="P555" s="1" t="s">
        <v>3237</v>
      </c>
      <c r="Q555" s="1" t="s">
        <v>198</v>
      </c>
      <c r="R555" s="1" t="s">
        <v>37</v>
      </c>
      <c r="S555" s="1" t="s">
        <v>37</v>
      </c>
      <c r="T555" s="1" t="s">
        <v>37</v>
      </c>
      <c r="U555" s="1" t="s">
        <v>37</v>
      </c>
    </row>
    <row r="556" spans="1:21">
      <c r="A556" s="1" t="s">
        <v>3240</v>
      </c>
      <c r="B556" s="1" t="s">
        <v>22</v>
      </c>
      <c r="C556" s="1" t="s">
        <v>23</v>
      </c>
      <c r="D556" s="1" t="s">
        <v>24</v>
      </c>
      <c r="E556" s="1" t="s">
        <v>992</v>
      </c>
      <c r="F556" s="1" t="s">
        <v>42</v>
      </c>
      <c r="G556" s="1" t="s">
        <v>3241</v>
      </c>
      <c r="H556" s="1" t="s">
        <v>28</v>
      </c>
      <c r="I556" s="1" t="s">
        <v>3242</v>
      </c>
      <c r="J556" s="1" t="s">
        <v>3243</v>
      </c>
      <c r="K556" s="1" t="s">
        <v>84</v>
      </c>
      <c r="L556" s="1" t="s">
        <v>3244</v>
      </c>
      <c r="M556" s="1" t="s">
        <v>49</v>
      </c>
      <c r="N556" s="1" t="s">
        <v>3245</v>
      </c>
      <c r="O556" s="1" t="s">
        <v>35</v>
      </c>
      <c r="P556" s="1" t="s">
        <v>3242</v>
      </c>
      <c r="Q556" s="1" t="s">
        <v>190</v>
      </c>
      <c r="R556" s="1" t="s">
        <v>37</v>
      </c>
      <c r="S556" s="1" t="s">
        <v>37</v>
      </c>
      <c r="T556" s="1" t="s">
        <v>37</v>
      </c>
      <c r="U556" s="1" t="s">
        <v>37</v>
      </c>
    </row>
    <row r="557" spans="1:21">
      <c r="A557" s="1" t="s">
        <v>3246</v>
      </c>
      <c r="B557" s="1" t="s">
        <v>115</v>
      </c>
      <c r="C557" s="1" t="s">
        <v>116</v>
      </c>
      <c r="D557" s="1" t="s">
        <v>41</v>
      </c>
      <c r="E557" s="1" t="s">
        <v>992</v>
      </c>
      <c r="F557" s="1" t="s">
        <v>53</v>
      </c>
      <c r="G557" s="1" t="s">
        <v>3247</v>
      </c>
      <c r="H557" s="1" t="s">
        <v>119</v>
      </c>
      <c r="I557" s="1" t="s">
        <v>3248</v>
      </c>
      <c r="J557" s="1" t="s">
        <v>3249</v>
      </c>
      <c r="K557" s="1" t="s">
        <v>473</v>
      </c>
      <c r="L557" s="1" t="s">
        <v>2219</v>
      </c>
      <c r="M557" s="1" t="s">
        <v>59</v>
      </c>
      <c r="N557" s="1" t="s">
        <v>3250</v>
      </c>
      <c r="O557" s="1" t="s">
        <v>35</v>
      </c>
      <c r="P557" s="1" t="s">
        <v>3248</v>
      </c>
      <c r="Q557" s="1" t="s">
        <v>265</v>
      </c>
      <c r="R557" s="1" t="s">
        <v>37</v>
      </c>
      <c r="S557" s="1" t="s">
        <v>37</v>
      </c>
      <c r="T557" s="1" t="s">
        <v>37</v>
      </c>
      <c r="U557" s="1" t="s">
        <v>37</v>
      </c>
    </row>
    <row r="558" spans="1:21">
      <c r="A558" s="1" t="s">
        <v>3251</v>
      </c>
      <c r="B558" s="1" t="s">
        <v>115</v>
      </c>
      <c r="C558" s="1" t="s">
        <v>116</v>
      </c>
      <c r="D558" s="1" t="s">
        <v>24</v>
      </c>
      <c r="E558" s="1" t="s">
        <v>25</v>
      </c>
      <c r="F558" s="1" t="s">
        <v>127</v>
      </c>
      <c r="G558" s="1" t="s">
        <v>3252</v>
      </c>
      <c r="H558" s="1" t="s">
        <v>107</v>
      </c>
      <c r="I558" s="1" t="s">
        <v>3253</v>
      </c>
      <c r="J558" s="1" t="s">
        <v>3254</v>
      </c>
      <c r="K558" s="1" t="s">
        <v>2159</v>
      </c>
      <c r="L558" s="1" t="s">
        <v>3255</v>
      </c>
      <c r="M558" s="1" t="s">
        <v>49</v>
      </c>
      <c r="N558" s="1" t="s">
        <v>3256</v>
      </c>
      <c r="O558" s="1" t="s">
        <v>35</v>
      </c>
      <c r="P558" s="1" t="s">
        <v>3253</v>
      </c>
      <c r="Q558" s="1" t="s">
        <v>386</v>
      </c>
      <c r="R558" s="1" t="s">
        <v>37</v>
      </c>
      <c r="S558" s="1" t="s">
        <v>37</v>
      </c>
      <c r="T558" s="1" t="s">
        <v>37</v>
      </c>
      <c r="U558" s="1" t="s">
        <v>37</v>
      </c>
    </row>
    <row r="559" spans="1:21">
      <c r="A559" s="1" t="s">
        <v>3257</v>
      </c>
      <c r="B559" s="1" t="s">
        <v>39</v>
      </c>
      <c r="C559" s="1" t="s">
        <v>40</v>
      </c>
      <c r="D559" s="1" t="s">
        <v>24</v>
      </c>
      <c r="E559" s="1" t="s">
        <v>25</v>
      </c>
      <c r="F559" s="1" t="s">
        <v>117</v>
      </c>
      <c r="G559" s="1" t="s">
        <v>3258</v>
      </c>
      <c r="H559" s="1" t="s">
        <v>99</v>
      </c>
      <c r="I559" s="1" t="s">
        <v>3259</v>
      </c>
      <c r="J559" s="1" t="s">
        <v>3260</v>
      </c>
      <c r="K559" s="1" t="s">
        <v>1122</v>
      </c>
      <c r="L559" s="1" t="s">
        <v>1300</v>
      </c>
      <c r="M559" s="1" t="s">
        <v>33</v>
      </c>
      <c r="N559" s="1" t="s">
        <v>3261</v>
      </c>
      <c r="O559" s="1" t="s">
        <v>35</v>
      </c>
      <c r="P559" s="1" t="s">
        <v>3259</v>
      </c>
      <c r="Q559" s="1" t="s">
        <v>135</v>
      </c>
      <c r="R559" s="1" t="s">
        <v>37</v>
      </c>
      <c r="S559" s="1" t="s">
        <v>37</v>
      </c>
      <c r="T559" s="1" t="s">
        <v>37</v>
      </c>
      <c r="U559" s="1" t="s">
        <v>37</v>
      </c>
    </row>
    <row r="560" spans="1:21">
      <c r="A560" s="1" t="s">
        <v>3262</v>
      </c>
      <c r="B560" s="1" t="s">
        <v>22</v>
      </c>
      <c r="C560" s="1" t="s">
        <v>23</v>
      </c>
      <c r="D560" s="1" t="s">
        <v>24</v>
      </c>
      <c r="E560" s="1" t="s">
        <v>992</v>
      </c>
      <c r="F560" s="1" t="s">
        <v>117</v>
      </c>
      <c r="G560" s="1" t="s">
        <v>3263</v>
      </c>
      <c r="H560" s="1" t="s">
        <v>90</v>
      </c>
      <c r="I560" s="1" t="s">
        <v>3264</v>
      </c>
      <c r="J560" s="1" t="s">
        <v>3265</v>
      </c>
      <c r="K560" s="1" t="s">
        <v>668</v>
      </c>
      <c r="L560" s="1" t="s">
        <v>1129</v>
      </c>
      <c r="M560" s="1" t="s">
        <v>33</v>
      </c>
      <c r="N560" s="1" t="s">
        <v>3266</v>
      </c>
      <c r="O560" s="1" t="s">
        <v>35</v>
      </c>
      <c r="P560" s="1" t="s">
        <v>3264</v>
      </c>
      <c r="Q560" s="1" t="s">
        <v>366</v>
      </c>
      <c r="R560" s="1" t="s">
        <v>37</v>
      </c>
      <c r="S560" s="1" t="s">
        <v>37</v>
      </c>
      <c r="T560" s="1" t="s">
        <v>37</v>
      </c>
      <c r="U560" s="1" t="s">
        <v>37</v>
      </c>
    </row>
    <row r="561" spans="1:21">
      <c r="A561" s="1" t="s">
        <v>3267</v>
      </c>
      <c r="B561" s="1" t="s">
        <v>22</v>
      </c>
      <c r="C561" s="1" t="s">
        <v>23</v>
      </c>
      <c r="D561" s="1" t="s">
        <v>24</v>
      </c>
      <c r="E561" s="1" t="s">
        <v>25</v>
      </c>
      <c r="F561" s="1" t="s">
        <v>53</v>
      </c>
      <c r="G561" s="1" t="s">
        <v>3268</v>
      </c>
      <c r="H561" s="1" t="s">
        <v>119</v>
      </c>
      <c r="I561" s="1" t="s">
        <v>3269</v>
      </c>
      <c r="J561" s="1" t="s">
        <v>3270</v>
      </c>
      <c r="K561" s="1" t="s">
        <v>164</v>
      </c>
      <c r="L561" s="1" t="s">
        <v>2843</v>
      </c>
      <c r="M561" s="1" t="s">
        <v>33</v>
      </c>
      <c r="N561" s="1" t="s">
        <v>3271</v>
      </c>
      <c r="O561" s="1" t="s">
        <v>35</v>
      </c>
      <c r="P561" s="1" t="s">
        <v>3269</v>
      </c>
      <c r="Q561" s="1" t="s">
        <v>159</v>
      </c>
      <c r="R561" s="1" t="s">
        <v>37</v>
      </c>
      <c r="S561" s="1" t="s">
        <v>37</v>
      </c>
      <c r="T561" s="1" t="s">
        <v>37</v>
      </c>
      <c r="U561" s="1" t="s">
        <v>37</v>
      </c>
    </row>
    <row r="562" spans="1:21">
      <c r="A562" s="1" t="s">
        <v>3272</v>
      </c>
      <c r="B562" s="1" t="s">
        <v>115</v>
      </c>
      <c r="C562" s="1" t="s">
        <v>116</v>
      </c>
      <c r="D562" s="1" t="s">
        <v>41</v>
      </c>
      <c r="E562" s="1" t="s">
        <v>992</v>
      </c>
      <c r="F562" s="1" t="s">
        <v>42</v>
      </c>
      <c r="G562" s="1" t="s">
        <v>2795</v>
      </c>
      <c r="H562" s="1" t="s">
        <v>275</v>
      </c>
      <c r="I562" s="1" t="s">
        <v>3273</v>
      </c>
      <c r="J562" s="1" t="s">
        <v>3274</v>
      </c>
      <c r="K562" s="1" t="s">
        <v>1718</v>
      </c>
      <c r="L562" s="1" t="s">
        <v>3275</v>
      </c>
      <c r="M562" s="1" t="s">
        <v>49</v>
      </c>
      <c r="N562" s="1" t="s">
        <v>3276</v>
      </c>
      <c r="O562" s="1" t="s">
        <v>35</v>
      </c>
      <c r="P562" s="1" t="s">
        <v>3273</v>
      </c>
      <c r="Q562" s="1" t="s">
        <v>663</v>
      </c>
      <c r="R562" s="1" t="s">
        <v>37</v>
      </c>
      <c r="S562" s="1" t="s">
        <v>37</v>
      </c>
      <c r="T562" s="1" t="s">
        <v>37</v>
      </c>
      <c r="U562" s="1" t="s">
        <v>37</v>
      </c>
    </row>
    <row r="563" spans="1:21">
      <c r="A563" s="1" t="s">
        <v>3277</v>
      </c>
      <c r="B563" s="1" t="s">
        <v>39</v>
      </c>
      <c r="C563" s="1" t="s">
        <v>40</v>
      </c>
      <c r="D563" s="1" t="s">
        <v>41</v>
      </c>
      <c r="E563" s="1" t="s">
        <v>992</v>
      </c>
      <c r="F563" s="1" t="s">
        <v>117</v>
      </c>
      <c r="G563" s="1" t="s">
        <v>3278</v>
      </c>
      <c r="H563" s="1" t="s">
        <v>99</v>
      </c>
      <c r="I563" s="1" t="s">
        <v>3279</v>
      </c>
      <c r="J563" s="1" t="s">
        <v>3280</v>
      </c>
      <c r="K563" s="1" t="s">
        <v>562</v>
      </c>
      <c r="L563" s="1" t="s">
        <v>2667</v>
      </c>
      <c r="M563" s="1" t="s">
        <v>59</v>
      </c>
      <c r="N563" s="1" t="s">
        <v>3281</v>
      </c>
      <c r="O563" s="1" t="s">
        <v>35</v>
      </c>
      <c r="P563" s="1" t="s">
        <v>3279</v>
      </c>
      <c r="Q563" s="1" t="s">
        <v>205</v>
      </c>
      <c r="R563" s="1" t="s">
        <v>37</v>
      </c>
      <c r="S563" s="1" t="s">
        <v>37</v>
      </c>
      <c r="T563" s="1" t="s">
        <v>37</v>
      </c>
      <c r="U563" s="1" t="s">
        <v>37</v>
      </c>
    </row>
    <row r="564" spans="1:21">
      <c r="A564" s="1" t="s">
        <v>3282</v>
      </c>
      <c r="B564" s="1" t="s">
        <v>115</v>
      </c>
      <c r="C564" s="1" t="s">
        <v>116</v>
      </c>
      <c r="D564" s="1" t="s">
        <v>41</v>
      </c>
      <c r="E564" s="1" t="s">
        <v>25</v>
      </c>
      <c r="F564" s="1" t="s">
        <v>42</v>
      </c>
      <c r="G564" s="1" t="s">
        <v>3283</v>
      </c>
      <c r="H564" s="1" t="s">
        <v>64</v>
      </c>
      <c r="I564" s="1" t="s">
        <v>3284</v>
      </c>
      <c r="J564" s="1" t="s">
        <v>3285</v>
      </c>
      <c r="K564" s="1" t="s">
        <v>1122</v>
      </c>
      <c r="L564" s="1" t="s">
        <v>1087</v>
      </c>
      <c r="M564" s="1" t="s">
        <v>33</v>
      </c>
      <c r="N564" s="1" t="s">
        <v>2379</v>
      </c>
      <c r="O564" s="1" t="s">
        <v>35</v>
      </c>
      <c r="P564" s="1" t="s">
        <v>3284</v>
      </c>
      <c r="Q564" s="1" t="s">
        <v>167</v>
      </c>
      <c r="R564" s="1" t="s">
        <v>37</v>
      </c>
      <c r="S564" s="1" t="s">
        <v>37</v>
      </c>
      <c r="T564" s="1" t="s">
        <v>37</v>
      </c>
      <c r="U564" s="1" t="s">
        <v>37</v>
      </c>
    </row>
    <row r="565" spans="1:21">
      <c r="A565" s="1" t="s">
        <v>3286</v>
      </c>
      <c r="B565" s="1" t="s">
        <v>22</v>
      </c>
      <c r="C565" s="1" t="s">
        <v>23</v>
      </c>
      <c r="D565" s="1" t="s">
        <v>24</v>
      </c>
      <c r="E565" s="1" t="s">
        <v>992</v>
      </c>
      <c r="F565" s="1" t="s">
        <v>42</v>
      </c>
      <c r="G565" s="1" t="s">
        <v>3287</v>
      </c>
      <c r="H565" s="1" t="s">
        <v>90</v>
      </c>
      <c r="I565" s="1" t="s">
        <v>3288</v>
      </c>
      <c r="J565" s="1" t="s">
        <v>3289</v>
      </c>
      <c r="K565" s="1" t="s">
        <v>1408</v>
      </c>
      <c r="L565" s="1" t="s">
        <v>2022</v>
      </c>
      <c r="M565" s="1" t="s">
        <v>33</v>
      </c>
      <c r="N565" s="1" t="s">
        <v>3290</v>
      </c>
      <c r="O565" s="1" t="s">
        <v>35</v>
      </c>
      <c r="P565" s="1" t="s">
        <v>3288</v>
      </c>
      <c r="Q565" s="1" t="s">
        <v>44</v>
      </c>
      <c r="R565" s="1" t="s">
        <v>37</v>
      </c>
      <c r="S565" s="1" t="s">
        <v>37</v>
      </c>
      <c r="T565" s="1" t="s">
        <v>37</v>
      </c>
      <c r="U565" s="1" t="s">
        <v>37</v>
      </c>
    </row>
    <row r="566" spans="1:21">
      <c r="A566" s="1" t="s">
        <v>3291</v>
      </c>
      <c r="B566" s="1" t="s">
        <v>115</v>
      </c>
      <c r="C566" s="1" t="s">
        <v>116</v>
      </c>
      <c r="D566" s="1" t="s">
        <v>41</v>
      </c>
      <c r="E566" s="1" t="s">
        <v>992</v>
      </c>
      <c r="F566" s="1" t="s">
        <v>127</v>
      </c>
      <c r="G566" s="1" t="s">
        <v>3292</v>
      </c>
      <c r="H566" s="1" t="s">
        <v>107</v>
      </c>
      <c r="I566" s="1" t="s">
        <v>3293</v>
      </c>
      <c r="J566" s="1" t="s">
        <v>3294</v>
      </c>
      <c r="K566" s="1" t="s">
        <v>1408</v>
      </c>
      <c r="L566" s="1" t="s">
        <v>2110</v>
      </c>
      <c r="M566" s="1" t="s">
        <v>49</v>
      </c>
      <c r="N566" s="1" t="s">
        <v>3295</v>
      </c>
      <c r="O566" s="1" t="s">
        <v>35</v>
      </c>
      <c r="P566" s="1" t="s">
        <v>3293</v>
      </c>
      <c r="Q566" s="1" t="s">
        <v>275</v>
      </c>
      <c r="R566" s="1" t="s">
        <v>37</v>
      </c>
      <c r="S566" s="1" t="s">
        <v>37</v>
      </c>
      <c r="T566" s="1" t="s">
        <v>37</v>
      </c>
      <c r="U566" s="1" t="s">
        <v>37</v>
      </c>
    </row>
    <row r="567" spans="1:21">
      <c r="A567" s="1" t="s">
        <v>3296</v>
      </c>
      <c r="B567" s="1" t="s">
        <v>22</v>
      </c>
      <c r="C567" s="1" t="s">
        <v>23</v>
      </c>
      <c r="D567" s="1" t="s">
        <v>41</v>
      </c>
      <c r="E567" s="1" t="s">
        <v>25</v>
      </c>
      <c r="F567" s="1" t="s">
        <v>117</v>
      </c>
      <c r="G567" s="1" t="s">
        <v>3297</v>
      </c>
      <c r="H567" s="1" t="s">
        <v>99</v>
      </c>
      <c r="I567" s="1" t="s">
        <v>3298</v>
      </c>
      <c r="J567" s="1" t="s">
        <v>3299</v>
      </c>
      <c r="K567" s="1" t="s">
        <v>349</v>
      </c>
      <c r="L567" s="1" t="s">
        <v>343</v>
      </c>
      <c r="M567" s="1" t="s">
        <v>59</v>
      </c>
      <c r="N567" s="1" t="s">
        <v>3300</v>
      </c>
      <c r="O567" s="1" t="s">
        <v>35</v>
      </c>
      <c r="P567" s="1" t="s">
        <v>3298</v>
      </c>
      <c r="Q567" s="1" t="s">
        <v>359</v>
      </c>
      <c r="R567" s="1" t="s">
        <v>37</v>
      </c>
      <c r="S567" s="1" t="s">
        <v>37</v>
      </c>
      <c r="T567" s="1" t="s">
        <v>37</v>
      </c>
      <c r="U567" s="1" t="s">
        <v>37</v>
      </c>
    </row>
    <row r="568" spans="1:21">
      <c r="A568" s="1" t="s">
        <v>3301</v>
      </c>
      <c r="B568" s="1" t="s">
        <v>39</v>
      </c>
      <c r="C568" s="1" t="s">
        <v>40</v>
      </c>
      <c r="D568" s="1" t="s">
        <v>41</v>
      </c>
      <c r="E568" s="1" t="s">
        <v>25</v>
      </c>
      <c r="F568" s="1" t="s">
        <v>72</v>
      </c>
      <c r="G568" s="1" t="s">
        <v>3302</v>
      </c>
      <c r="H568" s="1" t="s">
        <v>99</v>
      </c>
      <c r="I568" s="1" t="s">
        <v>3303</v>
      </c>
      <c r="J568" s="1" t="s">
        <v>3304</v>
      </c>
      <c r="K568" s="1" t="s">
        <v>419</v>
      </c>
      <c r="L568" s="1" t="s">
        <v>523</v>
      </c>
      <c r="M568" s="1" t="s">
        <v>59</v>
      </c>
      <c r="N568" s="1" t="s">
        <v>3305</v>
      </c>
      <c r="O568" s="1" t="s">
        <v>35</v>
      </c>
      <c r="P568" s="1" t="s">
        <v>3303</v>
      </c>
      <c r="Q568" s="1" t="s">
        <v>583</v>
      </c>
      <c r="R568" s="1" t="s">
        <v>37</v>
      </c>
      <c r="S568" s="1" t="s">
        <v>37</v>
      </c>
      <c r="T568" s="1" t="s">
        <v>37</v>
      </c>
      <c r="U568" s="1" t="s">
        <v>37</v>
      </c>
    </row>
    <row r="569" spans="1:21">
      <c r="A569" s="1" t="s">
        <v>3306</v>
      </c>
      <c r="B569" s="1" t="s">
        <v>22</v>
      </c>
      <c r="C569" s="1" t="s">
        <v>23</v>
      </c>
      <c r="D569" s="1" t="s">
        <v>41</v>
      </c>
      <c r="E569" s="1" t="s">
        <v>25</v>
      </c>
      <c r="F569" s="1" t="s">
        <v>127</v>
      </c>
      <c r="G569" s="1" t="s">
        <v>3307</v>
      </c>
      <c r="H569" s="1" t="s">
        <v>275</v>
      </c>
      <c r="I569" s="1" t="s">
        <v>3308</v>
      </c>
      <c r="J569" s="1" t="s">
        <v>3309</v>
      </c>
      <c r="K569" s="1" t="s">
        <v>187</v>
      </c>
      <c r="L569" s="1" t="s">
        <v>3073</v>
      </c>
      <c r="M569" s="1" t="s">
        <v>49</v>
      </c>
      <c r="N569" s="1" t="s">
        <v>3310</v>
      </c>
      <c r="O569" s="1" t="s">
        <v>35</v>
      </c>
      <c r="P569" s="1" t="s">
        <v>3308</v>
      </c>
      <c r="Q569" s="1" t="s">
        <v>265</v>
      </c>
      <c r="R569" s="1" t="s">
        <v>37</v>
      </c>
      <c r="S569" s="1" t="s">
        <v>37</v>
      </c>
      <c r="T569" s="1" t="s">
        <v>37</v>
      </c>
      <c r="U569" s="1" t="s">
        <v>37</v>
      </c>
    </row>
    <row r="570" spans="1:21">
      <c r="A570" s="1" t="s">
        <v>3311</v>
      </c>
      <c r="B570" s="1" t="s">
        <v>115</v>
      </c>
      <c r="C570" s="1" t="s">
        <v>116</v>
      </c>
      <c r="D570" s="1" t="s">
        <v>41</v>
      </c>
      <c r="E570" s="1" t="s">
        <v>25</v>
      </c>
      <c r="F570" s="1" t="s">
        <v>127</v>
      </c>
      <c r="G570" s="1" t="s">
        <v>3312</v>
      </c>
      <c r="H570" s="1" t="s">
        <v>28</v>
      </c>
      <c r="I570" s="1" t="s">
        <v>3313</v>
      </c>
      <c r="J570" s="1" t="s">
        <v>3314</v>
      </c>
      <c r="K570" s="1" t="s">
        <v>110</v>
      </c>
      <c r="L570" s="1" t="s">
        <v>3315</v>
      </c>
      <c r="M570" s="1" t="s">
        <v>59</v>
      </c>
      <c r="N570" s="1" t="s">
        <v>3316</v>
      </c>
      <c r="O570" s="1" t="s">
        <v>35</v>
      </c>
      <c r="P570" s="1" t="s">
        <v>3313</v>
      </c>
      <c r="Q570" s="1" t="s">
        <v>618</v>
      </c>
      <c r="R570" s="1" t="s">
        <v>37</v>
      </c>
      <c r="S570" s="1" t="s">
        <v>37</v>
      </c>
      <c r="T570" s="1" t="s">
        <v>37</v>
      </c>
      <c r="U570" s="1" t="s">
        <v>37</v>
      </c>
    </row>
    <row r="571" spans="1:21">
      <c r="A571" s="1" t="s">
        <v>3317</v>
      </c>
      <c r="B571" s="1" t="s">
        <v>39</v>
      </c>
      <c r="C571" s="1" t="s">
        <v>40</v>
      </c>
      <c r="D571" s="1" t="s">
        <v>41</v>
      </c>
      <c r="E571" s="1" t="s">
        <v>25</v>
      </c>
      <c r="F571" s="1" t="s">
        <v>72</v>
      </c>
      <c r="G571" s="1" t="s">
        <v>3318</v>
      </c>
      <c r="H571" s="1" t="s">
        <v>28</v>
      </c>
      <c r="I571" s="1" t="s">
        <v>3319</v>
      </c>
      <c r="J571" s="1" t="s">
        <v>3320</v>
      </c>
      <c r="K571" s="1" t="s">
        <v>240</v>
      </c>
      <c r="L571" s="1" t="s">
        <v>691</v>
      </c>
      <c r="M571" s="1" t="s">
        <v>33</v>
      </c>
      <c r="N571" s="1" t="s">
        <v>3321</v>
      </c>
      <c r="O571" s="1" t="s">
        <v>35</v>
      </c>
      <c r="P571" s="1" t="s">
        <v>3319</v>
      </c>
      <c r="Q571" s="1" t="s">
        <v>87</v>
      </c>
      <c r="R571" s="1" t="s">
        <v>37</v>
      </c>
      <c r="S571" s="1" t="s">
        <v>37</v>
      </c>
      <c r="T571" s="1" t="s">
        <v>37</v>
      </c>
      <c r="U571" s="1" t="s">
        <v>37</v>
      </c>
    </row>
    <row r="572" spans="1:21">
      <c r="A572" s="1" t="s">
        <v>3322</v>
      </c>
      <c r="B572" s="1" t="s">
        <v>115</v>
      </c>
      <c r="C572" s="1" t="s">
        <v>116</v>
      </c>
      <c r="D572" s="1" t="s">
        <v>24</v>
      </c>
      <c r="E572" s="1" t="s">
        <v>25</v>
      </c>
      <c r="F572" s="1" t="s">
        <v>53</v>
      </c>
      <c r="G572" s="1" t="s">
        <v>3323</v>
      </c>
      <c r="H572" s="1" t="s">
        <v>44</v>
      </c>
      <c r="I572" s="1" t="s">
        <v>3324</v>
      </c>
      <c r="J572" s="1" t="s">
        <v>3325</v>
      </c>
      <c r="K572" s="1" t="s">
        <v>93</v>
      </c>
      <c r="L572" s="1" t="s">
        <v>3157</v>
      </c>
      <c r="M572" s="1" t="s">
        <v>59</v>
      </c>
      <c r="N572" s="1" t="s">
        <v>3326</v>
      </c>
      <c r="O572" s="1" t="s">
        <v>35</v>
      </c>
      <c r="P572" s="1" t="s">
        <v>3324</v>
      </c>
      <c r="Q572" s="1" t="s">
        <v>338</v>
      </c>
      <c r="R572" s="1" t="s">
        <v>37</v>
      </c>
      <c r="S572" s="1" t="s">
        <v>37</v>
      </c>
      <c r="T572" s="1" t="s">
        <v>37</v>
      </c>
      <c r="U572" s="1" t="s">
        <v>37</v>
      </c>
    </row>
    <row r="573" spans="1:21">
      <c r="A573" s="1" t="s">
        <v>3327</v>
      </c>
      <c r="B573" s="1" t="s">
        <v>115</v>
      </c>
      <c r="C573" s="1" t="s">
        <v>116</v>
      </c>
      <c r="D573" s="1" t="s">
        <v>24</v>
      </c>
      <c r="E573" s="1" t="s">
        <v>992</v>
      </c>
      <c r="F573" s="1" t="s">
        <v>72</v>
      </c>
      <c r="G573" s="1" t="s">
        <v>3328</v>
      </c>
      <c r="H573" s="1" t="s">
        <v>99</v>
      </c>
      <c r="I573" s="1" t="s">
        <v>3329</v>
      </c>
      <c r="J573" s="1" t="s">
        <v>3330</v>
      </c>
      <c r="K573" s="1" t="s">
        <v>1057</v>
      </c>
      <c r="L573" s="1" t="s">
        <v>2927</v>
      </c>
      <c r="M573" s="1" t="s">
        <v>49</v>
      </c>
      <c r="N573" s="1" t="s">
        <v>3331</v>
      </c>
      <c r="O573" s="1" t="s">
        <v>35</v>
      </c>
      <c r="P573" s="1" t="s">
        <v>3329</v>
      </c>
      <c r="Q573" s="1" t="s">
        <v>198</v>
      </c>
      <c r="R573" s="1" t="s">
        <v>37</v>
      </c>
      <c r="S573" s="1" t="s">
        <v>37</v>
      </c>
      <c r="T573" s="1" t="s">
        <v>37</v>
      </c>
      <c r="U573" s="1" t="s">
        <v>37</v>
      </c>
    </row>
    <row r="574" spans="1:21">
      <c r="A574" s="1" t="s">
        <v>3332</v>
      </c>
      <c r="B574" s="1" t="s">
        <v>22</v>
      </c>
      <c r="C574" s="1" t="s">
        <v>23</v>
      </c>
      <c r="D574" s="1" t="s">
        <v>24</v>
      </c>
      <c r="E574" s="1" t="s">
        <v>992</v>
      </c>
      <c r="F574" s="1" t="s">
        <v>117</v>
      </c>
      <c r="G574" s="1" t="s">
        <v>2755</v>
      </c>
      <c r="H574" s="1" t="s">
        <v>28</v>
      </c>
      <c r="I574" s="1" t="s">
        <v>3333</v>
      </c>
      <c r="J574" s="1" t="s">
        <v>3334</v>
      </c>
      <c r="K574" s="1" t="s">
        <v>262</v>
      </c>
      <c r="L574" s="1" t="s">
        <v>2661</v>
      </c>
      <c r="M574" s="1" t="s">
        <v>33</v>
      </c>
      <c r="N574" s="1" t="s">
        <v>3335</v>
      </c>
      <c r="O574" s="1" t="s">
        <v>35</v>
      </c>
      <c r="P574" s="1" t="s">
        <v>3333</v>
      </c>
      <c r="Q574" s="1" t="s">
        <v>638</v>
      </c>
      <c r="R574" s="1" t="s">
        <v>37</v>
      </c>
      <c r="S574" s="1" t="s">
        <v>37</v>
      </c>
      <c r="T574" s="1" t="s">
        <v>37</v>
      </c>
      <c r="U574" s="1" t="s">
        <v>37</v>
      </c>
    </row>
    <row r="575" spans="1:21">
      <c r="A575" s="1" t="s">
        <v>3336</v>
      </c>
      <c r="B575" s="1" t="s">
        <v>115</v>
      </c>
      <c r="C575" s="1" t="s">
        <v>116</v>
      </c>
      <c r="D575" s="1" t="s">
        <v>41</v>
      </c>
      <c r="E575" s="1" t="s">
        <v>992</v>
      </c>
      <c r="F575" s="1" t="s">
        <v>117</v>
      </c>
      <c r="G575" s="1" t="s">
        <v>3337</v>
      </c>
      <c r="H575" s="1" t="s">
        <v>107</v>
      </c>
      <c r="I575" s="1" t="s">
        <v>3338</v>
      </c>
      <c r="J575" s="1" t="s">
        <v>3339</v>
      </c>
      <c r="K575" s="1" t="s">
        <v>588</v>
      </c>
      <c r="L575" s="1" t="s">
        <v>3340</v>
      </c>
      <c r="M575" s="1" t="s">
        <v>59</v>
      </c>
      <c r="N575" s="1" t="s">
        <v>3341</v>
      </c>
      <c r="O575" s="1" t="s">
        <v>35</v>
      </c>
      <c r="P575" s="1" t="s">
        <v>3338</v>
      </c>
      <c r="Q575" s="1" t="s">
        <v>407</v>
      </c>
      <c r="R575" s="1" t="s">
        <v>37</v>
      </c>
      <c r="S575" s="1" t="s">
        <v>37</v>
      </c>
      <c r="T575" s="1" t="s">
        <v>37</v>
      </c>
      <c r="U575" s="1" t="s">
        <v>37</v>
      </c>
    </row>
    <row r="576" spans="1:21">
      <c r="A576" s="1" t="s">
        <v>3342</v>
      </c>
      <c r="B576" s="1" t="s">
        <v>22</v>
      </c>
      <c r="C576" s="1" t="s">
        <v>23</v>
      </c>
      <c r="D576" s="1" t="s">
        <v>41</v>
      </c>
      <c r="E576" s="1" t="s">
        <v>992</v>
      </c>
      <c r="F576" s="1" t="s">
        <v>72</v>
      </c>
      <c r="G576" s="1" t="s">
        <v>3343</v>
      </c>
      <c r="H576" s="1" t="s">
        <v>44</v>
      </c>
      <c r="I576" s="1" t="s">
        <v>3344</v>
      </c>
      <c r="J576" s="1" t="s">
        <v>3345</v>
      </c>
      <c r="K576" s="1" t="s">
        <v>247</v>
      </c>
      <c r="L576" s="1" t="s">
        <v>3346</v>
      </c>
      <c r="M576" s="1" t="s">
        <v>59</v>
      </c>
      <c r="N576" s="1" t="s">
        <v>3347</v>
      </c>
      <c r="O576" s="1" t="s">
        <v>35</v>
      </c>
      <c r="P576" s="1" t="s">
        <v>3344</v>
      </c>
      <c r="Q576" s="1" t="s">
        <v>198</v>
      </c>
      <c r="R576" s="1" t="s">
        <v>37</v>
      </c>
      <c r="S576" s="1" t="s">
        <v>37</v>
      </c>
      <c r="T576" s="1" t="s">
        <v>37</v>
      </c>
      <c r="U576" s="1" t="s">
        <v>37</v>
      </c>
    </row>
    <row r="577" spans="1:21">
      <c r="A577" s="1" t="s">
        <v>3348</v>
      </c>
      <c r="B577" s="1" t="s">
        <v>115</v>
      </c>
      <c r="C577" s="1" t="s">
        <v>116</v>
      </c>
      <c r="D577" s="1" t="s">
        <v>24</v>
      </c>
      <c r="E577" s="1" t="s">
        <v>992</v>
      </c>
      <c r="F577" s="1" t="s">
        <v>127</v>
      </c>
      <c r="G577" s="1" t="s">
        <v>3349</v>
      </c>
      <c r="H577" s="1" t="s">
        <v>28</v>
      </c>
      <c r="I577" s="1" t="s">
        <v>3350</v>
      </c>
      <c r="J577" s="1" t="s">
        <v>3351</v>
      </c>
      <c r="K577" s="1" t="s">
        <v>742</v>
      </c>
      <c r="L577" s="1" t="s">
        <v>3030</v>
      </c>
      <c r="M577" s="1" t="s">
        <v>33</v>
      </c>
      <c r="N577" s="1" t="s">
        <v>3352</v>
      </c>
      <c r="O577" s="1" t="s">
        <v>35</v>
      </c>
      <c r="P577" s="1" t="s">
        <v>3350</v>
      </c>
      <c r="Q577" s="1" t="s">
        <v>359</v>
      </c>
      <c r="R577" s="1" t="s">
        <v>37</v>
      </c>
      <c r="S577" s="1" t="s">
        <v>37</v>
      </c>
      <c r="T577" s="1" t="s">
        <v>37</v>
      </c>
      <c r="U577" s="1" t="s">
        <v>37</v>
      </c>
    </row>
    <row r="578" spans="1:21">
      <c r="A578" s="1" t="s">
        <v>3353</v>
      </c>
      <c r="B578" s="1" t="s">
        <v>115</v>
      </c>
      <c r="C578" s="1" t="s">
        <v>116</v>
      </c>
      <c r="D578" s="1" t="s">
        <v>41</v>
      </c>
      <c r="E578" s="1" t="s">
        <v>992</v>
      </c>
      <c r="F578" s="1" t="s">
        <v>117</v>
      </c>
      <c r="G578" s="1" t="s">
        <v>3354</v>
      </c>
      <c r="H578" s="1" t="s">
        <v>129</v>
      </c>
      <c r="I578" s="1" t="s">
        <v>3355</v>
      </c>
      <c r="J578" s="1" t="s">
        <v>3356</v>
      </c>
      <c r="K578" s="1" t="s">
        <v>122</v>
      </c>
      <c r="L578" s="1" t="s">
        <v>3163</v>
      </c>
      <c r="M578" s="1" t="s">
        <v>49</v>
      </c>
      <c r="N578" s="1" t="s">
        <v>3357</v>
      </c>
      <c r="O578" s="1" t="s">
        <v>35</v>
      </c>
      <c r="P578" s="1" t="s">
        <v>3355</v>
      </c>
      <c r="Q578" s="1" t="s">
        <v>96</v>
      </c>
      <c r="R578" s="1" t="s">
        <v>37</v>
      </c>
      <c r="S578" s="1" t="s">
        <v>37</v>
      </c>
      <c r="T578" s="1" t="s">
        <v>37</v>
      </c>
      <c r="U578" s="1" t="s">
        <v>37</v>
      </c>
    </row>
    <row r="579" spans="1:21">
      <c r="A579" s="1" t="s">
        <v>3358</v>
      </c>
      <c r="B579" s="1" t="s">
        <v>39</v>
      </c>
      <c r="C579" s="1" t="s">
        <v>40</v>
      </c>
      <c r="D579" s="1" t="s">
        <v>41</v>
      </c>
      <c r="E579" s="1" t="s">
        <v>992</v>
      </c>
      <c r="F579" s="1" t="s">
        <v>117</v>
      </c>
      <c r="G579" s="1" t="s">
        <v>1520</v>
      </c>
      <c r="H579" s="1" t="s">
        <v>129</v>
      </c>
      <c r="I579" s="1" t="s">
        <v>3359</v>
      </c>
      <c r="J579" s="1" t="s">
        <v>3360</v>
      </c>
      <c r="K579" s="1" t="s">
        <v>1350</v>
      </c>
      <c r="L579" s="1" t="s">
        <v>1095</v>
      </c>
      <c r="M579" s="1" t="s">
        <v>33</v>
      </c>
      <c r="N579" s="1" t="s">
        <v>3361</v>
      </c>
      <c r="O579" s="1" t="s">
        <v>35</v>
      </c>
      <c r="P579" s="1" t="s">
        <v>3359</v>
      </c>
      <c r="Q579" s="1" t="s">
        <v>957</v>
      </c>
      <c r="R579" s="1" t="s">
        <v>37</v>
      </c>
      <c r="S579" s="1" t="s">
        <v>37</v>
      </c>
      <c r="T579" s="1" t="s">
        <v>37</v>
      </c>
      <c r="U579" s="1" t="s">
        <v>37</v>
      </c>
    </row>
    <row r="580" spans="1:21">
      <c r="A580" s="1" t="s">
        <v>3362</v>
      </c>
      <c r="B580" s="1" t="s">
        <v>22</v>
      </c>
      <c r="C580" s="1" t="s">
        <v>23</v>
      </c>
      <c r="D580" s="1" t="s">
        <v>41</v>
      </c>
      <c r="E580" s="1" t="s">
        <v>25</v>
      </c>
      <c r="F580" s="1" t="s">
        <v>26</v>
      </c>
      <c r="G580" s="1" t="s">
        <v>3363</v>
      </c>
      <c r="H580" s="1" t="s">
        <v>129</v>
      </c>
      <c r="I580" s="1" t="s">
        <v>3364</v>
      </c>
      <c r="J580" s="1" t="s">
        <v>3365</v>
      </c>
      <c r="K580" s="1" t="s">
        <v>737</v>
      </c>
      <c r="L580" s="1" t="s">
        <v>3366</v>
      </c>
      <c r="M580" s="1" t="s">
        <v>49</v>
      </c>
      <c r="N580" s="1" t="s">
        <v>3367</v>
      </c>
      <c r="O580" s="1" t="s">
        <v>35</v>
      </c>
      <c r="P580" s="1" t="s">
        <v>3364</v>
      </c>
      <c r="Q580" s="1" t="s">
        <v>265</v>
      </c>
      <c r="R580" s="1" t="s">
        <v>37</v>
      </c>
      <c r="S580" s="1" t="s">
        <v>37</v>
      </c>
      <c r="T580" s="1" t="s">
        <v>37</v>
      </c>
      <c r="U580" s="1" t="s">
        <v>37</v>
      </c>
    </row>
    <row r="581" spans="1:21">
      <c r="A581" s="1" t="s">
        <v>3368</v>
      </c>
      <c r="B581" s="1" t="s">
        <v>115</v>
      </c>
      <c r="C581" s="1" t="s">
        <v>116</v>
      </c>
      <c r="D581" s="1" t="s">
        <v>41</v>
      </c>
      <c r="E581" s="1" t="s">
        <v>992</v>
      </c>
      <c r="F581" s="1" t="s">
        <v>26</v>
      </c>
      <c r="G581" s="1" t="s">
        <v>3369</v>
      </c>
      <c r="H581" s="1" t="s">
        <v>107</v>
      </c>
      <c r="I581" s="1" t="s">
        <v>3370</v>
      </c>
      <c r="J581" s="1" t="s">
        <v>3371</v>
      </c>
      <c r="K581" s="1" t="s">
        <v>742</v>
      </c>
      <c r="L581" s="1" t="s">
        <v>3372</v>
      </c>
      <c r="M581" s="1" t="s">
        <v>33</v>
      </c>
      <c r="N581" s="1" t="s">
        <v>3373</v>
      </c>
      <c r="O581" s="1" t="s">
        <v>35</v>
      </c>
      <c r="P581" s="1" t="s">
        <v>3370</v>
      </c>
      <c r="Q581" s="1" t="s">
        <v>407</v>
      </c>
      <c r="R581" s="1" t="s">
        <v>37</v>
      </c>
      <c r="S581" s="1" t="s">
        <v>37</v>
      </c>
      <c r="T581" s="1" t="s">
        <v>37</v>
      </c>
      <c r="U581" s="1" t="s">
        <v>37</v>
      </c>
    </row>
    <row r="582" spans="1:21">
      <c r="A582" s="1" t="s">
        <v>3374</v>
      </c>
      <c r="B582" s="1" t="s">
        <v>39</v>
      </c>
      <c r="C582" s="1" t="s">
        <v>40</v>
      </c>
      <c r="D582" s="1" t="s">
        <v>41</v>
      </c>
      <c r="E582" s="1" t="s">
        <v>992</v>
      </c>
      <c r="F582" s="1" t="s">
        <v>117</v>
      </c>
      <c r="G582" s="1" t="s">
        <v>3375</v>
      </c>
      <c r="H582" s="1" t="s">
        <v>119</v>
      </c>
      <c r="I582" s="1" t="s">
        <v>3376</v>
      </c>
      <c r="J582" s="1" t="s">
        <v>3377</v>
      </c>
      <c r="K582" s="1" t="s">
        <v>316</v>
      </c>
      <c r="L582" s="1" t="s">
        <v>3378</v>
      </c>
      <c r="M582" s="1" t="s">
        <v>49</v>
      </c>
      <c r="N582" s="1" t="s">
        <v>3379</v>
      </c>
      <c r="O582" s="1" t="s">
        <v>35</v>
      </c>
      <c r="P582" s="1" t="s">
        <v>3376</v>
      </c>
      <c r="Q582" s="1" t="s">
        <v>663</v>
      </c>
      <c r="R582" s="1" t="s">
        <v>37</v>
      </c>
      <c r="S582" s="1" t="s">
        <v>37</v>
      </c>
      <c r="T582" s="1" t="s">
        <v>37</v>
      </c>
      <c r="U582" s="1" t="s">
        <v>37</v>
      </c>
    </row>
    <row r="583" spans="1:21">
      <c r="A583" s="1" t="s">
        <v>3380</v>
      </c>
      <c r="B583" s="1" t="s">
        <v>22</v>
      </c>
      <c r="C583" s="1" t="s">
        <v>23</v>
      </c>
      <c r="D583" s="1" t="s">
        <v>24</v>
      </c>
      <c r="E583" s="1" t="s">
        <v>25</v>
      </c>
      <c r="F583" s="1" t="s">
        <v>26</v>
      </c>
      <c r="G583" s="1" t="s">
        <v>2898</v>
      </c>
      <c r="H583" s="1" t="s">
        <v>129</v>
      </c>
      <c r="I583" s="1" t="s">
        <v>3381</v>
      </c>
      <c r="J583" s="1" t="s">
        <v>3382</v>
      </c>
      <c r="K583" s="1" t="s">
        <v>749</v>
      </c>
      <c r="L583" s="1" t="s">
        <v>685</v>
      </c>
      <c r="M583" s="1" t="s">
        <v>49</v>
      </c>
      <c r="N583" s="1" t="s">
        <v>3383</v>
      </c>
      <c r="O583" s="1" t="s">
        <v>35</v>
      </c>
      <c r="P583" s="1" t="s">
        <v>3381</v>
      </c>
      <c r="Q583" s="1" t="s">
        <v>70</v>
      </c>
      <c r="R583" s="1" t="s">
        <v>37</v>
      </c>
      <c r="S583" s="1" t="s">
        <v>37</v>
      </c>
      <c r="T583" s="1" t="s">
        <v>37</v>
      </c>
      <c r="U583" s="1" t="s">
        <v>37</v>
      </c>
    </row>
    <row r="584" spans="1:21">
      <c r="A584" s="1" t="s">
        <v>3384</v>
      </c>
      <c r="B584" s="1" t="s">
        <v>39</v>
      </c>
      <c r="C584" s="1" t="s">
        <v>40</v>
      </c>
      <c r="D584" s="1" t="s">
        <v>24</v>
      </c>
      <c r="E584" s="1" t="s">
        <v>25</v>
      </c>
      <c r="F584" s="1" t="s">
        <v>127</v>
      </c>
      <c r="G584" s="1" t="s">
        <v>3385</v>
      </c>
      <c r="H584" s="1" t="s">
        <v>107</v>
      </c>
      <c r="I584" s="1" t="s">
        <v>3386</v>
      </c>
      <c r="J584" s="1" t="s">
        <v>3387</v>
      </c>
      <c r="K584" s="1" t="s">
        <v>1206</v>
      </c>
      <c r="L584" s="1" t="s">
        <v>3388</v>
      </c>
      <c r="M584" s="1" t="s">
        <v>59</v>
      </c>
      <c r="N584" s="1" t="s">
        <v>3389</v>
      </c>
      <c r="O584" s="1" t="s">
        <v>35</v>
      </c>
      <c r="P584" s="1" t="s">
        <v>3386</v>
      </c>
      <c r="Q584" s="1" t="s">
        <v>64</v>
      </c>
      <c r="R584" s="1" t="s">
        <v>37</v>
      </c>
      <c r="S584" s="1" t="s">
        <v>37</v>
      </c>
      <c r="T584" s="1" t="s">
        <v>37</v>
      </c>
      <c r="U584" s="1" t="s">
        <v>37</v>
      </c>
    </row>
    <row r="585" spans="1:21">
      <c r="A585" s="1" t="s">
        <v>3390</v>
      </c>
      <c r="B585" s="1" t="s">
        <v>115</v>
      </c>
      <c r="C585" s="1" t="s">
        <v>116</v>
      </c>
      <c r="D585" s="1" t="s">
        <v>24</v>
      </c>
      <c r="E585" s="1" t="s">
        <v>25</v>
      </c>
      <c r="F585" s="1" t="s">
        <v>127</v>
      </c>
      <c r="G585" s="1" t="s">
        <v>1251</v>
      </c>
      <c r="H585" s="1" t="s">
        <v>129</v>
      </c>
      <c r="I585" s="1" t="s">
        <v>3391</v>
      </c>
      <c r="J585" s="1" t="s">
        <v>3392</v>
      </c>
      <c r="K585" s="1" t="s">
        <v>1350</v>
      </c>
      <c r="L585" s="1" t="s">
        <v>1317</v>
      </c>
      <c r="M585" s="1" t="s">
        <v>59</v>
      </c>
      <c r="N585" s="1" t="s">
        <v>3393</v>
      </c>
      <c r="O585" s="1" t="s">
        <v>35</v>
      </c>
      <c r="P585" s="1" t="s">
        <v>3391</v>
      </c>
      <c r="Q585" s="1" t="s">
        <v>386</v>
      </c>
      <c r="R585" s="1" t="s">
        <v>37</v>
      </c>
      <c r="S585" s="1" t="s">
        <v>37</v>
      </c>
      <c r="T585" s="1" t="s">
        <v>37</v>
      </c>
      <c r="U585" s="1" t="s">
        <v>37</v>
      </c>
    </row>
    <row r="586" spans="1:21">
      <c r="A586" s="1" t="s">
        <v>3394</v>
      </c>
      <c r="B586" s="1" t="s">
        <v>115</v>
      </c>
      <c r="C586" s="1" t="s">
        <v>116</v>
      </c>
      <c r="D586" s="1" t="s">
        <v>41</v>
      </c>
      <c r="E586" s="1" t="s">
        <v>992</v>
      </c>
      <c r="F586" s="1" t="s">
        <v>72</v>
      </c>
      <c r="G586" s="1" t="s">
        <v>3395</v>
      </c>
      <c r="H586" s="1" t="s">
        <v>119</v>
      </c>
      <c r="I586" s="1" t="s">
        <v>3396</v>
      </c>
      <c r="J586" s="1" t="s">
        <v>3397</v>
      </c>
      <c r="K586" s="1" t="s">
        <v>823</v>
      </c>
      <c r="L586" s="1" t="s">
        <v>3398</v>
      </c>
      <c r="M586" s="1" t="s">
        <v>33</v>
      </c>
      <c r="N586" s="1" t="s">
        <v>3399</v>
      </c>
      <c r="O586" s="1" t="s">
        <v>35</v>
      </c>
      <c r="P586" s="1" t="s">
        <v>3396</v>
      </c>
      <c r="Q586" s="1" t="s">
        <v>28</v>
      </c>
      <c r="R586" s="1" t="s">
        <v>37</v>
      </c>
      <c r="S586" s="1" t="s">
        <v>37</v>
      </c>
      <c r="T586" s="1" t="s">
        <v>37</v>
      </c>
      <c r="U586" s="1" t="s">
        <v>37</v>
      </c>
    </row>
    <row r="587" spans="1:21">
      <c r="A587" s="1" t="s">
        <v>3400</v>
      </c>
      <c r="B587" s="1" t="s">
        <v>22</v>
      </c>
      <c r="C587" s="1" t="s">
        <v>23</v>
      </c>
      <c r="D587" s="1" t="s">
        <v>41</v>
      </c>
      <c r="E587" s="1" t="s">
        <v>992</v>
      </c>
      <c r="F587" s="1" t="s">
        <v>26</v>
      </c>
      <c r="G587" s="1" t="s">
        <v>3401</v>
      </c>
      <c r="H587" s="1" t="s">
        <v>129</v>
      </c>
      <c r="I587" s="1" t="s">
        <v>3402</v>
      </c>
      <c r="J587" s="1" t="s">
        <v>3403</v>
      </c>
      <c r="K587" s="1" t="s">
        <v>140</v>
      </c>
      <c r="L587" s="1" t="s">
        <v>2588</v>
      </c>
      <c r="M587" s="1" t="s">
        <v>59</v>
      </c>
      <c r="N587" s="1" t="s">
        <v>3404</v>
      </c>
      <c r="O587" s="1" t="s">
        <v>35</v>
      </c>
      <c r="P587" s="1" t="s">
        <v>3402</v>
      </c>
      <c r="Q587" s="1" t="s">
        <v>971</v>
      </c>
      <c r="R587" s="1" t="s">
        <v>37</v>
      </c>
      <c r="S587" s="1" t="s">
        <v>37</v>
      </c>
      <c r="T587" s="1" t="s">
        <v>37</v>
      </c>
      <c r="U587" s="1" t="s">
        <v>37</v>
      </c>
    </row>
    <row r="588" spans="1:21">
      <c r="A588" s="1" t="s">
        <v>3405</v>
      </c>
      <c r="B588" s="1" t="s">
        <v>22</v>
      </c>
      <c r="C588" s="1" t="s">
        <v>23</v>
      </c>
      <c r="D588" s="1" t="s">
        <v>41</v>
      </c>
      <c r="E588" s="1" t="s">
        <v>25</v>
      </c>
      <c r="F588" s="1" t="s">
        <v>117</v>
      </c>
      <c r="G588" s="1" t="s">
        <v>3406</v>
      </c>
      <c r="H588" s="1" t="s">
        <v>119</v>
      </c>
      <c r="I588" s="1" t="s">
        <v>3407</v>
      </c>
      <c r="J588" s="1" t="s">
        <v>3408</v>
      </c>
      <c r="K588" s="1" t="s">
        <v>459</v>
      </c>
      <c r="L588" s="1" t="s">
        <v>3409</v>
      </c>
      <c r="M588" s="1" t="s">
        <v>49</v>
      </c>
      <c r="N588" s="1" t="s">
        <v>3410</v>
      </c>
      <c r="O588" s="1" t="s">
        <v>35</v>
      </c>
      <c r="P588" s="1" t="s">
        <v>3407</v>
      </c>
      <c r="Q588" s="1" t="s">
        <v>798</v>
      </c>
      <c r="R588" s="1" t="s">
        <v>37</v>
      </c>
      <c r="S588" s="1" t="s">
        <v>37</v>
      </c>
      <c r="T588" s="1" t="s">
        <v>37</v>
      </c>
      <c r="U588" s="1" t="s">
        <v>37</v>
      </c>
    </row>
    <row r="589" spans="1:21">
      <c r="A589" s="1" t="s">
        <v>3411</v>
      </c>
      <c r="B589" s="1" t="s">
        <v>22</v>
      </c>
      <c r="C589" s="1" t="s">
        <v>23</v>
      </c>
      <c r="D589" s="1" t="s">
        <v>41</v>
      </c>
      <c r="E589" s="1" t="s">
        <v>25</v>
      </c>
      <c r="F589" s="1" t="s">
        <v>72</v>
      </c>
      <c r="G589" s="1" t="s">
        <v>3412</v>
      </c>
      <c r="H589" s="1" t="s">
        <v>44</v>
      </c>
      <c r="I589" s="1" t="s">
        <v>3413</v>
      </c>
      <c r="J589" s="1" t="s">
        <v>3414</v>
      </c>
      <c r="K589" s="1" t="s">
        <v>2159</v>
      </c>
      <c r="L589" s="1" t="s">
        <v>3415</v>
      </c>
      <c r="M589" s="1" t="s">
        <v>33</v>
      </c>
      <c r="N589" s="1" t="s">
        <v>3416</v>
      </c>
      <c r="O589" s="1" t="s">
        <v>35</v>
      </c>
      <c r="P589" s="1" t="s">
        <v>3413</v>
      </c>
      <c r="Q589" s="1" t="s">
        <v>265</v>
      </c>
      <c r="R589" s="1" t="s">
        <v>37</v>
      </c>
      <c r="S589" s="1" t="s">
        <v>37</v>
      </c>
      <c r="T589" s="1" t="s">
        <v>37</v>
      </c>
      <c r="U589" s="1" t="s">
        <v>37</v>
      </c>
    </row>
    <row r="590" spans="1:21">
      <c r="A590" s="1" t="s">
        <v>3417</v>
      </c>
      <c r="B590" s="1" t="s">
        <v>39</v>
      </c>
      <c r="C590" s="1" t="s">
        <v>40</v>
      </c>
      <c r="D590" s="1" t="s">
        <v>41</v>
      </c>
      <c r="E590" s="1" t="s">
        <v>992</v>
      </c>
      <c r="F590" s="1" t="s">
        <v>127</v>
      </c>
      <c r="G590" s="1" t="s">
        <v>3418</v>
      </c>
      <c r="H590" s="1" t="s">
        <v>99</v>
      </c>
      <c r="I590" s="1" t="s">
        <v>3419</v>
      </c>
      <c r="J590" s="1" t="s">
        <v>3420</v>
      </c>
      <c r="K590" s="1" t="s">
        <v>1718</v>
      </c>
      <c r="L590" s="1" t="s">
        <v>3421</v>
      </c>
      <c r="M590" s="1" t="s">
        <v>49</v>
      </c>
      <c r="N590" s="1" t="s">
        <v>3422</v>
      </c>
      <c r="O590" s="1" t="s">
        <v>35</v>
      </c>
      <c r="P590" s="1" t="s">
        <v>3419</v>
      </c>
      <c r="Q590" s="1" t="s">
        <v>79</v>
      </c>
      <c r="R590" s="1" t="s">
        <v>37</v>
      </c>
      <c r="S590" s="1" t="s">
        <v>37</v>
      </c>
      <c r="T590" s="1" t="s">
        <v>37</v>
      </c>
      <c r="U590" s="1" t="s">
        <v>37</v>
      </c>
    </row>
    <row r="591" spans="1:21">
      <c r="A591" s="1" t="s">
        <v>3423</v>
      </c>
      <c r="B591" s="1" t="s">
        <v>22</v>
      </c>
      <c r="C591" s="1" t="s">
        <v>23</v>
      </c>
      <c r="D591" s="1" t="s">
        <v>41</v>
      </c>
      <c r="E591" s="1" t="s">
        <v>992</v>
      </c>
      <c r="F591" s="1" t="s">
        <v>26</v>
      </c>
      <c r="G591" s="1" t="s">
        <v>3424</v>
      </c>
      <c r="H591" s="1" t="s">
        <v>44</v>
      </c>
      <c r="I591" s="1" t="s">
        <v>3425</v>
      </c>
      <c r="J591" s="1" t="s">
        <v>3426</v>
      </c>
      <c r="K591" s="1" t="s">
        <v>371</v>
      </c>
      <c r="L591" s="1" t="s">
        <v>3427</v>
      </c>
      <c r="M591" s="1" t="s">
        <v>49</v>
      </c>
      <c r="N591" s="1" t="s">
        <v>3428</v>
      </c>
      <c r="O591" s="1" t="s">
        <v>35</v>
      </c>
      <c r="P591" s="1" t="s">
        <v>3425</v>
      </c>
      <c r="Q591" s="1" t="s">
        <v>205</v>
      </c>
      <c r="R591" s="1" t="s">
        <v>37</v>
      </c>
      <c r="S591" s="1" t="s">
        <v>37</v>
      </c>
      <c r="T591" s="1" t="s">
        <v>37</v>
      </c>
      <c r="U591" s="1" t="s">
        <v>37</v>
      </c>
    </row>
    <row r="592" spans="1:21">
      <c r="A592" s="1" t="s">
        <v>3429</v>
      </c>
      <c r="B592" s="1" t="s">
        <v>39</v>
      </c>
      <c r="C592" s="1" t="s">
        <v>40</v>
      </c>
      <c r="D592" s="1" t="s">
        <v>24</v>
      </c>
      <c r="E592" s="1" t="s">
        <v>992</v>
      </c>
      <c r="F592" s="1" t="s">
        <v>26</v>
      </c>
      <c r="G592" s="1" t="s">
        <v>3430</v>
      </c>
      <c r="H592" s="1" t="s">
        <v>90</v>
      </c>
      <c r="I592" s="1" t="s">
        <v>3431</v>
      </c>
      <c r="J592" s="1" t="s">
        <v>3432</v>
      </c>
      <c r="K592" s="1" t="s">
        <v>57</v>
      </c>
      <c r="L592" s="1" t="s">
        <v>1525</v>
      </c>
      <c r="M592" s="1" t="s">
        <v>59</v>
      </c>
      <c r="N592" s="1" t="s">
        <v>3433</v>
      </c>
      <c r="O592" s="1" t="s">
        <v>35</v>
      </c>
      <c r="P592" s="1" t="s">
        <v>3431</v>
      </c>
      <c r="Q592" s="1" t="s">
        <v>550</v>
      </c>
      <c r="R592" s="1" t="s">
        <v>37</v>
      </c>
      <c r="S592" s="1" t="s">
        <v>37</v>
      </c>
      <c r="T592" s="1" t="s">
        <v>37</v>
      </c>
      <c r="U592" s="1" t="s">
        <v>37</v>
      </c>
    </row>
    <row r="593" spans="1:21">
      <c r="A593" s="1" t="s">
        <v>3434</v>
      </c>
      <c r="B593" s="1" t="s">
        <v>39</v>
      </c>
      <c r="C593" s="1" t="s">
        <v>40</v>
      </c>
      <c r="D593" s="1" t="s">
        <v>24</v>
      </c>
      <c r="E593" s="1" t="s">
        <v>25</v>
      </c>
      <c r="F593" s="1" t="s">
        <v>53</v>
      </c>
      <c r="G593" s="1" t="s">
        <v>3435</v>
      </c>
      <c r="H593" s="1" t="s">
        <v>28</v>
      </c>
      <c r="I593" s="1" t="s">
        <v>3436</v>
      </c>
      <c r="J593" s="1" t="s">
        <v>3437</v>
      </c>
      <c r="K593" s="1" t="s">
        <v>67</v>
      </c>
      <c r="L593" s="1" t="s">
        <v>1380</v>
      </c>
      <c r="M593" s="1" t="s">
        <v>33</v>
      </c>
      <c r="N593" s="1" t="s">
        <v>3438</v>
      </c>
      <c r="O593" s="1" t="s">
        <v>35</v>
      </c>
      <c r="P593" s="1" t="s">
        <v>3436</v>
      </c>
      <c r="Q593" s="1" t="s">
        <v>583</v>
      </c>
      <c r="R593" s="1" t="s">
        <v>37</v>
      </c>
      <c r="S593" s="1" t="s">
        <v>37</v>
      </c>
      <c r="T593" s="1" t="s">
        <v>37</v>
      </c>
      <c r="U593" s="1" t="s">
        <v>37</v>
      </c>
    </row>
    <row r="594" spans="1:21">
      <c r="A594" s="1" t="s">
        <v>3439</v>
      </c>
      <c r="B594" s="1" t="s">
        <v>22</v>
      </c>
      <c r="C594" s="1" t="s">
        <v>23</v>
      </c>
      <c r="D594" s="1" t="s">
        <v>24</v>
      </c>
      <c r="E594" s="1" t="s">
        <v>25</v>
      </c>
      <c r="F594" s="1" t="s">
        <v>72</v>
      </c>
      <c r="G594" s="1" t="s">
        <v>3440</v>
      </c>
      <c r="H594" s="1" t="s">
        <v>253</v>
      </c>
      <c r="I594" s="1" t="s">
        <v>3441</v>
      </c>
      <c r="J594" s="1" t="s">
        <v>3442</v>
      </c>
      <c r="K594" s="1" t="s">
        <v>156</v>
      </c>
      <c r="L594" s="1" t="s">
        <v>3443</v>
      </c>
      <c r="M594" s="1" t="s">
        <v>49</v>
      </c>
      <c r="N594" s="1" t="s">
        <v>3440</v>
      </c>
      <c r="O594" s="1" t="s">
        <v>35</v>
      </c>
      <c r="P594" s="1" t="s">
        <v>3441</v>
      </c>
      <c r="Q594" s="1" t="s">
        <v>971</v>
      </c>
      <c r="R594" s="1" t="s">
        <v>37</v>
      </c>
      <c r="S594" s="1" t="s">
        <v>37</v>
      </c>
      <c r="T594" s="1" t="s">
        <v>37</v>
      </c>
      <c r="U594" s="1" t="s">
        <v>37</v>
      </c>
    </row>
    <row r="595" spans="1:21">
      <c r="A595" s="1" t="s">
        <v>3444</v>
      </c>
      <c r="B595" s="1" t="s">
        <v>22</v>
      </c>
      <c r="C595" s="1" t="s">
        <v>23</v>
      </c>
      <c r="D595" s="1" t="s">
        <v>24</v>
      </c>
      <c r="E595" s="1" t="s">
        <v>25</v>
      </c>
      <c r="F595" s="1" t="s">
        <v>72</v>
      </c>
      <c r="G595" s="1" t="s">
        <v>3445</v>
      </c>
      <c r="H595" s="1" t="s">
        <v>119</v>
      </c>
      <c r="I595" s="1" t="s">
        <v>3446</v>
      </c>
      <c r="J595" s="1" t="s">
        <v>3447</v>
      </c>
      <c r="K595" s="1" t="s">
        <v>803</v>
      </c>
      <c r="L595" s="1" t="s">
        <v>1231</v>
      </c>
      <c r="M595" s="1" t="s">
        <v>33</v>
      </c>
      <c r="N595" s="1" t="s">
        <v>3448</v>
      </c>
      <c r="O595" s="1" t="s">
        <v>35</v>
      </c>
      <c r="P595" s="1" t="s">
        <v>3446</v>
      </c>
      <c r="Q595" s="1" t="s">
        <v>212</v>
      </c>
      <c r="R595" s="1" t="s">
        <v>37</v>
      </c>
      <c r="S595" s="1" t="s">
        <v>37</v>
      </c>
      <c r="T595" s="1" t="s">
        <v>37</v>
      </c>
      <c r="U595" s="1" t="s">
        <v>37</v>
      </c>
    </row>
    <row r="596" spans="1:21">
      <c r="A596" s="1" t="s">
        <v>3449</v>
      </c>
      <c r="B596" s="1" t="s">
        <v>115</v>
      </c>
      <c r="C596" s="1" t="s">
        <v>116</v>
      </c>
      <c r="D596" s="1" t="s">
        <v>24</v>
      </c>
      <c r="E596" s="1" t="s">
        <v>992</v>
      </c>
      <c r="F596" s="1" t="s">
        <v>72</v>
      </c>
      <c r="G596" s="1" t="s">
        <v>3450</v>
      </c>
      <c r="H596" s="1" t="s">
        <v>119</v>
      </c>
      <c r="I596" s="1" t="s">
        <v>3451</v>
      </c>
      <c r="J596" s="1" t="s">
        <v>3452</v>
      </c>
      <c r="K596" s="1" t="s">
        <v>225</v>
      </c>
      <c r="L596" s="1" t="s">
        <v>1070</v>
      </c>
      <c r="M596" s="1" t="s">
        <v>49</v>
      </c>
      <c r="N596" s="1" t="s">
        <v>3453</v>
      </c>
      <c r="O596" s="1" t="s">
        <v>35</v>
      </c>
      <c r="P596" s="1" t="s">
        <v>3451</v>
      </c>
      <c r="Q596" s="1" t="s">
        <v>79</v>
      </c>
      <c r="R596" s="1" t="s">
        <v>37</v>
      </c>
      <c r="S596" s="1" t="s">
        <v>37</v>
      </c>
      <c r="T596" s="1" t="s">
        <v>37</v>
      </c>
      <c r="U596" s="1" t="s">
        <v>37</v>
      </c>
    </row>
    <row r="597" spans="1:21">
      <c r="A597" s="1" t="s">
        <v>3454</v>
      </c>
      <c r="B597" s="1" t="s">
        <v>115</v>
      </c>
      <c r="C597" s="1" t="s">
        <v>116</v>
      </c>
      <c r="D597" s="1" t="s">
        <v>41</v>
      </c>
      <c r="E597" s="1" t="s">
        <v>992</v>
      </c>
      <c r="F597" s="1" t="s">
        <v>26</v>
      </c>
      <c r="G597" s="1" t="s">
        <v>3455</v>
      </c>
      <c r="H597" s="1" t="s">
        <v>119</v>
      </c>
      <c r="I597" s="1" t="s">
        <v>3456</v>
      </c>
      <c r="J597" s="1" t="s">
        <v>3457</v>
      </c>
      <c r="K597" s="1" t="s">
        <v>742</v>
      </c>
      <c r="L597" s="1" t="s">
        <v>1306</v>
      </c>
      <c r="M597" s="1" t="s">
        <v>59</v>
      </c>
      <c r="N597" s="1" t="s">
        <v>3458</v>
      </c>
      <c r="O597" s="1" t="s">
        <v>35</v>
      </c>
      <c r="P597" s="1" t="s">
        <v>3456</v>
      </c>
      <c r="Q597" s="1" t="s">
        <v>576</v>
      </c>
      <c r="R597" s="1" t="s">
        <v>37</v>
      </c>
      <c r="S597" s="1" t="s">
        <v>37</v>
      </c>
      <c r="T597" s="1" t="s">
        <v>37</v>
      </c>
      <c r="U597" s="1" t="s">
        <v>37</v>
      </c>
    </row>
    <row r="598" spans="1:21">
      <c r="A598" s="1" t="s">
        <v>3459</v>
      </c>
      <c r="B598" s="1" t="s">
        <v>22</v>
      </c>
      <c r="C598" s="1" t="s">
        <v>23</v>
      </c>
      <c r="D598" s="1" t="s">
        <v>41</v>
      </c>
      <c r="E598" s="1" t="s">
        <v>992</v>
      </c>
      <c r="F598" s="1" t="s">
        <v>117</v>
      </c>
      <c r="G598" s="1" t="s">
        <v>3460</v>
      </c>
      <c r="H598" s="1" t="s">
        <v>119</v>
      </c>
      <c r="I598" s="1" t="s">
        <v>3461</v>
      </c>
      <c r="J598" s="1" t="s">
        <v>3462</v>
      </c>
      <c r="K598" s="1" t="s">
        <v>489</v>
      </c>
      <c r="L598" s="1" t="s">
        <v>1839</v>
      </c>
      <c r="M598" s="1" t="s">
        <v>59</v>
      </c>
      <c r="N598" s="1" t="s">
        <v>3463</v>
      </c>
      <c r="O598" s="1" t="s">
        <v>35</v>
      </c>
      <c r="P598" s="1" t="s">
        <v>3461</v>
      </c>
      <c r="Q598" s="1" t="s">
        <v>386</v>
      </c>
      <c r="R598" s="1" t="s">
        <v>37</v>
      </c>
      <c r="S598" s="1" t="s">
        <v>37</v>
      </c>
      <c r="T598" s="1" t="s">
        <v>37</v>
      </c>
      <c r="U598" s="1" t="s">
        <v>37</v>
      </c>
    </row>
    <row r="599" spans="1:21">
      <c r="A599" s="1" t="s">
        <v>3464</v>
      </c>
      <c r="B599" s="1" t="s">
        <v>39</v>
      </c>
      <c r="C599" s="1" t="s">
        <v>40</v>
      </c>
      <c r="D599" s="1" t="s">
        <v>41</v>
      </c>
      <c r="E599" s="1" t="s">
        <v>25</v>
      </c>
      <c r="F599" s="1" t="s">
        <v>72</v>
      </c>
      <c r="G599" s="1" t="s">
        <v>3465</v>
      </c>
      <c r="H599" s="1" t="s">
        <v>275</v>
      </c>
      <c r="I599" s="1" t="s">
        <v>3466</v>
      </c>
      <c r="J599" s="1" t="s">
        <v>3467</v>
      </c>
      <c r="K599" s="1" t="s">
        <v>232</v>
      </c>
      <c r="L599" s="1" t="s">
        <v>3468</v>
      </c>
      <c r="M599" s="1" t="s">
        <v>33</v>
      </c>
      <c r="N599" s="1" t="s">
        <v>3469</v>
      </c>
      <c r="O599" s="1" t="s">
        <v>35</v>
      </c>
      <c r="P599" s="1" t="s">
        <v>3466</v>
      </c>
      <c r="Q599" s="1" t="s">
        <v>79</v>
      </c>
      <c r="R599" s="1" t="s">
        <v>37</v>
      </c>
      <c r="S599" s="1" t="s">
        <v>37</v>
      </c>
      <c r="T599" s="1" t="s">
        <v>37</v>
      </c>
      <c r="U599" s="1" t="s">
        <v>37</v>
      </c>
    </row>
    <row r="600" spans="1:21">
      <c r="A600" s="1" t="s">
        <v>3470</v>
      </c>
      <c r="B600" s="1" t="s">
        <v>39</v>
      </c>
      <c r="C600" s="1" t="s">
        <v>40</v>
      </c>
      <c r="D600" s="1" t="s">
        <v>41</v>
      </c>
      <c r="E600" s="1" t="s">
        <v>25</v>
      </c>
      <c r="F600" s="1" t="s">
        <v>127</v>
      </c>
      <c r="G600" s="1" t="s">
        <v>3471</v>
      </c>
      <c r="H600" s="1" t="s">
        <v>44</v>
      </c>
      <c r="I600" s="1" t="s">
        <v>3472</v>
      </c>
      <c r="J600" s="1" t="s">
        <v>3473</v>
      </c>
      <c r="K600" s="1" t="s">
        <v>623</v>
      </c>
      <c r="L600" s="1" t="s">
        <v>3474</v>
      </c>
      <c r="M600" s="1" t="s">
        <v>49</v>
      </c>
      <c r="N600" s="1" t="s">
        <v>3475</v>
      </c>
      <c r="O600" s="1" t="s">
        <v>35</v>
      </c>
      <c r="P600" s="1" t="s">
        <v>3472</v>
      </c>
      <c r="Q600" s="1" t="s">
        <v>798</v>
      </c>
      <c r="R600" s="1" t="s">
        <v>37</v>
      </c>
      <c r="S600" s="1" t="s">
        <v>37</v>
      </c>
      <c r="T600" s="1" t="s">
        <v>37</v>
      </c>
      <c r="U600" s="1" t="s">
        <v>37</v>
      </c>
    </row>
    <row r="601" spans="1:21">
      <c r="A601" s="1" t="s">
        <v>3476</v>
      </c>
      <c r="B601" s="1" t="s">
        <v>22</v>
      </c>
      <c r="C601" s="1" t="s">
        <v>23</v>
      </c>
      <c r="D601" s="1" t="s">
        <v>24</v>
      </c>
      <c r="E601" s="1" t="s">
        <v>25</v>
      </c>
      <c r="F601" s="1" t="s">
        <v>53</v>
      </c>
      <c r="G601" s="1" t="s">
        <v>3477</v>
      </c>
      <c r="H601" s="1" t="s">
        <v>107</v>
      </c>
      <c r="I601" s="1" t="s">
        <v>3478</v>
      </c>
      <c r="J601" s="1" t="s">
        <v>3479</v>
      </c>
      <c r="K601" s="1" t="s">
        <v>788</v>
      </c>
      <c r="L601" s="1" t="s">
        <v>3480</v>
      </c>
      <c r="M601" s="1" t="s">
        <v>33</v>
      </c>
      <c r="N601" s="1" t="s">
        <v>3481</v>
      </c>
      <c r="O601" s="1" t="s">
        <v>35</v>
      </c>
      <c r="P601" s="1" t="s">
        <v>3478</v>
      </c>
      <c r="Q601" s="1" t="s">
        <v>51</v>
      </c>
      <c r="R601" s="1" t="s">
        <v>37</v>
      </c>
      <c r="S601" s="1" t="s">
        <v>37</v>
      </c>
      <c r="T601" s="1" t="s">
        <v>37</v>
      </c>
      <c r="U601" s="1" t="s">
        <v>37</v>
      </c>
    </row>
    <row r="602" spans="1:21">
      <c r="A602" s="1" t="s">
        <v>3482</v>
      </c>
      <c r="B602" s="1" t="s">
        <v>39</v>
      </c>
      <c r="C602" s="1" t="s">
        <v>40</v>
      </c>
      <c r="D602" s="1" t="s">
        <v>41</v>
      </c>
      <c r="E602" s="1" t="s">
        <v>992</v>
      </c>
      <c r="F602" s="1" t="s">
        <v>42</v>
      </c>
      <c r="G602" s="1" t="s">
        <v>2726</v>
      </c>
      <c r="H602" s="1" t="s">
        <v>253</v>
      </c>
      <c r="I602" s="1" t="s">
        <v>2723</v>
      </c>
      <c r="J602" s="1" t="s">
        <v>2724</v>
      </c>
      <c r="K602" s="1" t="s">
        <v>629</v>
      </c>
      <c r="L602" s="1" t="s">
        <v>3157</v>
      </c>
      <c r="M602" s="1" t="s">
        <v>33</v>
      </c>
      <c r="N602" s="1" t="s">
        <v>2726</v>
      </c>
      <c r="O602" s="1" t="s">
        <v>35</v>
      </c>
      <c r="P602" s="1" t="s">
        <v>2723</v>
      </c>
      <c r="Q602" s="1" t="s">
        <v>544</v>
      </c>
      <c r="R602" s="1" t="s">
        <v>37</v>
      </c>
      <c r="S602" s="1" t="s">
        <v>37</v>
      </c>
      <c r="T602" s="1" t="s">
        <v>37</v>
      </c>
      <c r="U602" s="1" t="s">
        <v>37</v>
      </c>
    </row>
    <row r="603" spans="1:21">
      <c r="A603" s="1" t="s">
        <v>3483</v>
      </c>
      <c r="B603" s="1" t="s">
        <v>39</v>
      </c>
      <c r="C603" s="1" t="s">
        <v>40</v>
      </c>
      <c r="D603" s="1" t="s">
        <v>41</v>
      </c>
      <c r="E603" s="1" t="s">
        <v>25</v>
      </c>
      <c r="F603" s="1" t="s">
        <v>127</v>
      </c>
      <c r="G603" s="1" t="s">
        <v>3484</v>
      </c>
      <c r="H603" s="1" t="s">
        <v>253</v>
      </c>
      <c r="I603" s="1" t="s">
        <v>3485</v>
      </c>
      <c r="J603" s="1" t="s">
        <v>3486</v>
      </c>
      <c r="K603" s="1" t="s">
        <v>623</v>
      </c>
      <c r="L603" s="1" t="s">
        <v>3487</v>
      </c>
      <c r="M603" s="1" t="s">
        <v>59</v>
      </c>
      <c r="N603" s="1" t="s">
        <v>3484</v>
      </c>
      <c r="O603" s="1" t="s">
        <v>35</v>
      </c>
      <c r="P603" s="1" t="s">
        <v>3485</v>
      </c>
      <c r="Q603" s="1" t="s">
        <v>135</v>
      </c>
      <c r="R603" s="1" t="s">
        <v>37</v>
      </c>
      <c r="S603" s="1" t="s">
        <v>37</v>
      </c>
      <c r="T603" s="1" t="s">
        <v>37</v>
      </c>
      <c r="U603" s="1" t="s">
        <v>37</v>
      </c>
    </row>
    <row r="604" spans="1:21">
      <c r="A604" s="1" t="s">
        <v>3488</v>
      </c>
      <c r="B604" s="1" t="s">
        <v>39</v>
      </c>
      <c r="C604" s="1" t="s">
        <v>40</v>
      </c>
      <c r="D604" s="1" t="s">
        <v>41</v>
      </c>
      <c r="E604" s="1" t="s">
        <v>992</v>
      </c>
      <c r="F604" s="1" t="s">
        <v>117</v>
      </c>
      <c r="G604" s="1" t="s">
        <v>3489</v>
      </c>
      <c r="H604" s="1" t="s">
        <v>99</v>
      </c>
      <c r="I604" s="1" t="s">
        <v>3490</v>
      </c>
      <c r="J604" s="1" t="s">
        <v>3491</v>
      </c>
      <c r="K604" s="1" t="s">
        <v>1718</v>
      </c>
      <c r="L604" s="1" t="s">
        <v>661</v>
      </c>
      <c r="M604" s="1" t="s">
        <v>33</v>
      </c>
      <c r="N604" s="1" t="s">
        <v>3492</v>
      </c>
      <c r="O604" s="1" t="s">
        <v>35</v>
      </c>
      <c r="P604" s="1" t="s">
        <v>3490</v>
      </c>
      <c r="Q604" s="1" t="s">
        <v>190</v>
      </c>
      <c r="R604" s="1" t="s">
        <v>37</v>
      </c>
      <c r="S604" s="1" t="s">
        <v>37</v>
      </c>
      <c r="T604" s="1" t="s">
        <v>37</v>
      </c>
      <c r="U604" s="1" t="s">
        <v>37</v>
      </c>
    </row>
    <row r="605" spans="1:21">
      <c r="A605" s="1" t="s">
        <v>3493</v>
      </c>
      <c r="B605" s="1" t="s">
        <v>115</v>
      </c>
      <c r="C605" s="1" t="s">
        <v>116</v>
      </c>
      <c r="D605" s="1" t="s">
        <v>41</v>
      </c>
      <c r="E605" s="1" t="s">
        <v>25</v>
      </c>
      <c r="F605" s="1" t="s">
        <v>72</v>
      </c>
      <c r="G605" s="1" t="s">
        <v>3494</v>
      </c>
      <c r="H605" s="1" t="s">
        <v>90</v>
      </c>
      <c r="I605" s="1" t="s">
        <v>3495</v>
      </c>
      <c r="J605" s="1" t="s">
        <v>3496</v>
      </c>
      <c r="K605" s="1" t="s">
        <v>1636</v>
      </c>
      <c r="L605" s="1" t="s">
        <v>3366</v>
      </c>
      <c r="M605" s="1" t="s">
        <v>33</v>
      </c>
      <c r="N605" s="1" t="s">
        <v>3497</v>
      </c>
      <c r="O605" s="1" t="s">
        <v>35</v>
      </c>
      <c r="P605" s="1" t="s">
        <v>3495</v>
      </c>
      <c r="Q605" s="1" t="s">
        <v>812</v>
      </c>
      <c r="R605" s="1" t="s">
        <v>37</v>
      </c>
      <c r="S605" s="1" t="s">
        <v>37</v>
      </c>
      <c r="T605" s="1" t="s">
        <v>37</v>
      </c>
      <c r="U605" s="1" t="s">
        <v>37</v>
      </c>
    </row>
    <row r="606" spans="1:21">
      <c r="A606" s="1" t="s">
        <v>3498</v>
      </c>
      <c r="B606" s="1" t="s">
        <v>39</v>
      </c>
      <c r="C606" s="1" t="s">
        <v>40</v>
      </c>
      <c r="D606" s="1" t="s">
        <v>24</v>
      </c>
      <c r="E606" s="1" t="s">
        <v>25</v>
      </c>
      <c r="F606" s="1" t="s">
        <v>127</v>
      </c>
      <c r="G606" s="1" t="s">
        <v>3499</v>
      </c>
      <c r="H606" s="1" t="s">
        <v>28</v>
      </c>
      <c r="I606" s="1" t="s">
        <v>3500</v>
      </c>
      <c r="J606" s="1" t="s">
        <v>3501</v>
      </c>
      <c r="K606" s="1" t="s">
        <v>906</v>
      </c>
      <c r="L606" s="1" t="s">
        <v>3502</v>
      </c>
      <c r="M606" s="1" t="s">
        <v>49</v>
      </c>
      <c r="N606" s="1" t="s">
        <v>3503</v>
      </c>
      <c r="O606" s="1" t="s">
        <v>35</v>
      </c>
      <c r="P606" s="1" t="s">
        <v>3500</v>
      </c>
      <c r="Q606" s="1" t="s">
        <v>135</v>
      </c>
      <c r="R606" s="1" t="s">
        <v>37</v>
      </c>
      <c r="S606" s="1" t="s">
        <v>37</v>
      </c>
      <c r="T606" s="1" t="s">
        <v>37</v>
      </c>
      <c r="U606" s="1" t="s">
        <v>37</v>
      </c>
    </row>
    <row r="607" spans="1:21">
      <c r="A607" s="1" t="s">
        <v>3504</v>
      </c>
      <c r="B607" s="1" t="s">
        <v>115</v>
      </c>
      <c r="C607" s="1" t="s">
        <v>116</v>
      </c>
      <c r="D607" s="1" t="s">
        <v>41</v>
      </c>
      <c r="E607" s="1" t="s">
        <v>992</v>
      </c>
      <c r="F607" s="1" t="s">
        <v>53</v>
      </c>
      <c r="G607" s="1" t="s">
        <v>3505</v>
      </c>
      <c r="H607" s="1" t="s">
        <v>129</v>
      </c>
      <c r="I607" s="1" t="s">
        <v>3506</v>
      </c>
      <c r="J607" s="1" t="s">
        <v>3507</v>
      </c>
      <c r="K607" s="1" t="s">
        <v>76</v>
      </c>
      <c r="L607" s="1" t="s">
        <v>848</v>
      </c>
      <c r="M607" s="1" t="s">
        <v>49</v>
      </c>
      <c r="N607" s="1" t="s">
        <v>3508</v>
      </c>
      <c r="O607" s="1" t="s">
        <v>35</v>
      </c>
      <c r="P607" s="1" t="s">
        <v>3506</v>
      </c>
      <c r="Q607" s="1" t="s">
        <v>198</v>
      </c>
      <c r="R607" s="1" t="s">
        <v>37</v>
      </c>
      <c r="S607" s="1" t="s">
        <v>37</v>
      </c>
      <c r="T607" s="1" t="s">
        <v>37</v>
      </c>
      <c r="U607" s="1" t="s">
        <v>37</v>
      </c>
    </row>
    <row r="608" spans="1:21">
      <c r="A608" s="1" t="s">
        <v>3509</v>
      </c>
      <c r="B608" s="1" t="s">
        <v>22</v>
      </c>
      <c r="C608" s="1" t="s">
        <v>23</v>
      </c>
      <c r="D608" s="1" t="s">
        <v>24</v>
      </c>
      <c r="E608" s="1" t="s">
        <v>25</v>
      </c>
      <c r="F608" s="1" t="s">
        <v>127</v>
      </c>
      <c r="G608" s="1" t="s">
        <v>3510</v>
      </c>
      <c r="H608" s="1" t="s">
        <v>28</v>
      </c>
      <c r="I608" s="1" t="s">
        <v>3511</v>
      </c>
      <c r="J608" s="1" t="s">
        <v>3512</v>
      </c>
      <c r="K608" s="1" t="s">
        <v>404</v>
      </c>
      <c r="L608" s="1" t="s">
        <v>3513</v>
      </c>
      <c r="M608" s="1" t="s">
        <v>33</v>
      </c>
      <c r="N608" s="1" t="s">
        <v>3514</v>
      </c>
      <c r="O608" s="1" t="s">
        <v>35</v>
      </c>
      <c r="P608" s="1" t="s">
        <v>3511</v>
      </c>
      <c r="Q608" s="1" t="s">
        <v>849</v>
      </c>
      <c r="R608" s="1" t="s">
        <v>37</v>
      </c>
      <c r="S608" s="1" t="s">
        <v>37</v>
      </c>
      <c r="T608" s="1" t="s">
        <v>37</v>
      </c>
      <c r="U608" s="1" t="s">
        <v>37</v>
      </c>
    </row>
    <row r="609" spans="1:21">
      <c r="A609" s="1" t="s">
        <v>3515</v>
      </c>
      <c r="B609" s="1" t="s">
        <v>39</v>
      </c>
      <c r="C609" s="1" t="s">
        <v>40</v>
      </c>
      <c r="D609" s="1" t="s">
        <v>24</v>
      </c>
      <c r="E609" s="1" t="s">
        <v>25</v>
      </c>
      <c r="F609" s="1" t="s">
        <v>117</v>
      </c>
      <c r="G609" s="1" t="s">
        <v>3516</v>
      </c>
      <c r="H609" s="1" t="s">
        <v>129</v>
      </c>
      <c r="I609" s="1" t="s">
        <v>3517</v>
      </c>
      <c r="J609" s="1" t="s">
        <v>3518</v>
      </c>
      <c r="K609" s="1" t="s">
        <v>757</v>
      </c>
      <c r="L609" s="1" t="s">
        <v>1213</v>
      </c>
      <c r="M609" s="1" t="s">
        <v>59</v>
      </c>
      <c r="N609" s="1" t="s">
        <v>3519</v>
      </c>
      <c r="O609" s="1" t="s">
        <v>35</v>
      </c>
      <c r="P609" s="1" t="s">
        <v>3517</v>
      </c>
      <c r="Q609" s="1" t="s">
        <v>544</v>
      </c>
      <c r="R609" s="1" t="s">
        <v>37</v>
      </c>
      <c r="S609" s="1" t="s">
        <v>37</v>
      </c>
      <c r="T609" s="1" t="s">
        <v>37</v>
      </c>
      <c r="U609" s="1" t="s">
        <v>37</v>
      </c>
    </row>
    <row r="610" spans="1:21">
      <c r="A610" s="1" t="s">
        <v>3520</v>
      </c>
      <c r="B610" s="1" t="s">
        <v>22</v>
      </c>
      <c r="C610" s="1" t="s">
        <v>23</v>
      </c>
      <c r="D610" s="1" t="s">
        <v>41</v>
      </c>
      <c r="E610" s="1" t="s">
        <v>992</v>
      </c>
      <c r="F610" s="1" t="s">
        <v>127</v>
      </c>
      <c r="G610" s="1" t="s">
        <v>478</v>
      </c>
      <c r="H610" s="1" t="s">
        <v>253</v>
      </c>
      <c r="I610" s="1" t="s">
        <v>3521</v>
      </c>
      <c r="J610" s="1" t="s">
        <v>3522</v>
      </c>
      <c r="K610" s="1" t="s">
        <v>629</v>
      </c>
      <c r="L610" s="1" t="s">
        <v>226</v>
      </c>
      <c r="M610" s="1" t="s">
        <v>33</v>
      </c>
      <c r="N610" s="1" t="s">
        <v>478</v>
      </c>
      <c r="O610" s="1" t="s">
        <v>35</v>
      </c>
      <c r="P610" s="1" t="s">
        <v>3521</v>
      </c>
      <c r="Q610" s="1" t="s">
        <v>849</v>
      </c>
      <c r="R610" s="1" t="s">
        <v>37</v>
      </c>
      <c r="S610" s="1" t="s">
        <v>37</v>
      </c>
      <c r="T610" s="1" t="s">
        <v>37</v>
      </c>
      <c r="U610" s="1" t="s">
        <v>37</v>
      </c>
    </row>
    <row r="611" spans="1:21">
      <c r="A611" s="1" t="s">
        <v>3523</v>
      </c>
      <c r="B611" s="1" t="s">
        <v>115</v>
      </c>
      <c r="C611" s="1" t="s">
        <v>116</v>
      </c>
      <c r="D611" s="1" t="s">
        <v>24</v>
      </c>
      <c r="E611" s="1" t="s">
        <v>992</v>
      </c>
      <c r="F611" s="1" t="s">
        <v>117</v>
      </c>
      <c r="G611" s="1" t="s">
        <v>3524</v>
      </c>
      <c r="H611" s="1" t="s">
        <v>107</v>
      </c>
      <c r="I611" s="1" t="s">
        <v>3525</v>
      </c>
      <c r="J611" s="1" t="s">
        <v>3526</v>
      </c>
      <c r="K611" s="1" t="s">
        <v>349</v>
      </c>
      <c r="L611" s="1" t="s">
        <v>77</v>
      </c>
      <c r="M611" s="1" t="s">
        <v>33</v>
      </c>
      <c r="N611" s="1" t="s">
        <v>3527</v>
      </c>
      <c r="O611" s="1" t="s">
        <v>35</v>
      </c>
      <c r="P611" s="1" t="s">
        <v>3525</v>
      </c>
      <c r="Q611" s="1" t="s">
        <v>1655</v>
      </c>
      <c r="R611" s="1" t="s">
        <v>37</v>
      </c>
      <c r="S611" s="1" t="s">
        <v>37</v>
      </c>
      <c r="T611" s="1" t="s">
        <v>37</v>
      </c>
      <c r="U611" s="1" t="s">
        <v>37</v>
      </c>
    </row>
    <row r="612" spans="1:21">
      <c r="A612" s="1" t="s">
        <v>3528</v>
      </c>
      <c r="B612" s="1" t="s">
        <v>22</v>
      </c>
      <c r="C612" s="1" t="s">
        <v>23</v>
      </c>
      <c r="D612" s="1" t="s">
        <v>41</v>
      </c>
      <c r="E612" s="1" t="s">
        <v>25</v>
      </c>
      <c r="F612" s="1" t="s">
        <v>42</v>
      </c>
      <c r="G612" s="1" t="s">
        <v>3529</v>
      </c>
      <c r="H612" s="1" t="s">
        <v>253</v>
      </c>
      <c r="I612" s="1" t="s">
        <v>3530</v>
      </c>
      <c r="J612" s="1" t="s">
        <v>3531</v>
      </c>
      <c r="K612" s="1" t="s">
        <v>156</v>
      </c>
      <c r="L612" s="1" t="s">
        <v>3532</v>
      </c>
      <c r="M612" s="1" t="s">
        <v>59</v>
      </c>
      <c r="N612" s="1" t="s">
        <v>3529</v>
      </c>
      <c r="O612" s="1" t="s">
        <v>35</v>
      </c>
      <c r="P612" s="1" t="s">
        <v>3530</v>
      </c>
      <c r="Q612" s="1" t="s">
        <v>957</v>
      </c>
      <c r="R612" s="1" t="s">
        <v>37</v>
      </c>
      <c r="S612" s="1" t="s">
        <v>37</v>
      </c>
      <c r="T612" s="1" t="s">
        <v>37</v>
      </c>
      <c r="U612" s="1" t="s">
        <v>37</v>
      </c>
    </row>
    <row r="613" spans="1:21">
      <c r="A613" s="1" t="s">
        <v>3533</v>
      </c>
      <c r="B613" s="1" t="s">
        <v>39</v>
      </c>
      <c r="C613" s="1" t="s">
        <v>40</v>
      </c>
      <c r="D613" s="1" t="s">
        <v>24</v>
      </c>
      <c r="E613" s="1" t="s">
        <v>25</v>
      </c>
      <c r="F613" s="1" t="s">
        <v>117</v>
      </c>
      <c r="G613" s="1" t="s">
        <v>3534</v>
      </c>
      <c r="H613" s="1" t="s">
        <v>275</v>
      </c>
      <c r="I613" s="1" t="s">
        <v>3535</v>
      </c>
      <c r="J613" s="1" t="s">
        <v>3536</v>
      </c>
      <c r="K613" s="1" t="s">
        <v>140</v>
      </c>
      <c r="L613" s="1" t="s">
        <v>1653</v>
      </c>
      <c r="M613" s="1" t="s">
        <v>49</v>
      </c>
      <c r="N613" s="1" t="s">
        <v>3537</v>
      </c>
      <c r="O613" s="1" t="s">
        <v>35</v>
      </c>
      <c r="P613" s="1" t="s">
        <v>3535</v>
      </c>
      <c r="Q613" s="1" t="s">
        <v>257</v>
      </c>
      <c r="R613" s="1" t="s">
        <v>37</v>
      </c>
      <c r="S613" s="1" t="s">
        <v>37</v>
      </c>
      <c r="T613" s="1" t="s">
        <v>37</v>
      </c>
      <c r="U613" s="1" t="s">
        <v>37</v>
      </c>
    </row>
    <row r="614" spans="1:21">
      <c r="A614" s="1" t="s">
        <v>3538</v>
      </c>
      <c r="B614" s="1" t="s">
        <v>115</v>
      </c>
      <c r="C614" s="1" t="s">
        <v>116</v>
      </c>
      <c r="D614" s="1" t="s">
        <v>24</v>
      </c>
      <c r="E614" s="1" t="s">
        <v>992</v>
      </c>
      <c r="F614" s="1" t="s">
        <v>127</v>
      </c>
      <c r="G614" s="1" t="s">
        <v>3539</v>
      </c>
      <c r="H614" s="1" t="s">
        <v>119</v>
      </c>
      <c r="I614" s="1" t="s">
        <v>3540</v>
      </c>
      <c r="J614" s="1" t="s">
        <v>3541</v>
      </c>
      <c r="K614" s="1" t="s">
        <v>541</v>
      </c>
      <c r="L614" s="1" t="s">
        <v>3542</v>
      </c>
      <c r="M614" s="1" t="s">
        <v>49</v>
      </c>
      <c r="N614" s="1" t="s">
        <v>3543</v>
      </c>
      <c r="O614" s="1" t="s">
        <v>35</v>
      </c>
      <c r="P614" s="1" t="s">
        <v>3540</v>
      </c>
      <c r="Q614" s="1" t="s">
        <v>113</v>
      </c>
      <c r="R614" s="1" t="s">
        <v>37</v>
      </c>
      <c r="S614" s="1" t="s">
        <v>37</v>
      </c>
      <c r="T614" s="1" t="s">
        <v>37</v>
      </c>
      <c r="U614" s="1" t="s">
        <v>37</v>
      </c>
    </row>
    <row r="615" spans="1:21">
      <c r="A615" s="1" t="s">
        <v>3544</v>
      </c>
      <c r="B615" s="1" t="s">
        <v>39</v>
      </c>
      <c r="C615" s="1" t="s">
        <v>40</v>
      </c>
      <c r="D615" s="1" t="s">
        <v>24</v>
      </c>
      <c r="E615" s="1" t="s">
        <v>992</v>
      </c>
      <c r="F615" s="1" t="s">
        <v>72</v>
      </c>
      <c r="G615" s="1" t="s">
        <v>3545</v>
      </c>
      <c r="H615" s="1" t="s">
        <v>253</v>
      </c>
      <c r="I615" s="1" t="s">
        <v>3546</v>
      </c>
      <c r="J615" s="1" t="s">
        <v>3547</v>
      </c>
      <c r="K615" s="1" t="s">
        <v>823</v>
      </c>
      <c r="L615" s="1" t="s">
        <v>3548</v>
      </c>
      <c r="M615" s="1" t="s">
        <v>59</v>
      </c>
      <c r="N615" s="1" t="s">
        <v>3545</v>
      </c>
      <c r="O615" s="1" t="s">
        <v>35</v>
      </c>
      <c r="P615" s="1" t="s">
        <v>3546</v>
      </c>
      <c r="Q615" s="1" t="s">
        <v>275</v>
      </c>
      <c r="R615" s="1" t="s">
        <v>37</v>
      </c>
      <c r="S615" s="1" t="s">
        <v>37</v>
      </c>
      <c r="T615" s="1" t="s">
        <v>37</v>
      </c>
      <c r="U615" s="1" t="s">
        <v>37</v>
      </c>
    </row>
    <row r="616" spans="1:21">
      <c r="A616" s="1" t="s">
        <v>3549</v>
      </c>
      <c r="B616" s="1" t="s">
        <v>22</v>
      </c>
      <c r="C616" s="1" t="s">
        <v>23</v>
      </c>
      <c r="D616" s="1" t="s">
        <v>24</v>
      </c>
      <c r="E616" s="1" t="s">
        <v>992</v>
      </c>
      <c r="F616" s="1" t="s">
        <v>117</v>
      </c>
      <c r="G616" s="1" t="s">
        <v>3550</v>
      </c>
      <c r="H616" s="1" t="s">
        <v>99</v>
      </c>
      <c r="I616" s="1" t="s">
        <v>3551</v>
      </c>
      <c r="J616" s="1" t="s">
        <v>3552</v>
      </c>
      <c r="K616" s="1" t="s">
        <v>419</v>
      </c>
      <c r="L616" s="1" t="s">
        <v>1589</v>
      </c>
      <c r="M616" s="1" t="s">
        <v>33</v>
      </c>
      <c r="N616" s="1" t="s">
        <v>3553</v>
      </c>
      <c r="O616" s="1" t="s">
        <v>35</v>
      </c>
      <c r="P616" s="1" t="s">
        <v>3551</v>
      </c>
      <c r="Q616" s="1" t="s">
        <v>791</v>
      </c>
      <c r="R616" s="1" t="s">
        <v>37</v>
      </c>
      <c r="S616" s="1" t="s">
        <v>37</v>
      </c>
      <c r="T616" s="1" t="s">
        <v>37</v>
      </c>
      <c r="U616" s="1" t="s">
        <v>37</v>
      </c>
    </row>
    <row r="617" spans="1:21">
      <c r="A617" s="1" t="s">
        <v>3554</v>
      </c>
      <c r="B617" s="1" t="s">
        <v>22</v>
      </c>
      <c r="C617" s="1" t="s">
        <v>23</v>
      </c>
      <c r="D617" s="1" t="s">
        <v>24</v>
      </c>
      <c r="E617" s="1" t="s">
        <v>25</v>
      </c>
      <c r="F617" s="1" t="s">
        <v>72</v>
      </c>
      <c r="G617" s="1" t="s">
        <v>3555</v>
      </c>
      <c r="H617" s="1" t="s">
        <v>275</v>
      </c>
      <c r="I617" s="1" t="s">
        <v>3556</v>
      </c>
      <c r="J617" s="1" t="s">
        <v>3557</v>
      </c>
      <c r="K617" s="1" t="s">
        <v>1408</v>
      </c>
      <c r="L617" s="1" t="s">
        <v>3558</v>
      </c>
      <c r="M617" s="1" t="s">
        <v>33</v>
      </c>
      <c r="N617" s="1" t="s">
        <v>3559</v>
      </c>
      <c r="O617" s="1" t="s">
        <v>35</v>
      </c>
      <c r="P617" s="1" t="s">
        <v>3556</v>
      </c>
      <c r="Q617" s="1" t="s">
        <v>791</v>
      </c>
      <c r="R617" s="1" t="s">
        <v>37</v>
      </c>
      <c r="S617" s="1" t="s">
        <v>37</v>
      </c>
      <c r="T617" s="1" t="s">
        <v>37</v>
      </c>
      <c r="U617" s="1" t="s">
        <v>37</v>
      </c>
    </row>
    <row r="618" spans="1:21">
      <c r="A618" s="1" t="s">
        <v>3560</v>
      </c>
      <c r="B618" s="1" t="s">
        <v>115</v>
      </c>
      <c r="C618" s="1" t="s">
        <v>116</v>
      </c>
      <c r="D618" s="1" t="s">
        <v>24</v>
      </c>
      <c r="E618" s="1" t="s">
        <v>992</v>
      </c>
      <c r="F618" s="1" t="s">
        <v>72</v>
      </c>
      <c r="G618" s="1" t="s">
        <v>3561</v>
      </c>
      <c r="H618" s="1" t="s">
        <v>90</v>
      </c>
      <c r="I618" s="1" t="s">
        <v>3562</v>
      </c>
      <c r="J618" s="1" t="s">
        <v>3563</v>
      </c>
      <c r="K618" s="1" t="s">
        <v>588</v>
      </c>
      <c r="L618" s="1" t="s">
        <v>3564</v>
      </c>
      <c r="M618" s="1" t="s">
        <v>49</v>
      </c>
      <c r="N618" s="1" t="s">
        <v>3565</v>
      </c>
      <c r="O618" s="1" t="s">
        <v>35</v>
      </c>
      <c r="P618" s="1" t="s">
        <v>3562</v>
      </c>
      <c r="Q618" s="1" t="s">
        <v>190</v>
      </c>
      <c r="R618" s="1" t="s">
        <v>37</v>
      </c>
      <c r="S618" s="1" t="s">
        <v>37</v>
      </c>
      <c r="T618" s="1" t="s">
        <v>37</v>
      </c>
      <c r="U618" s="1" t="s">
        <v>37</v>
      </c>
    </row>
    <row r="619" spans="1:21">
      <c r="A619" s="1" t="s">
        <v>3566</v>
      </c>
      <c r="B619" s="1" t="s">
        <v>39</v>
      </c>
      <c r="C619" s="1" t="s">
        <v>40</v>
      </c>
      <c r="D619" s="1" t="s">
        <v>24</v>
      </c>
      <c r="E619" s="1" t="s">
        <v>992</v>
      </c>
      <c r="F619" s="1" t="s">
        <v>42</v>
      </c>
      <c r="G619" s="1" t="s">
        <v>3567</v>
      </c>
      <c r="H619" s="1" t="s">
        <v>44</v>
      </c>
      <c r="I619" s="1" t="s">
        <v>3568</v>
      </c>
      <c r="J619" s="1" t="s">
        <v>3569</v>
      </c>
      <c r="K619" s="1" t="s">
        <v>1718</v>
      </c>
      <c r="L619" s="1" t="s">
        <v>3570</v>
      </c>
      <c r="M619" s="1" t="s">
        <v>33</v>
      </c>
      <c r="N619" s="1" t="s">
        <v>3571</v>
      </c>
      <c r="O619" s="1" t="s">
        <v>35</v>
      </c>
      <c r="P619" s="1" t="s">
        <v>3568</v>
      </c>
      <c r="Q619" s="1" t="s">
        <v>205</v>
      </c>
      <c r="R619" s="1" t="s">
        <v>37</v>
      </c>
      <c r="S619" s="1" t="s">
        <v>37</v>
      </c>
      <c r="T619" s="1" t="s">
        <v>37</v>
      </c>
      <c r="U619" s="1" t="s">
        <v>37</v>
      </c>
    </row>
    <row r="620" spans="1:21">
      <c r="A620" s="1" t="s">
        <v>3572</v>
      </c>
      <c r="B620" s="1" t="s">
        <v>22</v>
      </c>
      <c r="C620" s="1" t="s">
        <v>23</v>
      </c>
      <c r="D620" s="1" t="s">
        <v>24</v>
      </c>
      <c r="E620" s="1" t="s">
        <v>992</v>
      </c>
      <c r="F620" s="1" t="s">
        <v>117</v>
      </c>
      <c r="G620" s="1" t="s">
        <v>3573</v>
      </c>
      <c r="H620" s="1" t="s">
        <v>90</v>
      </c>
      <c r="I620" s="1" t="s">
        <v>3574</v>
      </c>
      <c r="J620" s="1" t="s">
        <v>3575</v>
      </c>
      <c r="K620" s="1" t="s">
        <v>629</v>
      </c>
      <c r="L620" s="1" t="s">
        <v>1647</v>
      </c>
      <c r="M620" s="1" t="s">
        <v>59</v>
      </c>
      <c r="N620" s="1" t="s">
        <v>3576</v>
      </c>
      <c r="O620" s="1" t="s">
        <v>35</v>
      </c>
      <c r="P620" s="1" t="s">
        <v>3574</v>
      </c>
      <c r="Q620" s="1" t="s">
        <v>129</v>
      </c>
      <c r="R620" s="1" t="s">
        <v>37</v>
      </c>
      <c r="S620" s="1" t="s">
        <v>37</v>
      </c>
      <c r="T620" s="1" t="s">
        <v>37</v>
      </c>
      <c r="U620" s="1" t="s">
        <v>37</v>
      </c>
    </row>
    <row r="621" spans="1:21">
      <c r="A621" s="1" t="s">
        <v>3577</v>
      </c>
      <c r="B621" s="1" t="s">
        <v>39</v>
      </c>
      <c r="C621" s="1" t="s">
        <v>40</v>
      </c>
      <c r="D621" s="1" t="s">
        <v>24</v>
      </c>
      <c r="E621" s="1" t="s">
        <v>25</v>
      </c>
      <c r="F621" s="1" t="s">
        <v>127</v>
      </c>
      <c r="G621" s="1" t="s">
        <v>3578</v>
      </c>
      <c r="H621" s="1" t="s">
        <v>90</v>
      </c>
      <c r="I621" s="1" t="s">
        <v>3579</v>
      </c>
      <c r="J621" s="1" t="s">
        <v>3580</v>
      </c>
      <c r="K621" s="1" t="s">
        <v>156</v>
      </c>
      <c r="L621" s="1" t="s">
        <v>674</v>
      </c>
      <c r="M621" s="1" t="s">
        <v>33</v>
      </c>
      <c r="N621" s="1" t="s">
        <v>3581</v>
      </c>
      <c r="O621" s="1" t="s">
        <v>35</v>
      </c>
      <c r="P621" s="1" t="s">
        <v>3579</v>
      </c>
      <c r="Q621" s="1" t="s">
        <v>250</v>
      </c>
      <c r="R621" s="1" t="s">
        <v>37</v>
      </c>
      <c r="S621" s="1" t="s">
        <v>37</v>
      </c>
      <c r="T621" s="1" t="s">
        <v>37</v>
      </c>
      <c r="U621" s="1" t="s">
        <v>37</v>
      </c>
    </row>
    <row r="622" spans="1:21">
      <c r="A622" s="1" t="s">
        <v>3582</v>
      </c>
      <c r="B622" s="1" t="s">
        <v>22</v>
      </c>
      <c r="C622" s="1" t="s">
        <v>23</v>
      </c>
      <c r="D622" s="1" t="s">
        <v>41</v>
      </c>
      <c r="E622" s="1" t="s">
        <v>25</v>
      </c>
      <c r="F622" s="1" t="s">
        <v>117</v>
      </c>
      <c r="G622" s="1" t="s">
        <v>3583</v>
      </c>
      <c r="H622" s="1" t="s">
        <v>119</v>
      </c>
      <c r="I622" s="1" t="s">
        <v>3584</v>
      </c>
      <c r="J622" s="1" t="s">
        <v>3585</v>
      </c>
      <c r="K622" s="1" t="s">
        <v>757</v>
      </c>
      <c r="L622" s="1" t="s">
        <v>203</v>
      </c>
      <c r="M622" s="1" t="s">
        <v>59</v>
      </c>
      <c r="N622" s="1" t="s">
        <v>3586</v>
      </c>
      <c r="O622" s="1" t="s">
        <v>35</v>
      </c>
      <c r="P622" s="1" t="s">
        <v>3584</v>
      </c>
      <c r="Q622" s="1" t="s">
        <v>798</v>
      </c>
      <c r="R622" s="1" t="s">
        <v>37</v>
      </c>
      <c r="S622" s="1" t="s">
        <v>37</v>
      </c>
      <c r="T622" s="1" t="s">
        <v>37</v>
      </c>
      <c r="U622" s="1" t="s">
        <v>37</v>
      </c>
    </row>
    <row r="623" spans="1:21">
      <c r="A623" s="1" t="s">
        <v>3587</v>
      </c>
      <c r="B623" s="1" t="s">
        <v>22</v>
      </c>
      <c r="C623" s="1" t="s">
        <v>23</v>
      </c>
      <c r="D623" s="1" t="s">
        <v>24</v>
      </c>
      <c r="E623" s="1" t="s">
        <v>25</v>
      </c>
      <c r="F623" s="1" t="s">
        <v>117</v>
      </c>
      <c r="G623" s="1" t="s">
        <v>3588</v>
      </c>
      <c r="H623" s="1" t="s">
        <v>253</v>
      </c>
      <c r="I623" s="1" t="s">
        <v>3589</v>
      </c>
      <c r="J623" s="1" t="s">
        <v>3590</v>
      </c>
      <c r="K623" s="1" t="s">
        <v>1408</v>
      </c>
      <c r="L623" s="1" t="s">
        <v>1117</v>
      </c>
      <c r="M623" s="1" t="s">
        <v>49</v>
      </c>
      <c r="N623" s="1" t="s">
        <v>3588</v>
      </c>
      <c r="O623" s="1" t="s">
        <v>35</v>
      </c>
      <c r="P623" s="1" t="s">
        <v>3589</v>
      </c>
      <c r="Q623" s="1" t="s">
        <v>971</v>
      </c>
      <c r="R623" s="1" t="s">
        <v>37</v>
      </c>
      <c r="S623" s="1" t="s">
        <v>37</v>
      </c>
      <c r="T623" s="1" t="s">
        <v>37</v>
      </c>
      <c r="U623" s="1" t="s">
        <v>37</v>
      </c>
    </row>
    <row r="624" spans="1:21">
      <c r="A624" s="1" t="s">
        <v>3591</v>
      </c>
      <c r="B624" s="1" t="s">
        <v>115</v>
      </c>
      <c r="C624" s="1" t="s">
        <v>116</v>
      </c>
      <c r="D624" s="1" t="s">
        <v>24</v>
      </c>
      <c r="E624" s="1" t="s">
        <v>25</v>
      </c>
      <c r="F624" s="1" t="s">
        <v>53</v>
      </c>
      <c r="G624" s="1" t="s">
        <v>3592</v>
      </c>
      <c r="H624" s="1" t="s">
        <v>28</v>
      </c>
      <c r="I624" s="1" t="s">
        <v>3593</v>
      </c>
      <c r="J624" s="1" t="s">
        <v>3594</v>
      </c>
      <c r="K624" s="1" t="s">
        <v>349</v>
      </c>
      <c r="L624" s="1" t="s">
        <v>3595</v>
      </c>
      <c r="M624" s="1" t="s">
        <v>59</v>
      </c>
      <c r="N624" s="1" t="s">
        <v>3596</v>
      </c>
      <c r="O624" s="1" t="s">
        <v>35</v>
      </c>
      <c r="P624" s="1" t="s">
        <v>3593</v>
      </c>
      <c r="Q624" s="1" t="s">
        <v>752</v>
      </c>
      <c r="R624" s="1" t="s">
        <v>37</v>
      </c>
      <c r="S624" s="1" t="s">
        <v>37</v>
      </c>
      <c r="T624" s="1" t="s">
        <v>37</v>
      </c>
      <c r="U624" s="1" t="s">
        <v>37</v>
      </c>
    </row>
    <row r="625" spans="1:21">
      <c r="A625" s="1" t="s">
        <v>3597</v>
      </c>
      <c r="B625" s="1" t="s">
        <v>115</v>
      </c>
      <c r="C625" s="1" t="s">
        <v>116</v>
      </c>
      <c r="D625" s="1" t="s">
        <v>41</v>
      </c>
      <c r="E625" s="1" t="s">
        <v>25</v>
      </c>
      <c r="F625" s="1" t="s">
        <v>127</v>
      </c>
      <c r="G625" s="1" t="s">
        <v>3598</v>
      </c>
      <c r="H625" s="1" t="s">
        <v>99</v>
      </c>
      <c r="I625" s="1" t="s">
        <v>3599</v>
      </c>
      <c r="J625" s="1" t="s">
        <v>3600</v>
      </c>
      <c r="K625" s="1" t="s">
        <v>599</v>
      </c>
      <c r="L625" s="1" t="s">
        <v>1589</v>
      </c>
      <c r="M625" s="1" t="s">
        <v>59</v>
      </c>
      <c r="N625" s="1" t="s">
        <v>3601</v>
      </c>
      <c r="O625" s="1" t="s">
        <v>35</v>
      </c>
      <c r="P625" s="1" t="s">
        <v>3599</v>
      </c>
      <c r="Q625" s="1" t="s">
        <v>205</v>
      </c>
      <c r="R625" s="1" t="s">
        <v>37</v>
      </c>
      <c r="S625" s="1" t="s">
        <v>37</v>
      </c>
      <c r="T625" s="1" t="s">
        <v>37</v>
      </c>
      <c r="U625" s="1" t="s">
        <v>37</v>
      </c>
    </row>
    <row r="626" spans="1:21">
      <c r="A626" s="1" t="s">
        <v>3602</v>
      </c>
      <c r="B626" s="1" t="s">
        <v>115</v>
      </c>
      <c r="C626" s="1" t="s">
        <v>116</v>
      </c>
      <c r="D626" s="1" t="s">
        <v>24</v>
      </c>
      <c r="E626" s="1" t="s">
        <v>992</v>
      </c>
      <c r="F626" s="1" t="s">
        <v>127</v>
      </c>
      <c r="G626" s="1" t="s">
        <v>3603</v>
      </c>
      <c r="H626" s="1" t="s">
        <v>253</v>
      </c>
      <c r="I626" s="1" t="s">
        <v>3604</v>
      </c>
      <c r="J626" s="1" t="s">
        <v>3605</v>
      </c>
      <c r="K626" s="1" t="s">
        <v>976</v>
      </c>
      <c r="L626" s="1" t="s">
        <v>2667</v>
      </c>
      <c r="M626" s="1" t="s">
        <v>49</v>
      </c>
      <c r="N626" s="1" t="s">
        <v>3603</v>
      </c>
      <c r="O626" s="1" t="s">
        <v>35</v>
      </c>
      <c r="P626" s="1" t="s">
        <v>3604</v>
      </c>
      <c r="Q626" s="1" t="s">
        <v>143</v>
      </c>
      <c r="R626" s="1" t="s">
        <v>37</v>
      </c>
      <c r="S626" s="1" t="s">
        <v>37</v>
      </c>
      <c r="T626" s="1" t="s">
        <v>37</v>
      </c>
      <c r="U626" s="1" t="s">
        <v>37</v>
      </c>
    </row>
    <row r="627" spans="1:21">
      <c r="A627" s="1" t="s">
        <v>3606</v>
      </c>
      <c r="B627" s="1" t="s">
        <v>115</v>
      </c>
      <c r="C627" s="1" t="s">
        <v>116</v>
      </c>
      <c r="D627" s="1" t="s">
        <v>24</v>
      </c>
      <c r="E627" s="1" t="s">
        <v>25</v>
      </c>
      <c r="F627" s="1" t="s">
        <v>117</v>
      </c>
      <c r="G627" s="1" t="s">
        <v>3607</v>
      </c>
      <c r="H627" s="1" t="s">
        <v>107</v>
      </c>
      <c r="I627" s="1" t="s">
        <v>3608</v>
      </c>
      <c r="J627" s="1" t="s">
        <v>3609</v>
      </c>
      <c r="K627" s="1" t="s">
        <v>623</v>
      </c>
      <c r="L627" s="1" t="s">
        <v>3610</v>
      </c>
      <c r="M627" s="1" t="s">
        <v>49</v>
      </c>
      <c r="N627" s="1" t="s">
        <v>3611</v>
      </c>
      <c r="O627" s="1" t="s">
        <v>35</v>
      </c>
      <c r="P627" s="1" t="s">
        <v>3608</v>
      </c>
      <c r="Q627" s="1" t="s">
        <v>36</v>
      </c>
      <c r="R627" s="1" t="s">
        <v>37</v>
      </c>
      <c r="S627" s="1" t="s">
        <v>37</v>
      </c>
      <c r="T627" s="1" t="s">
        <v>37</v>
      </c>
      <c r="U627" s="1" t="s">
        <v>37</v>
      </c>
    </row>
    <row r="628" spans="1:21">
      <c r="A628" s="1" t="s">
        <v>3612</v>
      </c>
      <c r="B628" s="1" t="s">
        <v>22</v>
      </c>
      <c r="C628" s="1" t="s">
        <v>23</v>
      </c>
      <c r="D628" s="1" t="s">
        <v>41</v>
      </c>
      <c r="E628" s="1" t="s">
        <v>992</v>
      </c>
      <c r="F628" s="1" t="s">
        <v>72</v>
      </c>
      <c r="G628" s="1" t="s">
        <v>3613</v>
      </c>
      <c r="H628" s="1" t="s">
        <v>107</v>
      </c>
      <c r="I628" s="1" t="s">
        <v>3614</v>
      </c>
      <c r="J628" s="1" t="s">
        <v>3615</v>
      </c>
      <c r="K628" s="1" t="s">
        <v>140</v>
      </c>
      <c r="L628" s="1" t="s">
        <v>3378</v>
      </c>
      <c r="M628" s="1" t="s">
        <v>33</v>
      </c>
      <c r="N628" s="1" t="s">
        <v>3616</v>
      </c>
      <c r="O628" s="1" t="s">
        <v>35</v>
      </c>
      <c r="P628" s="1" t="s">
        <v>3614</v>
      </c>
      <c r="Q628" s="1" t="s">
        <v>576</v>
      </c>
      <c r="R628" s="1" t="s">
        <v>37</v>
      </c>
      <c r="S628" s="1" t="s">
        <v>37</v>
      </c>
      <c r="T628" s="1" t="s">
        <v>37</v>
      </c>
      <c r="U628" s="1" t="s">
        <v>37</v>
      </c>
    </row>
    <row r="629" spans="1:21">
      <c r="A629" s="1" t="s">
        <v>3617</v>
      </c>
      <c r="B629" s="1" t="s">
        <v>115</v>
      </c>
      <c r="C629" s="1" t="s">
        <v>116</v>
      </c>
      <c r="D629" s="1" t="s">
        <v>24</v>
      </c>
      <c r="E629" s="1" t="s">
        <v>992</v>
      </c>
      <c r="F629" s="1" t="s">
        <v>26</v>
      </c>
      <c r="G629" s="1" t="s">
        <v>3618</v>
      </c>
      <c r="H629" s="1" t="s">
        <v>99</v>
      </c>
      <c r="I629" s="1" t="s">
        <v>3619</v>
      </c>
      <c r="J629" s="1" t="s">
        <v>3620</v>
      </c>
      <c r="K629" s="1" t="s">
        <v>1718</v>
      </c>
      <c r="L629" s="1" t="s">
        <v>3621</v>
      </c>
      <c r="M629" s="1" t="s">
        <v>49</v>
      </c>
      <c r="N629" s="1" t="s">
        <v>3622</v>
      </c>
      <c r="O629" s="1" t="s">
        <v>35</v>
      </c>
      <c r="P629" s="1" t="s">
        <v>3619</v>
      </c>
      <c r="Q629" s="1" t="s">
        <v>44</v>
      </c>
      <c r="R629" s="1" t="s">
        <v>37</v>
      </c>
      <c r="S629" s="1" t="s">
        <v>37</v>
      </c>
      <c r="T629" s="1" t="s">
        <v>37</v>
      </c>
      <c r="U629" s="1" t="s">
        <v>37</v>
      </c>
    </row>
    <row r="630" spans="1:21">
      <c r="A630" s="1" t="s">
        <v>3623</v>
      </c>
      <c r="B630" s="1" t="s">
        <v>22</v>
      </c>
      <c r="C630" s="1" t="s">
        <v>23</v>
      </c>
      <c r="D630" s="1" t="s">
        <v>24</v>
      </c>
      <c r="E630" s="1" t="s">
        <v>992</v>
      </c>
      <c r="F630" s="1" t="s">
        <v>53</v>
      </c>
      <c r="G630" s="1" t="s">
        <v>3624</v>
      </c>
      <c r="H630" s="1" t="s">
        <v>119</v>
      </c>
      <c r="I630" s="1" t="s">
        <v>3625</v>
      </c>
      <c r="J630" s="1" t="s">
        <v>3626</v>
      </c>
      <c r="K630" s="1" t="s">
        <v>270</v>
      </c>
      <c r="L630" s="1" t="s">
        <v>3627</v>
      </c>
      <c r="M630" s="1" t="s">
        <v>33</v>
      </c>
      <c r="N630" s="1" t="s">
        <v>3628</v>
      </c>
      <c r="O630" s="1" t="s">
        <v>35</v>
      </c>
      <c r="P630" s="1" t="s">
        <v>3625</v>
      </c>
      <c r="Q630" s="1" t="s">
        <v>311</v>
      </c>
      <c r="R630" s="1" t="s">
        <v>37</v>
      </c>
      <c r="S630" s="1" t="s">
        <v>37</v>
      </c>
      <c r="T630" s="1" t="s">
        <v>37</v>
      </c>
      <c r="U630" s="1" t="s">
        <v>37</v>
      </c>
    </row>
    <row r="631" spans="1:21">
      <c r="A631" s="1" t="s">
        <v>3629</v>
      </c>
      <c r="B631" s="1" t="s">
        <v>22</v>
      </c>
      <c r="C631" s="1" t="s">
        <v>23</v>
      </c>
      <c r="D631" s="1" t="s">
        <v>41</v>
      </c>
      <c r="E631" s="1" t="s">
        <v>25</v>
      </c>
      <c r="F631" s="1" t="s">
        <v>127</v>
      </c>
      <c r="G631" s="1" t="s">
        <v>3630</v>
      </c>
      <c r="H631" s="1" t="s">
        <v>253</v>
      </c>
      <c r="I631" s="1" t="s">
        <v>3631</v>
      </c>
      <c r="J631" s="1" t="s">
        <v>3632</v>
      </c>
      <c r="K631" s="1" t="s">
        <v>623</v>
      </c>
      <c r="L631" s="1" t="s">
        <v>764</v>
      </c>
      <c r="M631" s="1" t="s">
        <v>59</v>
      </c>
      <c r="N631" s="1" t="s">
        <v>3630</v>
      </c>
      <c r="O631" s="1" t="s">
        <v>35</v>
      </c>
      <c r="P631" s="1" t="s">
        <v>3631</v>
      </c>
      <c r="Q631" s="1" t="s">
        <v>159</v>
      </c>
      <c r="R631" s="1" t="s">
        <v>37</v>
      </c>
      <c r="S631" s="1" t="s">
        <v>37</v>
      </c>
      <c r="T631" s="1" t="s">
        <v>37</v>
      </c>
      <c r="U631" s="1" t="s">
        <v>37</v>
      </c>
    </row>
    <row r="632" spans="1:21">
      <c r="A632" s="1" t="s">
        <v>3633</v>
      </c>
      <c r="B632" s="1" t="s">
        <v>22</v>
      </c>
      <c r="C632" s="1" t="s">
        <v>23</v>
      </c>
      <c r="D632" s="1" t="s">
        <v>41</v>
      </c>
      <c r="E632" s="1" t="s">
        <v>992</v>
      </c>
      <c r="F632" s="1" t="s">
        <v>72</v>
      </c>
      <c r="G632" s="1" t="s">
        <v>3634</v>
      </c>
      <c r="H632" s="1" t="s">
        <v>99</v>
      </c>
      <c r="I632" s="1" t="s">
        <v>3635</v>
      </c>
      <c r="J632" s="1" t="s">
        <v>3636</v>
      </c>
      <c r="K632" s="1" t="s">
        <v>823</v>
      </c>
      <c r="L632" s="1" t="s">
        <v>3637</v>
      </c>
      <c r="M632" s="1" t="s">
        <v>59</v>
      </c>
      <c r="N632" s="1" t="s">
        <v>3638</v>
      </c>
      <c r="O632" s="1" t="s">
        <v>35</v>
      </c>
      <c r="P632" s="1" t="s">
        <v>3635</v>
      </c>
      <c r="Q632" s="1" t="s">
        <v>257</v>
      </c>
      <c r="R632" s="1" t="s">
        <v>37</v>
      </c>
      <c r="S632" s="1" t="s">
        <v>37</v>
      </c>
      <c r="T632" s="1" t="s">
        <v>37</v>
      </c>
      <c r="U632" s="1" t="s">
        <v>37</v>
      </c>
    </row>
    <row r="633" spans="1:21">
      <c r="A633" s="1" t="s">
        <v>3639</v>
      </c>
      <c r="B633" s="1" t="s">
        <v>22</v>
      </c>
      <c r="C633" s="1" t="s">
        <v>23</v>
      </c>
      <c r="D633" s="1" t="s">
        <v>41</v>
      </c>
      <c r="E633" s="1" t="s">
        <v>992</v>
      </c>
      <c r="F633" s="1" t="s">
        <v>42</v>
      </c>
      <c r="G633" s="1" t="s">
        <v>602</v>
      </c>
      <c r="H633" s="1" t="s">
        <v>119</v>
      </c>
      <c r="I633" s="1" t="s">
        <v>3640</v>
      </c>
      <c r="J633" s="1" t="s">
        <v>3641</v>
      </c>
      <c r="K633" s="1" t="s">
        <v>217</v>
      </c>
      <c r="L633" s="1" t="s">
        <v>3415</v>
      </c>
      <c r="M633" s="1" t="s">
        <v>33</v>
      </c>
      <c r="N633" s="1" t="s">
        <v>3642</v>
      </c>
      <c r="O633" s="1" t="s">
        <v>35</v>
      </c>
      <c r="P633" s="1" t="s">
        <v>3640</v>
      </c>
      <c r="Q633" s="1" t="s">
        <v>476</v>
      </c>
      <c r="R633" s="1" t="s">
        <v>37</v>
      </c>
      <c r="S633" s="1" t="s">
        <v>37</v>
      </c>
      <c r="T633" s="1" t="s">
        <v>37</v>
      </c>
      <c r="U633" s="1" t="s">
        <v>37</v>
      </c>
    </row>
    <row r="634" spans="1:21">
      <c r="A634" s="1" t="s">
        <v>3643</v>
      </c>
      <c r="B634" s="1" t="s">
        <v>22</v>
      </c>
      <c r="C634" s="1" t="s">
        <v>23</v>
      </c>
      <c r="D634" s="1" t="s">
        <v>24</v>
      </c>
      <c r="E634" s="1" t="s">
        <v>992</v>
      </c>
      <c r="F634" s="1" t="s">
        <v>117</v>
      </c>
      <c r="G634" s="1" t="s">
        <v>2803</v>
      </c>
      <c r="H634" s="1" t="s">
        <v>107</v>
      </c>
      <c r="I634" s="1" t="s">
        <v>3644</v>
      </c>
      <c r="J634" s="1" t="s">
        <v>3645</v>
      </c>
      <c r="K634" s="1" t="s">
        <v>172</v>
      </c>
      <c r="L634" s="1" t="s">
        <v>1525</v>
      </c>
      <c r="M634" s="1" t="s">
        <v>59</v>
      </c>
      <c r="N634" s="1" t="s">
        <v>3646</v>
      </c>
      <c r="O634" s="1" t="s">
        <v>35</v>
      </c>
      <c r="P634" s="1" t="s">
        <v>3644</v>
      </c>
      <c r="Q634" s="1" t="s">
        <v>28</v>
      </c>
      <c r="R634" s="1" t="s">
        <v>37</v>
      </c>
      <c r="S634" s="1" t="s">
        <v>37</v>
      </c>
      <c r="T634" s="1" t="s">
        <v>37</v>
      </c>
      <c r="U634" s="1" t="s">
        <v>37</v>
      </c>
    </row>
    <row r="635" spans="1:21">
      <c r="A635" s="1" t="s">
        <v>3647</v>
      </c>
      <c r="B635" s="1" t="s">
        <v>115</v>
      </c>
      <c r="C635" s="1" t="s">
        <v>116</v>
      </c>
      <c r="D635" s="1" t="s">
        <v>41</v>
      </c>
      <c r="E635" s="1" t="s">
        <v>992</v>
      </c>
      <c r="F635" s="1" t="s">
        <v>53</v>
      </c>
      <c r="G635" s="1" t="s">
        <v>3648</v>
      </c>
      <c r="H635" s="1" t="s">
        <v>119</v>
      </c>
      <c r="I635" s="1" t="s">
        <v>3649</v>
      </c>
      <c r="J635" s="1" t="s">
        <v>3650</v>
      </c>
      <c r="K635" s="1" t="s">
        <v>1379</v>
      </c>
      <c r="L635" s="1" t="s">
        <v>3651</v>
      </c>
      <c r="M635" s="1" t="s">
        <v>33</v>
      </c>
      <c r="N635" s="1" t="s">
        <v>3652</v>
      </c>
      <c r="O635" s="1" t="s">
        <v>35</v>
      </c>
      <c r="P635" s="1" t="s">
        <v>3649</v>
      </c>
      <c r="Q635" s="1" t="s">
        <v>330</v>
      </c>
      <c r="R635" s="1" t="s">
        <v>37</v>
      </c>
      <c r="S635" s="1" t="s">
        <v>37</v>
      </c>
      <c r="T635" s="1" t="s">
        <v>37</v>
      </c>
      <c r="U635" s="1" t="s">
        <v>37</v>
      </c>
    </row>
    <row r="636" spans="1:21">
      <c r="A636" s="1" t="s">
        <v>3653</v>
      </c>
      <c r="B636" s="1" t="s">
        <v>115</v>
      </c>
      <c r="C636" s="1" t="s">
        <v>116</v>
      </c>
      <c r="D636" s="1" t="s">
        <v>24</v>
      </c>
      <c r="E636" s="1" t="s">
        <v>992</v>
      </c>
      <c r="F636" s="1" t="s">
        <v>117</v>
      </c>
      <c r="G636" s="1" t="s">
        <v>3654</v>
      </c>
      <c r="H636" s="1" t="s">
        <v>119</v>
      </c>
      <c r="I636" s="1" t="s">
        <v>3655</v>
      </c>
      <c r="J636" s="1" t="s">
        <v>3656</v>
      </c>
      <c r="K636" s="1" t="s">
        <v>1408</v>
      </c>
      <c r="L636" s="1" t="s">
        <v>1513</v>
      </c>
      <c r="M636" s="1" t="s">
        <v>59</v>
      </c>
      <c r="N636" s="1" t="s">
        <v>3657</v>
      </c>
      <c r="O636" s="1" t="s">
        <v>35</v>
      </c>
      <c r="P636" s="1" t="s">
        <v>3655</v>
      </c>
      <c r="Q636" s="1" t="s">
        <v>44</v>
      </c>
      <c r="R636" s="1" t="s">
        <v>37</v>
      </c>
      <c r="S636" s="1" t="s">
        <v>37</v>
      </c>
      <c r="T636" s="1" t="s">
        <v>37</v>
      </c>
      <c r="U636" s="1" t="s">
        <v>37</v>
      </c>
    </row>
    <row r="637" spans="1:21">
      <c r="A637" s="1" t="s">
        <v>3658</v>
      </c>
      <c r="B637" s="1" t="s">
        <v>115</v>
      </c>
      <c r="C637" s="1" t="s">
        <v>116</v>
      </c>
      <c r="D637" s="1" t="s">
        <v>24</v>
      </c>
      <c r="E637" s="1" t="s">
        <v>992</v>
      </c>
      <c r="F637" s="1" t="s">
        <v>26</v>
      </c>
      <c r="G637" s="1" t="s">
        <v>3659</v>
      </c>
      <c r="H637" s="1" t="s">
        <v>99</v>
      </c>
      <c r="I637" s="1" t="s">
        <v>3660</v>
      </c>
      <c r="J637" s="1" t="s">
        <v>3661</v>
      </c>
      <c r="K637" s="1" t="s">
        <v>172</v>
      </c>
      <c r="L637" s="1" t="s">
        <v>535</v>
      </c>
      <c r="M637" s="1" t="s">
        <v>59</v>
      </c>
      <c r="N637" s="1" t="s">
        <v>3662</v>
      </c>
      <c r="O637" s="1" t="s">
        <v>35</v>
      </c>
      <c r="P637" s="1" t="s">
        <v>3660</v>
      </c>
      <c r="Q637" s="1" t="s">
        <v>44</v>
      </c>
      <c r="R637" s="1" t="s">
        <v>37</v>
      </c>
      <c r="S637" s="1" t="s">
        <v>37</v>
      </c>
      <c r="T637" s="1" t="s">
        <v>37</v>
      </c>
      <c r="U637" s="1" t="s">
        <v>37</v>
      </c>
    </row>
    <row r="638" spans="1:21">
      <c r="A638" s="1" t="s">
        <v>3663</v>
      </c>
      <c r="B638" s="1" t="s">
        <v>22</v>
      </c>
      <c r="C638" s="1" t="s">
        <v>23</v>
      </c>
      <c r="D638" s="1" t="s">
        <v>41</v>
      </c>
      <c r="E638" s="1" t="s">
        <v>992</v>
      </c>
      <c r="F638" s="1" t="s">
        <v>26</v>
      </c>
      <c r="G638" s="1" t="s">
        <v>3664</v>
      </c>
      <c r="H638" s="1" t="s">
        <v>28</v>
      </c>
      <c r="I638" s="1" t="s">
        <v>3665</v>
      </c>
      <c r="J638" s="1" t="s">
        <v>3666</v>
      </c>
      <c r="K638" s="1" t="s">
        <v>57</v>
      </c>
      <c r="L638" s="1" t="s">
        <v>830</v>
      </c>
      <c r="M638" s="1" t="s">
        <v>59</v>
      </c>
      <c r="N638" s="1" t="s">
        <v>3667</v>
      </c>
      <c r="O638" s="1" t="s">
        <v>35</v>
      </c>
      <c r="P638" s="1" t="s">
        <v>3665</v>
      </c>
      <c r="Q638" s="1" t="s">
        <v>90</v>
      </c>
      <c r="R638" s="1" t="s">
        <v>37</v>
      </c>
      <c r="S638" s="1" t="s">
        <v>37</v>
      </c>
      <c r="T638" s="1" t="s">
        <v>37</v>
      </c>
      <c r="U638" s="1" t="s">
        <v>37</v>
      </c>
    </row>
    <row r="639" spans="1:21">
      <c r="A639" s="1" t="s">
        <v>3668</v>
      </c>
      <c r="B639" s="1" t="s">
        <v>39</v>
      </c>
      <c r="C639" s="1" t="s">
        <v>40</v>
      </c>
      <c r="D639" s="1" t="s">
        <v>41</v>
      </c>
      <c r="E639" s="1" t="s">
        <v>25</v>
      </c>
      <c r="F639" s="1" t="s">
        <v>42</v>
      </c>
      <c r="G639" s="1" t="s">
        <v>3669</v>
      </c>
      <c r="H639" s="1" t="s">
        <v>253</v>
      </c>
      <c r="I639" s="1" t="s">
        <v>3670</v>
      </c>
      <c r="J639" s="1" t="s">
        <v>1836</v>
      </c>
      <c r="K639" s="1" t="s">
        <v>412</v>
      </c>
      <c r="L639" s="1" t="s">
        <v>3671</v>
      </c>
      <c r="M639" s="1" t="s">
        <v>49</v>
      </c>
      <c r="N639" s="1" t="s">
        <v>3669</v>
      </c>
      <c r="O639" s="1" t="s">
        <v>35</v>
      </c>
      <c r="P639" s="1" t="s">
        <v>3670</v>
      </c>
      <c r="Q639" s="1" t="s">
        <v>359</v>
      </c>
      <c r="R639" s="1" t="s">
        <v>37</v>
      </c>
      <c r="S639" s="1" t="s">
        <v>37</v>
      </c>
      <c r="T639" s="1" t="s">
        <v>37</v>
      </c>
      <c r="U639" s="1" t="s">
        <v>37</v>
      </c>
    </row>
    <row r="640" spans="1:21">
      <c r="A640" s="1" t="s">
        <v>3672</v>
      </c>
      <c r="B640" s="1" t="s">
        <v>115</v>
      </c>
      <c r="C640" s="1" t="s">
        <v>116</v>
      </c>
      <c r="D640" s="1" t="s">
        <v>24</v>
      </c>
      <c r="E640" s="1" t="s">
        <v>25</v>
      </c>
      <c r="F640" s="1" t="s">
        <v>117</v>
      </c>
      <c r="G640" s="1" t="s">
        <v>3673</v>
      </c>
      <c r="H640" s="1" t="s">
        <v>44</v>
      </c>
      <c r="I640" s="1" t="s">
        <v>3674</v>
      </c>
      <c r="J640" s="1" t="s">
        <v>3675</v>
      </c>
      <c r="K640" s="1" t="s">
        <v>47</v>
      </c>
      <c r="L640" s="1" t="s">
        <v>3595</v>
      </c>
      <c r="M640" s="1" t="s">
        <v>49</v>
      </c>
      <c r="N640" s="1" t="s">
        <v>3676</v>
      </c>
      <c r="O640" s="1" t="s">
        <v>35</v>
      </c>
      <c r="P640" s="1" t="s">
        <v>3674</v>
      </c>
      <c r="Q640" s="1" t="s">
        <v>250</v>
      </c>
      <c r="R640" s="1" t="s">
        <v>37</v>
      </c>
      <c r="S640" s="1" t="s">
        <v>37</v>
      </c>
      <c r="T640" s="1" t="s">
        <v>37</v>
      </c>
      <c r="U640" s="1" t="s">
        <v>37</v>
      </c>
    </row>
    <row r="641" spans="1:21">
      <c r="A641" s="1" t="s">
        <v>3677</v>
      </c>
      <c r="B641" s="1" t="s">
        <v>115</v>
      </c>
      <c r="C641" s="1" t="s">
        <v>116</v>
      </c>
      <c r="D641" s="1" t="s">
        <v>41</v>
      </c>
      <c r="E641" s="1" t="s">
        <v>992</v>
      </c>
      <c r="F641" s="1" t="s">
        <v>127</v>
      </c>
      <c r="G641" s="1" t="s">
        <v>3678</v>
      </c>
      <c r="H641" s="1" t="s">
        <v>119</v>
      </c>
      <c r="I641" s="1" t="s">
        <v>3679</v>
      </c>
      <c r="J641" s="1" t="s">
        <v>3680</v>
      </c>
      <c r="K641" s="1" t="s">
        <v>391</v>
      </c>
      <c r="L641" s="1" t="s">
        <v>241</v>
      </c>
      <c r="M641" s="1" t="s">
        <v>33</v>
      </c>
      <c r="N641" s="1" t="s">
        <v>3681</v>
      </c>
      <c r="O641" s="1" t="s">
        <v>35</v>
      </c>
      <c r="P641" s="1" t="s">
        <v>3679</v>
      </c>
      <c r="Q641" s="1" t="s">
        <v>311</v>
      </c>
      <c r="R641" s="1" t="s">
        <v>37</v>
      </c>
      <c r="S641" s="1" t="s">
        <v>37</v>
      </c>
      <c r="T641" s="1" t="s">
        <v>37</v>
      </c>
      <c r="U641" s="1" t="s">
        <v>37</v>
      </c>
    </row>
    <row r="642" spans="1:21">
      <c r="A642" s="1" t="s">
        <v>3682</v>
      </c>
      <c r="B642" s="1" t="s">
        <v>115</v>
      </c>
      <c r="C642" s="1" t="s">
        <v>116</v>
      </c>
      <c r="D642" s="1" t="s">
        <v>24</v>
      </c>
      <c r="E642" s="1" t="s">
        <v>25</v>
      </c>
      <c r="F642" s="1" t="s">
        <v>117</v>
      </c>
      <c r="G642" s="1" t="s">
        <v>3683</v>
      </c>
      <c r="H642" s="1" t="s">
        <v>119</v>
      </c>
      <c r="I642" s="1" t="s">
        <v>3684</v>
      </c>
      <c r="J642" s="1" t="s">
        <v>3685</v>
      </c>
      <c r="K642" s="1" t="s">
        <v>636</v>
      </c>
      <c r="L642" s="1" t="s">
        <v>3686</v>
      </c>
      <c r="M642" s="1" t="s">
        <v>33</v>
      </c>
      <c r="N642" s="1" t="s">
        <v>3687</v>
      </c>
      <c r="O642" s="1" t="s">
        <v>35</v>
      </c>
      <c r="P642" s="1" t="s">
        <v>3684</v>
      </c>
      <c r="Q642" s="1" t="s">
        <v>544</v>
      </c>
      <c r="R642" s="1" t="s">
        <v>37</v>
      </c>
      <c r="S642" s="1" t="s">
        <v>37</v>
      </c>
      <c r="T642" s="1" t="s">
        <v>37</v>
      </c>
      <c r="U642" s="1" t="s">
        <v>37</v>
      </c>
    </row>
    <row r="643" spans="1:21">
      <c r="A643" s="1" t="s">
        <v>3688</v>
      </c>
      <c r="B643" s="1" t="s">
        <v>39</v>
      </c>
      <c r="C643" s="1" t="s">
        <v>40</v>
      </c>
      <c r="D643" s="1" t="s">
        <v>24</v>
      </c>
      <c r="E643" s="1" t="s">
        <v>25</v>
      </c>
      <c r="F643" s="1" t="s">
        <v>42</v>
      </c>
      <c r="G643" s="1" t="s">
        <v>3689</v>
      </c>
      <c r="H643" s="1" t="s">
        <v>64</v>
      </c>
      <c r="I643" s="1" t="s">
        <v>3690</v>
      </c>
      <c r="J643" s="1" t="s">
        <v>3691</v>
      </c>
      <c r="K643" s="1" t="s">
        <v>412</v>
      </c>
      <c r="L643" s="1" t="s">
        <v>3692</v>
      </c>
      <c r="M643" s="1" t="s">
        <v>33</v>
      </c>
      <c r="N643" s="1" t="s">
        <v>3693</v>
      </c>
      <c r="O643" s="1" t="s">
        <v>35</v>
      </c>
      <c r="P643" s="1" t="s">
        <v>3690</v>
      </c>
      <c r="Q643" s="1" t="s">
        <v>330</v>
      </c>
      <c r="R643" s="1" t="s">
        <v>37</v>
      </c>
      <c r="S643" s="1" t="s">
        <v>37</v>
      </c>
      <c r="T643" s="1" t="s">
        <v>37</v>
      </c>
      <c r="U643" s="1" t="s">
        <v>37</v>
      </c>
    </row>
    <row r="644" spans="1:21">
      <c r="A644" s="1" t="s">
        <v>3694</v>
      </c>
      <c r="B644" s="1" t="s">
        <v>115</v>
      </c>
      <c r="C644" s="1" t="s">
        <v>116</v>
      </c>
      <c r="D644" s="1" t="s">
        <v>24</v>
      </c>
      <c r="E644" s="1" t="s">
        <v>992</v>
      </c>
      <c r="F644" s="1" t="s">
        <v>42</v>
      </c>
      <c r="G644" s="1" t="s">
        <v>3695</v>
      </c>
      <c r="H644" s="1" t="s">
        <v>107</v>
      </c>
      <c r="I644" s="1" t="s">
        <v>3696</v>
      </c>
      <c r="J644" s="1" t="s">
        <v>3697</v>
      </c>
      <c r="K644" s="1" t="s">
        <v>459</v>
      </c>
      <c r="L644" s="1" t="s">
        <v>2022</v>
      </c>
      <c r="M644" s="1" t="s">
        <v>33</v>
      </c>
      <c r="N644" s="1" t="s">
        <v>3698</v>
      </c>
      <c r="O644" s="1" t="s">
        <v>35</v>
      </c>
      <c r="P644" s="1" t="s">
        <v>3696</v>
      </c>
      <c r="Q644" s="1" t="s">
        <v>90</v>
      </c>
      <c r="R644" s="1" t="s">
        <v>37</v>
      </c>
      <c r="S644" s="1" t="s">
        <v>37</v>
      </c>
      <c r="T644" s="1" t="s">
        <v>37</v>
      </c>
      <c r="U644" s="1" t="s">
        <v>37</v>
      </c>
    </row>
    <row r="645" spans="1:21">
      <c r="A645" s="1" t="s">
        <v>3699</v>
      </c>
      <c r="B645" s="1" t="s">
        <v>39</v>
      </c>
      <c r="C645" s="1" t="s">
        <v>40</v>
      </c>
      <c r="D645" s="1" t="s">
        <v>24</v>
      </c>
      <c r="E645" s="1" t="s">
        <v>25</v>
      </c>
      <c r="F645" s="1" t="s">
        <v>117</v>
      </c>
      <c r="G645" s="1" t="s">
        <v>112</v>
      </c>
      <c r="H645" s="1" t="s">
        <v>64</v>
      </c>
      <c r="I645" s="1" t="s">
        <v>3700</v>
      </c>
      <c r="J645" s="1" t="s">
        <v>3701</v>
      </c>
      <c r="K645" s="1" t="s">
        <v>1094</v>
      </c>
      <c r="L645" s="1" t="s">
        <v>1561</v>
      </c>
      <c r="M645" s="1" t="s">
        <v>59</v>
      </c>
      <c r="N645" s="1" t="s">
        <v>3702</v>
      </c>
      <c r="O645" s="1" t="s">
        <v>35</v>
      </c>
      <c r="P645" s="1" t="s">
        <v>3700</v>
      </c>
      <c r="Q645" s="1" t="s">
        <v>129</v>
      </c>
      <c r="R645" s="1" t="s">
        <v>37</v>
      </c>
      <c r="S645" s="1" t="s">
        <v>37</v>
      </c>
      <c r="T645" s="1" t="s">
        <v>37</v>
      </c>
      <c r="U645" s="1" t="s">
        <v>37</v>
      </c>
    </row>
    <row r="646" spans="1:21">
      <c r="A646" s="1" t="s">
        <v>3703</v>
      </c>
      <c r="B646" s="1" t="s">
        <v>39</v>
      </c>
      <c r="C646" s="1" t="s">
        <v>40</v>
      </c>
      <c r="D646" s="1" t="s">
        <v>24</v>
      </c>
      <c r="E646" s="1" t="s">
        <v>992</v>
      </c>
      <c r="F646" s="1" t="s">
        <v>42</v>
      </c>
      <c r="G646" s="1" t="s">
        <v>3704</v>
      </c>
      <c r="H646" s="1" t="s">
        <v>44</v>
      </c>
      <c r="I646" s="1" t="s">
        <v>3705</v>
      </c>
      <c r="J646" s="1" t="s">
        <v>3706</v>
      </c>
      <c r="K646" s="1" t="s">
        <v>976</v>
      </c>
      <c r="L646" s="1" t="s">
        <v>1417</v>
      </c>
      <c r="M646" s="1" t="s">
        <v>33</v>
      </c>
      <c r="N646" s="1" t="s">
        <v>3707</v>
      </c>
      <c r="O646" s="1" t="s">
        <v>35</v>
      </c>
      <c r="P646" s="1" t="s">
        <v>3705</v>
      </c>
      <c r="Q646" s="1" t="s">
        <v>618</v>
      </c>
      <c r="R646" s="1" t="s">
        <v>37</v>
      </c>
      <c r="S646" s="1" t="s">
        <v>37</v>
      </c>
      <c r="T646" s="1" t="s">
        <v>37</v>
      </c>
      <c r="U646" s="1" t="s">
        <v>37</v>
      </c>
    </row>
    <row r="647" spans="1:21">
      <c r="A647" s="1" t="s">
        <v>3708</v>
      </c>
      <c r="B647" s="1" t="s">
        <v>22</v>
      </c>
      <c r="C647" s="1" t="s">
        <v>23</v>
      </c>
      <c r="D647" s="1" t="s">
        <v>24</v>
      </c>
      <c r="E647" s="1" t="s">
        <v>992</v>
      </c>
      <c r="F647" s="1" t="s">
        <v>53</v>
      </c>
      <c r="G647" s="1" t="s">
        <v>3709</v>
      </c>
      <c r="H647" s="1" t="s">
        <v>275</v>
      </c>
      <c r="I647" s="1" t="s">
        <v>3710</v>
      </c>
      <c r="J647" s="1" t="s">
        <v>3711</v>
      </c>
      <c r="K647" s="1" t="s">
        <v>962</v>
      </c>
      <c r="L647" s="1" t="s">
        <v>3163</v>
      </c>
      <c r="M647" s="1" t="s">
        <v>33</v>
      </c>
      <c r="N647" s="1" t="s">
        <v>3712</v>
      </c>
      <c r="O647" s="1" t="s">
        <v>35</v>
      </c>
      <c r="P647" s="1" t="s">
        <v>3710</v>
      </c>
      <c r="Q647" s="1" t="s">
        <v>576</v>
      </c>
      <c r="R647" s="1" t="s">
        <v>37</v>
      </c>
      <c r="S647" s="1" t="s">
        <v>37</v>
      </c>
      <c r="T647" s="1" t="s">
        <v>37</v>
      </c>
      <c r="U647" s="1" t="s">
        <v>37</v>
      </c>
    </row>
    <row r="648" spans="1:21">
      <c r="A648" s="1" t="s">
        <v>3713</v>
      </c>
      <c r="B648" s="1" t="s">
        <v>39</v>
      </c>
      <c r="C648" s="1" t="s">
        <v>40</v>
      </c>
      <c r="D648" s="1" t="s">
        <v>41</v>
      </c>
      <c r="E648" s="1" t="s">
        <v>992</v>
      </c>
      <c r="F648" s="1" t="s">
        <v>26</v>
      </c>
      <c r="G648" s="1" t="s">
        <v>3714</v>
      </c>
      <c r="H648" s="1" t="s">
        <v>90</v>
      </c>
      <c r="I648" s="1" t="s">
        <v>3715</v>
      </c>
      <c r="J648" s="1" t="s">
        <v>3716</v>
      </c>
      <c r="K648" s="1" t="s">
        <v>1094</v>
      </c>
      <c r="L648" s="1" t="s">
        <v>3717</v>
      </c>
      <c r="M648" s="1" t="s">
        <v>49</v>
      </c>
      <c r="N648" s="1" t="s">
        <v>3718</v>
      </c>
      <c r="O648" s="1" t="s">
        <v>35</v>
      </c>
      <c r="P648" s="1" t="s">
        <v>3715</v>
      </c>
      <c r="Q648" s="1" t="s">
        <v>61</v>
      </c>
      <c r="R648" s="1" t="s">
        <v>37</v>
      </c>
      <c r="S648" s="1" t="s">
        <v>37</v>
      </c>
      <c r="T648" s="1" t="s">
        <v>37</v>
      </c>
      <c r="U648" s="1" t="s">
        <v>37</v>
      </c>
    </row>
    <row r="649" spans="1:21">
      <c r="A649" s="1" t="s">
        <v>3719</v>
      </c>
      <c r="B649" s="1" t="s">
        <v>115</v>
      </c>
      <c r="C649" s="1" t="s">
        <v>116</v>
      </c>
      <c r="D649" s="1" t="s">
        <v>24</v>
      </c>
      <c r="E649" s="1" t="s">
        <v>992</v>
      </c>
      <c r="F649" s="1" t="s">
        <v>127</v>
      </c>
      <c r="G649" s="1" t="s">
        <v>3720</v>
      </c>
      <c r="H649" s="1" t="s">
        <v>253</v>
      </c>
      <c r="I649" s="1" t="s">
        <v>3721</v>
      </c>
      <c r="J649" s="1" t="s">
        <v>3722</v>
      </c>
      <c r="K649" s="1" t="s">
        <v>1408</v>
      </c>
      <c r="L649" s="1" t="s">
        <v>3340</v>
      </c>
      <c r="M649" s="1" t="s">
        <v>49</v>
      </c>
      <c r="N649" s="1" t="s">
        <v>3720</v>
      </c>
      <c r="O649" s="1" t="s">
        <v>35</v>
      </c>
      <c r="P649" s="1" t="s">
        <v>3721</v>
      </c>
      <c r="Q649" s="1" t="s">
        <v>366</v>
      </c>
      <c r="R649" s="1" t="s">
        <v>37</v>
      </c>
      <c r="S649" s="1" t="s">
        <v>37</v>
      </c>
      <c r="T649" s="1" t="s">
        <v>37</v>
      </c>
      <c r="U649" s="1" t="s">
        <v>37</v>
      </c>
    </row>
    <row r="650" spans="1:21">
      <c r="A650" s="1" t="s">
        <v>3723</v>
      </c>
      <c r="B650" s="1" t="s">
        <v>39</v>
      </c>
      <c r="C650" s="1" t="s">
        <v>40</v>
      </c>
      <c r="D650" s="1" t="s">
        <v>24</v>
      </c>
      <c r="E650" s="1" t="s">
        <v>25</v>
      </c>
      <c r="F650" s="1" t="s">
        <v>72</v>
      </c>
      <c r="G650" s="1" t="s">
        <v>3724</v>
      </c>
      <c r="H650" s="1" t="s">
        <v>107</v>
      </c>
      <c r="I650" s="1" t="s">
        <v>3725</v>
      </c>
      <c r="J650" s="1" t="s">
        <v>3726</v>
      </c>
      <c r="K650" s="1" t="s">
        <v>847</v>
      </c>
      <c r="L650" s="1" t="s">
        <v>426</v>
      </c>
      <c r="M650" s="1" t="s">
        <v>49</v>
      </c>
      <c r="N650" s="1" t="s">
        <v>3727</v>
      </c>
      <c r="O650" s="1" t="s">
        <v>35</v>
      </c>
      <c r="P650" s="1" t="s">
        <v>3725</v>
      </c>
      <c r="Q650" s="1" t="s">
        <v>359</v>
      </c>
      <c r="R650" s="1" t="s">
        <v>37</v>
      </c>
      <c r="S650" s="1" t="s">
        <v>37</v>
      </c>
      <c r="T650" s="1" t="s">
        <v>37</v>
      </c>
      <c r="U650" s="1" t="s">
        <v>37</v>
      </c>
    </row>
    <row r="651" spans="1:21">
      <c r="A651" s="1" t="s">
        <v>3728</v>
      </c>
      <c r="B651" s="1" t="s">
        <v>39</v>
      </c>
      <c r="C651" s="1" t="s">
        <v>40</v>
      </c>
      <c r="D651" s="1" t="s">
        <v>41</v>
      </c>
      <c r="E651" s="1" t="s">
        <v>992</v>
      </c>
      <c r="F651" s="1" t="s">
        <v>42</v>
      </c>
      <c r="G651" s="1" t="s">
        <v>486</v>
      </c>
      <c r="H651" s="1" t="s">
        <v>99</v>
      </c>
      <c r="I651" s="1" t="s">
        <v>3729</v>
      </c>
      <c r="J651" s="1" t="s">
        <v>3730</v>
      </c>
      <c r="K651" s="1" t="s">
        <v>102</v>
      </c>
      <c r="L651" s="1" t="s">
        <v>758</v>
      </c>
      <c r="M651" s="1" t="s">
        <v>49</v>
      </c>
      <c r="N651" s="1" t="s">
        <v>3731</v>
      </c>
      <c r="O651" s="1" t="s">
        <v>35</v>
      </c>
      <c r="P651" s="1" t="s">
        <v>3729</v>
      </c>
      <c r="Q651" s="1" t="s">
        <v>151</v>
      </c>
      <c r="R651" s="1" t="s">
        <v>37</v>
      </c>
      <c r="S651" s="1" t="s">
        <v>37</v>
      </c>
      <c r="T651" s="1" t="s">
        <v>37</v>
      </c>
      <c r="U651" s="1" t="s">
        <v>37</v>
      </c>
    </row>
    <row r="652" spans="1:21">
      <c r="A652" s="1" t="s">
        <v>3732</v>
      </c>
      <c r="B652" s="1" t="s">
        <v>115</v>
      </c>
      <c r="C652" s="1" t="s">
        <v>116</v>
      </c>
      <c r="D652" s="1" t="s">
        <v>41</v>
      </c>
      <c r="E652" s="1" t="s">
        <v>992</v>
      </c>
      <c r="F652" s="1" t="s">
        <v>42</v>
      </c>
      <c r="G652" s="1" t="s">
        <v>3733</v>
      </c>
      <c r="H652" s="1" t="s">
        <v>44</v>
      </c>
      <c r="I652" s="1" t="s">
        <v>3734</v>
      </c>
      <c r="J652" s="1" t="s">
        <v>3735</v>
      </c>
      <c r="K652" s="1" t="s">
        <v>172</v>
      </c>
      <c r="L652" s="1" t="s">
        <v>2186</v>
      </c>
      <c r="M652" s="1" t="s">
        <v>33</v>
      </c>
      <c r="N652" s="1" t="s">
        <v>3736</v>
      </c>
      <c r="O652" s="1" t="s">
        <v>35</v>
      </c>
      <c r="P652" s="1" t="s">
        <v>3734</v>
      </c>
      <c r="Q652" s="1" t="s">
        <v>812</v>
      </c>
      <c r="R652" s="1" t="s">
        <v>37</v>
      </c>
      <c r="S652" s="1" t="s">
        <v>37</v>
      </c>
      <c r="T652" s="1" t="s">
        <v>37</v>
      </c>
      <c r="U652" s="1" t="s">
        <v>37</v>
      </c>
    </row>
    <row r="653" spans="1:21">
      <c r="A653" s="1" t="s">
        <v>3737</v>
      </c>
      <c r="B653" s="1" t="s">
        <v>115</v>
      </c>
      <c r="C653" s="1" t="s">
        <v>116</v>
      </c>
      <c r="D653" s="1" t="s">
        <v>41</v>
      </c>
      <c r="E653" s="1" t="s">
        <v>25</v>
      </c>
      <c r="F653" s="1" t="s">
        <v>26</v>
      </c>
      <c r="G653" s="1" t="s">
        <v>3738</v>
      </c>
      <c r="H653" s="1" t="s">
        <v>90</v>
      </c>
      <c r="I653" s="1" t="s">
        <v>3739</v>
      </c>
      <c r="J653" s="1" t="s">
        <v>3740</v>
      </c>
      <c r="K653" s="1" t="s">
        <v>581</v>
      </c>
      <c r="L653" s="1" t="s">
        <v>3741</v>
      </c>
      <c r="M653" s="1" t="s">
        <v>49</v>
      </c>
      <c r="N653" s="1" t="s">
        <v>3742</v>
      </c>
      <c r="O653" s="1" t="s">
        <v>35</v>
      </c>
      <c r="P653" s="1" t="s">
        <v>3739</v>
      </c>
      <c r="Q653" s="1" t="s">
        <v>235</v>
      </c>
      <c r="R653" s="1" t="s">
        <v>37</v>
      </c>
      <c r="S653" s="1" t="s">
        <v>37</v>
      </c>
      <c r="T653" s="1" t="s">
        <v>37</v>
      </c>
      <c r="U653" s="1" t="s">
        <v>37</v>
      </c>
    </row>
    <row r="654" spans="1:21">
      <c r="A654" s="1" t="s">
        <v>3743</v>
      </c>
      <c r="B654" s="1" t="s">
        <v>22</v>
      </c>
      <c r="C654" s="1" t="s">
        <v>23</v>
      </c>
      <c r="D654" s="1" t="s">
        <v>24</v>
      </c>
      <c r="E654" s="1" t="s">
        <v>992</v>
      </c>
      <c r="F654" s="1" t="s">
        <v>53</v>
      </c>
      <c r="G654" s="1" t="s">
        <v>3744</v>
      </c>
      <c r="H654" s="1" t="s">
        <v>99</v>
      </c>
      <c r="I654" s="1" t="s">
        <v>3745</v>
      </c>
      <c r="J654" s="1" t="s">
        <v>3746</v>
      </c>
      <c r="K654" s="1" t="s">
        <v>419</v>
      </c>
      <c r="L654" s="1" t="s">
        <v>392</v>
      </c>
      <c r="M654" s="1" t="s">
        <v>49</v>
      </c>
      <c r="N654" s="1" t="s">
        <v>3747</v>
      </c>
      <c r="O654" s="1" t="s">
        <v>35</v>
      </c>
      <c r="P654" s="1" t="s">
        <v>3745</v>
      </c>
      <c r="Q654" s="1" t="s">
        <v>663</v>
      </c>
      <c r="R654" s="1" t="s">
        <v>37</v>
      </c>
      <c r="S654" s="1" t="s">
        <v>37</v>
      </c>
      <c r="T654" s="1" t="s">
        <v>37</v>
      </c>
      <c r="U654" s="1" t="s">
        <v>37</v>
      </c>
    </row>
    <row r="655" spans="1:21">
      <c r="A655" s="1" t="s">
        <v>3748</v>
      </c>
      <c r="B655" s="1" t="s">
        <v>115</v>
      </c>
      <c r="C655" s="1" t="s">
        <v>116</v>
      </c>
      <c r="D655" s="1" t="s">
        <v>24</v>
      </c>
      <c r="E655" s="1" t="s">
        <v>992</v>
      </c>
      <c r="F655" s="1" t="s">
        <v>72</v>
      </c>
      <c r="G655" s="1" t="s">
        <v>3749</v>
      </c>
      <c r="H655" s="1" t="s">
        <v>275</v>
      </c>
      <c r="I655" s="1" t="s">
        <v>3750</v>
      </c>
      <c r="J655" s="1" t="s">
        <v>3751</v>
      </c>
      <c r="K655" s="1" t="s">
        <v>508</v>
      </c>
      <c r="L655" s="1" t="s">
        <v>256</v>
      </c>
      <c r="M655" s="1" t="s">
        <v>33</v>
      </c>
      <c r="N655" s="1" t="s">
        <v>3752</v>
      </c>
      <c r="O655" s="1" t="s">
        <v>35</v>
      </c>
      <c r="P655" s="1" t="s">
        <v>3750</v>
      </c>
      <c r="Q655" s="1" t="s">
        <v>220</v>
      </c>
      <c r="R655" s="1" t="s">
        <v>37</v>
      </c>
      <c r="S655" s="1" t="s">
        <v>37</v>
      </c>
      <c r="T655" s="1" t="s">
        <v>37</v>
      </c>
      <c r="U655" s="1" t="s">
        <v>37</v>
      </c>
    </row>
    <row r="656" spans="1:21">
      <c r="A656" s="1" t="s">
        <v>3753</v>
      </c>
      <c r="B656" s="1" t="s">
        <v>115</v>
      </c>
      <c r="C656" s="1" t="s">
        <v>116</v>
      </c>
      <c r="D656" s="1" t="s">
        <v>24</v>
      </c>
      <c r="E656" s="1" t="s">
        <v>992</v>
      </c>
      <c r="F656" s="1" t="s">
        <v>127</v>
      </c>
      <c r="G656" s="1" t="s">
        <v>3754</v>
      </c>
      <c r="H656" s="1" t="s">
        <v>129</v>
      </c>
      <c r="I656" s="1" t="s">
        <v>3755</v>
      </c>
      <c r="J656" s="1" t="s">
        <v>3756</v>
      </c>
      <c r="K656" s="1" t="s">
        <v>976</v>
      </c>
      <c r="L656" s="1" t="s">
        <v>3123</v>
      </c>
      <c r="M656" s="1" t="s">
        <v>59</v>
      </c>
      <c r="N656" s="1" t="s">
        <v>3757</v>
      </c>
      <c r="O656" s="1" t="s">
        <v>35</v>
      </c>
      <c r="P656" s="1" t="s">
        <v>3755</v>
      </c>
      <c r="Q656" s="1" t="s">
        <v>583</v>
      </c>
      <c r="R656" s="1" t="s">
        <v>37</v>
      </c>
      <c r="S656" s="1" t="s">
        <v>37</v>
      </c>
      <c r="T656" s="1" t="s">
        <v>37</v>
      </c>
      <c r="U656" s="1" t="s">
        <v>37</v>
      </c>
    </row>
    <row r="657" spans="1:21">
      <c r="A657" s="1" t="s">
        <v>3758</v>
      </c>
      <c r="B657" s="1" t="s">
        <v>22</v>
      </c>
      <c r="C657" s="1" t="s">
        <v>23</v>
      </c>
      <c r="D657" s="1" t="s">
        <v>41</v>
      </c>
      <c r="E657" s="1" t="s">
        <v>25</v>
      </c>
      <c r="F657" s="1" t="s">
        <v>42</v>
      </c>
      <c r="G657" s="1" t="s">
        <v>3759</v>
      </c>
      <c r="H657" s="1" t="s">
        <v>119</v>
      </c>
      <c r="I657" s="1" t="s">
        <v>3760</v>
      </c>
      <c r="J657" s="1" t="s">
        <v>3761</v>
      </c>
      <c r="K657" s="1" t="s">
        <v>1718</v>
      </c>
      <c r="L657" s="1" t="s">
        <v>3443</v>
      </c>
      <c r="M657" s="1" t="s">
        <v>59</v>
      </c>
      <c r="N657" s="1" t="s">
        <v>3762</v>
      </c>
      <c r="O657" s="1" t="s">
        <v>35</v>
      </c>
      <c r="P657" s="1" t="s">
        <v>3760</v>
      </c>
      <c r="Q657" s="1" t="s">
        <v>96</v>
      </c>
      <c r="R657" s="1" t="s">
        <v>37</v>
      </c>
      <c r="S657" s="1" t="s">
        <v>37</v>
      </c>
      <c r="T657" s="1" t="s">
        <v>37</v>
      </c>
      <c r="U657" s="1" t="s">
        <v>37</v>
      </c>
    </row>
    <row r="658" spans="1:21">
      <c r="A658" s="1" t="s">
        <v>3763</v>
      </c>
      <c r="B658" s="1" t="s">
        <v>39</v>
      </c>
      <c r="C658" s="1" t="s">
        <v>40</v>
      </c>
      <c r="D658" s="1" t="s">
        <v>41</v>
      </c>
      <c r="E658" s="1" t="s">
        <v>25</v>
      </c>
      <c r="F658" s="1" t="s">
        <v>42</v>
      </c>
      <c r="G658" s="1" t="s">
        <v>2352</v>
      </c>
      <c r="H658" s="1" t="s">
        <v>253</v>
      </c>
      <c r="I658" s="1" t="s">
        <v>3764</v>
      </c>
      <c r="J658" s="1" t="s">
        <v>3765</v>
      </c>
      <c r="K658" s="1" t="s">
        <v>391</v>
      </c>
      <c r="L658" s="1" t="s">
        <v>655</v>
      </c>
      <c r="M658" s="1" t="s">
        <v>59</v>
      </c>
      <c r="N658" s="1" t="s">
        <v>2352</v>
      </c>
      <c r="O658" s="1" t="s">
        <v>35</v>
      </c>
      <c r="P658" s="1" t="s">
        <v>3764</v>
      </c>
      <c r="Q658" s="1" t="s">
        <v>64</v>
      </c>
      <c r="R658" s="1" t="s">
        <v>37</v>
      </c>
      <c r="S658" s="1" t="s">
        <v>37</v>
      </c>
      <c r="T658" s="1" t="s">
        <v>37</v>
      </c>
      <c r="U658" s="1" t="s">
        <v>37</v>
      </c>
    </row>
    <row r="659" spans="1:21">
      <c r="A659" s="1" t="s">
        <v>3766</v>
      </c>
      <c r="B659" s="1" t="s">
        <v>22</v>
      </c>
      <c r="C659" s="1" t="s">
        <v>23</v>
      </c>
      <c r="D659" s="1" t="s">
        <v>24</v>
      </c>
      <c r="E659" s="1" t="s">
        <v>25</v>
      </c>
      <c r="F659" s="1" t="s">
        <v>127</v>
      </c>
      <c r="G659" s="1" t="s">
        <v>3676</v>
      </c>
      <c r="H659" s="1" t="s">
        <v>119</v>
      </c>
      <c r="I659" s="1" t="s">
        <v>3767</v>
      </c>
      <c r="J659" s="1" t="s">
        <v>3768</v>
      </c>
      <c r="K659" s="1" t="s">
        <v>962</v>
      </c>
      <c r="L659" s="1" t="s">
        <v>357</v>
      </c>
      <c r="M659" s="1" t="s">
        <v>33</v>
      </c>
      <c r="N659" s="1" t="s">
        <v>3769</v>
      </c>
      <c r="O659" s="1" t="s">
        <v>35</v>
      </c>
      <c r="P659" s="1" t="s">
        <v>3767</v>
      </c>
      <c r="Q659" s="1" t="s">
        <v>351</v>
      </c>
      <c r="R659" s="1" t="s">
        <v>37</v>
      </c>
      <c r="S659" s="1" t="s">
        <v>37</v>
      </c>
      <c r="T659" s="1" t="s">
        <v>37</v>
      </c>
      <c r="U659" s="1" t="s">
        <v>37</v>
      </c>
    </row>
    <row r="660" spans="1:21">
      <c r="A660" s="1" t="s">
        <v>3770</v>
      </c>
      <c r="B660" s="1" t="s">
        <v>22</v>
      </c>
      <c r="C660" s="1" t="s">
        <v>23</v>
      </c>
      <c r="D660" s="1" t="s">
        <v>24</v>
      </c>
      <c r="E660" s="1" t="s">
        <v>25</v>
      </c>
      <c r="F660" s="1" t="s">
        <v>72</v>
      </c>
      <c r="G660" s="1" t="s">
        <v>3771</v>
      </c>
      <c r="H660" s="1" t="s">
        <v>44</v>
      </c>
      <c r="I660" s="1" t="s">
        <v>3772</v>
      </c>
      <c r="J660" s="1" t="s">
        <v>3773</v>
      </c>
      <c r="K660" s="1" t="s">
        <v>1057</v>
      </c>
      <c r="L660" s="1" t="s">
        <v>600</v>
      </c>
      <c r="M660" s="1" t="s">
        <v>49</v>
      </c>
      <c r="N660" s="1" t="s">
        <v>3774</v>
      </c>
      <c r="O660" s="1" t="s">
        <v>35</v>
      </c>
      <c r="P660" s="1" t="s">
        <v>3772</v>
      </c>
      <c r="Q660" s="1" t="s">
        <v>125</v>
      </c>
      <c r="R660" s="1" t="s">
        <v>37</v>
      </c>
      <c r="S660" s="1" t="s">
        <v>37</v>
      </c>
      <c r="T660" s="1" t="s">
        <v>37</v>
      </c>
      <c r="U660" s="1" t="s">
        <v>37</v>
      </c>
    </row>
    <row r="661" spans="1:21">
      <c r="A661" s="1" t="s">
        <v>3775</v>
      </c>
      <c r="B661" s="1" t="s">
        <v>22</v>
      </c>
      <c r="C661" s="1" t="s">
        <v>23</v>
      </c>
      <c r="D661" s="1" t="s">
        <v>24</v>
      </c>
      <c r="E661" s="1" t="s">
        <v>992</v>
      </c>
      <c r="F661" s="1" t="s">
        <v>127</v>
      </c>
      <c r="G661" s="1" t="s">
        <v>3776</v>
      </c>
      <c r="H661" s="1" t="s">
        <v>253</v>
      </c>
      <c r="I661" s="1" t="s">
        <v>3777</v>
      </c>
      <c r="J661" s="1" t="s">
        <v>3778</v>
      </c>
      <c r="K661" s="1" t="s">
        <v>1500</v>
      </c>
      <c r="L661" s="1" t="s">
        <v>3779</v>
      </c>
      <c r="M661" s="1" t="s">
        <v>59</v>
      </c>
      <c r="N661" s="1" t="s">
        <v>3776</v>
      </c>
      <c r="O661" s="1" t="s">
        <v>35</v>
      </c>
      <c r="P661" s="1" t="s">
        <v>3777</v>
      </c>
      <c r="Q661" s="1" t="s">
        <v>752</v>
      </c>
      <c r="R661" s="1" t="s">
        <v>37</v>
      </c>
      <c r="S661" s="1" t="s">
        <v>37</v>
      </c>
      <c r="T661" s="1" t="s">
        <v>37</v>
      </c>
      <c r="U661" s="1" t="s">
        <v>37</v>
      </c>
    </row>
    <row r="662" spans="1:21">
      <c r="A662" s="1" t="s">
        <v>3780</v>
      </c>
      <c r="B662" s="1" t="s">
        <v>115</v>
      </c>
      <c r="C662" s="1" t="s">
        <v>116</v>
      </c>
      <c r="D662" s="1" t="s">
        <v>41</v>
      </c>
      <c r="E662" s="1" t="s">
        <v>25</v>
      </c>
      <c r="F662" s="1" t="s">
        <v>72</v>
      </c>
      <c r="G662" s="1" t="s">
        <v>3781</v>
      </c>
      <c r="H662" s="1" t="s">
        <v>119</v>
      </c>
      <c r="I662" s="1" t="s">
        <v>3782</v>
      </c>
      <c r="J662" s="1" t="s">
        <v>3783</v>
      </c>
      <c r="K662" s="1" t="s">
        <v>419</v>
      </c>
      <c r="L662" s="1" t="s">
        <v>1872</v>
      </c>
      <c r="M662" s="1" t="s">
        <v>49</v>
      </c>
      <c r="N662" s="1" t="s">
        <v>3784</v>
      </c>
      <c r="O662" s="1" t="s">
        <v>35</v>
      </c>
      <c r="P662" s="1" t="s">
        <v>3782</v>
      </c>
      <c r="Q662" s="1" t="s">
        <v>484</v>
      </c>
      <c r="R662" s="1" t="s">
        <v>37</v>
      </c>
      <c r="S662" s="1" t="s">
        <v>37</v>
      </c>
      <c r="T662" s="1" t="s">
        <v>37</v>
      </c>
      <c r="U662" s="1" t="s">
        <v>37</v>
      </c>
    </row>
    <row r="663" spans="1:21">
      <c r="A663" s="1" t="s">
        <v>3785</v>
      </c>
      <c r="B663" s="1" t="s">
        <v>39</v>
      </c>
      <c r="C663" s="1" t="s">
        <v>40</v>
      </c>
      <c r="D663" s="1" t="s">
        <v>24</v>
      </c>
      <c r="E663" s="1" t="s">
        <v>992</v>
      </c>
      <c r="F663" s="1" t="s">
        <v>72</v>
      </c>
      <c r="G663" s="1" t="s">
        <v>3786</v>
      </c>
      <c r="H663" s="1" t="s">
        <v>28</v>
      </c>
      <c r="I663" s="1" t="s">
        <v>3787</v>
      </c>
      <c r="J663" s="1" t="s">
        <v>3788</v>
      </c>
      <c r="K663" s="1" t="s">
        <v>847</v>
      </c>
      <c r="L663" s="1" t="s">
        <v>3024</v>
      </c>
      <c r="M663" s="1" t="s">
        <v>59</v>
      </c>
      <c r="N663" s="1" t="s">
        <v>3789</v>
      </c>
      <c r="O663" s="1" t="s">
        <v>35</v>
      </c>
      <c r="P663" s="1" t="s">
        <v>3787</v>
      </c>
      <c r="Q663" s="1" t="s">
        <v>351</v>
      </c>
      <c r="R663" s="1" t="s">
        <v>37</v>
      </c>
      <c r="S663" s="1" t="s">
        <v>37</v>
      </c>
      <c r="T663" s="1" t="s">
        <v>37</v>
      </c>
      <c r="U663" s="1" t="s">
        <v>37</v>
      </c>
    </row>
    <row r="664" spans="1:21">
      <c r="A664" s="1" t="s">
        <v>3790</v>
      </c>
      <c r="B664" s="1" t="s">
        <v>115</v>
      </c>
      <c r="C664" s="1" t="s">
        <v>116</v>
      </c>
      <c r="D664" s="1" t="s">
        <v>24</v>
      </c>
      <c r="E664" s="1" t="s">
        <v>25</v>
      </c>
      <c r="F664" s="1" t="s">
        <v>127</v>
      </c>
      <c r="G664" s="1" t="s">
        <v>3791</v>
      </c>
      <c r="H664" s="1" t="s">
        <v>90</v>
      </c>
      <c r="I664" s="1" t="s">
        <v>3792</v>
      </c>
      <c r="J664" s="1" t="s">
        <v>3793</v>
      </c>
      <c r="K664" s="1" t="s">
        <v>788</v>
      </c>
      <c r="L664" s="1" t="s">
        <v>731</v>
      </c>
      <c r="M664" s="1" t="s">
        <v>59</v>
      </c>
      <c r="N664" s="1" t="s">
        <v>3794</v>
      </c>
      <c r="O664" s="1" t="s">
        <v>35</v>
      </c>
      <c r="P664" s="1" t="s">
        <v>3792</v>
      </c>
      <c r="Q664" s="1" t="s">
        <v>125</v>
      </c>
      <c r="R664" s="1" t="s">
        <v>37</v>
      </c>
      <c r="S664" s="1" t="s">
        <v>37</v>
      </c>
      <c r="T664" s="1" t="s">
        <v>37</v>
      </c>
      <c r="U664" s="1" t="s">
        <v>37</v>
      </c>
    </row>
    <row r="665" spans="1:21">
      <c r="A665" s="1" t="s">
        <v>3795</v>
      </c>
      <c r="B665" s="1" t="s">
        <v>39</v>
      </c>
      <c r="C665" s="1" t="s">
        <v>40</v>
      </c>
      <c r="D665" s="1" t="s">
        <v>24</v>
      </c>
      <c r="E665" s="1" t="s">
        <v>25</v>
      </c>
      <c r="F665" s="1" t="s">
        <v>117</v>
      </c>
      <c r="G665" s="1" t="s">
        <v>3796</v>
      </c>
      <c r="H665" s="1" t="s">
        <v>99</v>
      </c>
      <c r="I665" s="1" t="s">
        <v>3797</v>
      </c>
      <c r="J665" s="1" t="s">
        <v>3798</v>
      </c>
      <c r="K665" s="1" t="s">
        <v>148</v>
      </c>
      <c r="L665" s="1" t="s">
        <v>3799</v>
      </c>
      <c r="M665" s="1" t="s">
        <v>59</v>
      </c>
      <c r="N665" s="1" t="s">
        <v>3800</v>
      </c>
      <c r="O665" s="1" t="s">
        <v>35</v>
      </c>
      <c r="P665" s="1" t="s">
        <v>3797</v>
      </c>
      <c r="Q665" s="1" t="s">
        <v>235</v>
      </c>
      <c r="R665" s="1" t="s">
        <v>37</v>
      </c>
      <c r="S665" s="1" t="s">
        <v>37</v>
      </c>
      <c r="T665" s="1" t="s">
        <v>37</v>
      </c>
      <c r="U665" s="1" t="s">
        <v>37</v>
      </c>
    </row>
    <row r="666" spans="1:21">
      <c r="A666" s="1" t="s">
        <v>3801</v>
      </c>
      <c r="B666" s="1" t="s">
        <v>39</v>
      </c>
      <c r="C666" s="1" t="s">
        <v>40</v>
      </c>
      <c r="D666" s="1" t="s">
        <v>41</v>
      </c>
      <c r="E666" s="1" t="s">
        <v>25</v>
      </c>
      <c r="F666" s="1" t="s">
        <v>72</v>
      </c>
      <c r="G666" s="1" t="s">
        <v>3802</v>
      </c>
      <c r="H666" s="1" t="s">
        <v>107</v>
      </c>
      <c r="I666" s="1" t="s">
        <v>3803</v>
      </c>
      <c r="J666" s="1" t="s">
        <v>3804</v>
      </c>
      <c r="K666" s="1" t="s">
        <v>1433</v>
      </c>
      <c r="L666" s="1" t="s">
        <v>3805</v>
      </c>
      <c r="M666" s="1" t="s">
        <v>49</v>
      </c>
      <c r="N666" s="1" t="s">
        <v>3806</v>
      </c>
      <c r="O666" s="1" t="s">
        <v>35</v>
      </c>
      <c r="P666" s="1" t="s">
        <v>3803</v>
      </c>
      <c r="Q666" s="1" t="s">
        <v>265</v>
      </c>
      <c r="R666" s="1" t="s">
        <v>37</v>
      </c>
      <c r="S666" s="1" t="s">
        <v>37</v>
      </c>
      <c r="T666" s="1" t="s">
        <v>37</v>
      </c>
      <c r="U666" s="1" t="s">
        <v>37</v>
      </c>
    </row>
    <row r="667" spans="1:21">
      <c r="A667" s="1" t="s">
        <v>3807</v>
      </c>
      <c r="B667" s="1" t="s">
        <v>22</v>
      </c>
      <c r="C667" s="1" t="s">
        <v>23</v>
      </c>
      <c r="D667" s="1" t="s">
        <v>41</v>
      </c>
      <c r="E667" s="1" t="s">
        <v>25</v>
      </c>
      <c r="F667" s="1" t="s">
        <v>127</v>
      </c>
      <c r="G667" s="1" t="s">
        <v>3808</v>
      </c>
      <c r="H667" s="1" t="s">
        <v>129</v>
      </c>
      <c r="I667" s="1" t="s">
        <v>3809</v>
      </c>
      <c r="J667" s="1" t="s">
        <v>3810</v>
      </c>
      <c r="K667" s="1" t="s">
        <v>2159</v>
      </c>
      <c r="L667" s="1" t="s">
        <v>2203</v>
      </c>
      <c r="M667" s="1" t="s">
        <v>33</v>
      </c>
      <c r="N667" s="1" t="s">
        <v>3811</v>
      </c>
      <c r="O667" s="1" t="s">
        <v>35</v>
      </c>
      <c r="P667" s="1" t="s">
        <v>3809</v>
      </c>
      <c r="Q667" s="1" t="s">
        <v>338</v>
      </c>
      <c r="R667" s="1" t="s">
        <v>37</v>
      </c>
      <c r="S667" s="1" t="s">
        <v>37</v>
      </c>
      <c r="T667" s="1" t="s">
        <v>37</v>
      </c>
      <c r="U667" s="1" t="s">
        <v>37</v>
      </c>
    </row>
    <row r="668" spans="1:21">
      <c r="A668" s="1" t="s">
        <v>3812</v>
      </c>
      <c r="B668" s="1" t="s">
        <v>115</v>
      </c>
      <c r="C668" s="1" t="s">
        <v>116</v>
      </c>
      <c r="D668" s="1" t="s">
        <v>24</v>
      </c>
      <c r="E668" s="1" t="s">
        <v>992</v>
      </c>
      <c r="F668" s="1" t="s">
        <v>117</v>
      </c>
      <c r="G668" s="1" t="s">
        <v>3813</v>
      </c>
      <c r="H668" s="1" t="s">
        <v>119</v>
      </c>
      <c r="I668" s="1" t="s">
        <v>3814</v>
      </c>
      <c r="J668" s="1" t="s">
        <v>3815</v>
      </c>
      <c r="K668" s="1" t="s">
        <v>122</v>
      </c>
      <c r="L668" s="1" t="s">
        <v>3816</v>
      </c>
      <c r="M668" s="1" t="s">
        <v>33</v>
      </c>
      <c r="N668" s="1" t="s">
        <v>3817</v>
      </c>
      <c r="O668" s="1" t="s">
        <v>35</v>
      </c>
      <c r="P668" s="1" t="s">
        <v>3814</v>
      </c>
      <c r="Q668" s="1" t="s">
        <v>265</v>
      </c>
      <c r="R668" s="1" t="s">
        <v>37</v>
      </c>
      <c r="S668" s="1" t="s">
        <v>37</v>
      </c>
      <c r="T668" s="1" t="s">
        <v>37</v>
      </c>
      <c r="U668" s="1" t="s">
        <v>37</v>
      </c>
    </row>
    <row r="669" spans="1:21">
      <c r="A669" s="1" t="s">
        <v>3818</v>
      </c>
      <c r="B669" s="1" t="s">
        <v>115</v>
      </c>
      <c r="C669" s="1" t="s">
        <v>116</v>
      </c>
      <c r="D669" s="1" t="s">
        <v>41</v>
      </c>
      <c r="E669" s="1" t="s">
        <v>25</v>
      </c>
      <c r="F669" s="1" t="s">
        <v>26</v>
      </c>
      <c r="G669" s="1" t="s">
        <v>3819</v>
      </c>
      <c r="H669" s="1" t="s">
        <v>129</v>
      </c>
      <c r="I669" s="1" t="s">
        <v>3820</v>
      </c>
      <c r="J669" s="1" t="s">
        <v>3821</v>
      </c>
      <c r="K669" s="1" t="s">
        <v>636</v>
      </c>
      <c r="L669" s="1" t="s">
        <v>3822</v>
      </c>
      <c r="M669" s="1" t="s">
        <v>33</v>
      </c>
      <c r="N669" s="1" t="s">
        <v>3823</v>
      </c>
      <c r="O669" s="1" t="s">
        <v>35</v>
      </c>
      <c r="P669" s="1" t="s">
        <v>3820</v>
      </c>
      <c r="Q669" s="1" t="s">
        <v>544</v>
      </c>
      <c r="R669" s="1" t="s">
        <v>37</v>
      </c>
      <c r="S669" s="1" t="s">
        <v>37</v>
      </c>
      <c r="T669" s="1" t="s">
        <v>37</v>
      </c>
      <c r="U669" s="1" t="s">
        <v>37</v>
      </c>
    </row>
    <row r="670" spans="1:21">
      <c r="A670" s="1" t="s">
        <v>3824</v>
      </c>
      <c r="B670" s="1" t="s">
        <v>39</v>
      </c>
      <c r="C670" s="1" t="s">
        <v>40</v>
      </c>
      <c r="D670" s="1" t="s">
        <v>24</v>
      </c>
      <c r="E670" s="1" t="s">
        <v>25</v>
      </c>
      <c r="F670" s="1" t="s">
        <v>26</v>
      </c>
      <c r="G670" s="1" t="s">
        <v>3825</v>
      </c>
      <c r="H670" s="1" t="s">
        <v>90</v>
      </c>
      <c r="I670" s="1" t="s">
        <v>3826</v>
      </c>
      <c r="J670" s="1" t="s">
        <v>3827</v>
      </c>
      <c r="K670" s="1" t="s">
        <v>976</v>
      </c>
      <c r="L670" s="1" t="s">
        <v>3627</v>
      </c>
      <c r="M670" s="1" t="s">
        <v>33</v>
      </c>
      <c r="N670" s="1" t="s">
        <v>3828</v>
      </c>
      <c r="O670" s="1" t="s">
        <v>35</v>
      </c>
      <c r="P670" s="1" t="s">
        <v>3826</v>
      </c>
      <c r="Q670" s="1" t="s">
        <v>205</v>
      </c>
      <c r="R670" s="1" t="s">
        <v>37</v>
      </c>
      <c r="S670" s="1" t="s">
        <v>37</v>
      </c>
      <c r="T670" s="1" t="s">
        <v>37</v>
      </c>
      <c r="U670" s="1" t="s">
        <v>37</v>
      </c>
    </row>
    <row r="671" spans="1:21">
      <c r="A671" s="1" t="s">
        <v>3829</v>
      </c>
      <c r="B671" s="1" t="s">
        <v>115</v>
      </c>
      <c r="C671" s="1" t="s">
        <v>116</v>
      </c>
      <c r="D671" s="1" t="s">
        <v>41</v>
      </c>
      <c r="E671" s="1" t="s">
        <v>25</v>
      </c>
      <c r="F671" s="1" t="s">
        <v>72</v>
      </c>
      <c r="G671" s="1" t="s">
        <v>3830</v>
      </c>
      <c r="H671" s="1" t="s">
        <v>107</v>
      </c>
      <c r="I671" s="1" t="s">
        <v>3831</v>
      </c>
      <c r="J671" s="1" t="s">
        <v>3832</v>
      </c>
      <c r="K671" s="1" t="s">
        <v>349</v>
      </c>
      <c r="L671" s="1" t="s">
        <v>1338</v>
      </c>
      <c r="M671" s="1" t="s">
        <v>59</v>
      </c>
      <c r="N671" s="1" t="s">
        <v>3833</v>
      </c>
      <c r="O671" s="1" t="s">
        <v>35</v>
      </c>
      <c r="P671" s="1" t="s">
        <v>3831</v>
      </c>
      <c r="Q671" s="1" t="s">
        <v>87</v>
      </c>
      <c r="R671" s="1" t="s">
        <v>37</v>
      </c>
      <c r="S671" s="1" t="s">
        <v>37</v>
      </c>
      <c r="T671" s="1" t="s">
        <v>37</v>
      </c>
      <c r="U671" s="1" t="s">
        <v>37</v>
      </c>
    </row>
    <row r="672" spans="1:21">
      <c r="A672" s="1" t="s">
        <v>3834</v>
      </c>
      <c r="B672" s="1" t="s">
        <v>22</v>
      </c>
      <c r="C672" s="1" t="s">
        <v>23</v>
      </c>
      <c r="D672" s="1" t="s">
        <v>24</v>
      </c>
      <c r="E672" s="1" t="s">
        <v>992</v>
      </c>
      <c r="F672" s="1" t="s">
        <v>127</v>
      </c>
      <c r="G672" s="1" t="s">
        <v>3835</v>
      </c>
      <c r="H672" s="1" t="s">
        <v>99</v>
      </c>
      <c r="I672" s="1" t="s">
        <v>3836</v>
      </c>
      <c r="J672" s="1" t="s">
        <v>3837</v>
      </c>
      <c r="K672" s="1" t="s">
        <v>1350</v>
      </c>
      <c r="L672" s="1" t="s">
        <v>1312</v>
      </c>
      <c r="M672" s="1" t="s">
        <v>33</v>
      </c>
      <c r="N672" s="1" t="s">
        <v>3838</v>
      </c>
      <c r="O672" s="1" t="s">
        <v>35</v>
      </c>
      <c r="P672" s="1" t="s">
        <v>3836</v>
      </c>
      <c r="Q672" s="1" t="s">
        <v>205</v>
      </c>
      <c r="R672" s="1" t="s">
        <v>37</v>
      </c>
      <c r="S672" s="1" t="s">
        <v>37</v>
      </c>
      <c r="T672" s="1" t="s">
        <v>37</v>
      </c>
      <c r="U672" s="1" t="s">
        <v>37</v>
      </c>
    </row>
    <row r="673" spans="1:21">
      <c r="A673" s="1" t="s">
        <v>3839</v>
      </c>
      <c r="B673" s="1" t="s">
        <v>115</v>
      </c>
      <c r="C673" s="1" t="s">
        <v>116</v>
      </c>
      <c r="D673" s="1" t="s">
        <v>24</v>
      </c>
      <c r="E673" s="1" t="s">
        <v>992</v>
      </c>
      <c r="F673" s="1" t="s">
        <v>117</v>
      </c>
      <c r="G673" s="1" t="s">
        <v>3840</v>
      </c>
      <c r="H673" s="1" t="s">
        <v>107</v>
      </c>
      <c r="I673" s="1" t="s">
        <v>3841</v>
      </c>
      <c r="J673" s="1" t="s">
        <v>3842</v>
      </c>
      <c r="K673" s="1" t="s">
        <v>1094</v>
      </c>
      <c r="L673" s="1" t="s">
        <v>3843</v>
      </c>
      <c r="M673" s="1" t="s">
        <v>49</v>
      </c>
      <c r="N673" s="1" t="s">
        <v>3844</v>
      </c>
      <c r="O673" s="1" t="s">
        <v>35</v>
      </c>
      <c r="P673" s="1" t="s">
        <v>3841</v>
      </c>
      <c r="Q673" s="1" t="s">
        <v>618</v>
      </c>
      <c r="R673" s="1" t="s">
        <v>37</v>
      </c>
      <c r="S673" s="1" t="s">
        <v>37</v>
      </c>
      <c r="T673" s="1" t="s">
        <v>37</v>
      </c>
      <c r="U673" s="1" t="s">
        <v>37</v>
      </c>
    </row>
    <row r="674" spans="1:21">
      <c r="A674" s="1" t="s">
        <v>3845</v>
      </c>
      <c r="B674" s="1" t="s">
        <v>115</v>
      </c>
      <c r="C674" s="1" t="s">
        <v>116</v>
      </c>
      <c r="D674" s="1" t="s">
        <v>41</v>
      </c>
      <c r="E674" s="1" t="s">
        <v>25</v>
      </c>
      <c r="F674" s="1" t="s">
        <v>26</v>
      </c>
      <c r="G674" s="1" t="s">
        <v>3846</v>
      </c>
      <c r="H674" s="1" t="s">
        <v>119</v>
      </c>
      <c r="I674" s="1" t="s">
        <v>3847</v>
      </c>
      <c r="J674" s="1" t="s">
        <v>3848</v>
      </c>
      <c r="K674" s="1" t="s">
        <v>240</v>
      </c>
      <c r="L674" s="1" t="s">
        <v>3849</v>
      </c>
      <c r="M674" s="1" t="s">
        <v>33</v>
      </c>
      <c r="N674" s="1" t="s">
        <v>3850</v>
      </c>
      <c r="O674" s="1" t="s">
        <v>35</v>
      </c>
      <c r="P674" s="1" t="s">
        <v>3847</v>
      </c>
      <c r="Q674" s="1" t="s">
        <v>129</v>
      </c>
      <c r="R674" s="1" t="s">
        <v>37</v>
      </c>
      <c r="S674" s="1" t="s">
        <v>37</v>
      </c>
      <c r="T674" s="1" t="s">
        <v>37</v>
      </c>
      <c r="U674" s="1" t="s">
        <v>37</v>
      </c>
    </row>
    <row r="675" spans="1:21">
      <c r="A675" s="1" t="s">
        <v>3851</v>
      </c>
      <c r="B675" s="1" t="s">
        <v>39</v>
      </c>
      <c r="C675" s="1" t="s">
        <v>40</v>
      </c>
      <c r="D675" s="1" t="s">
        <v>41</v>
      </c>
      <c r="E675" s="1" t="s">
        <v>992</v>
      </c>
      <c r="F675" s="1" t="s">
        <v>26</v>
      </c>
      <c r="G675" s="1" t="s">
        <v>3852</v>
      </c>
      <c r="H675" s="1" t="s">
        <v>64</v>
      </c>
      <c r="I675" s="1" t="s">
        <v>3853</v>
      </c>
      <c r="J675" s="1" t="s">
        <v>3854</v>
      </c>
      <c r="K675" s="1" t="s">
        <v>489</v>
      </c>
      <c r="L675" s="1" t="s">
        <v>3855</v>
      </c>
      <c r="M675" s="1" t="s">
        <v>59</v>
      </c>
      <c r="N675" s="1" t="s">
        <v>3856</v>
      </c>
      <c r="O675" s="1" t="s">
        <v>35</v>
      </c>
      <c r="P675" s="1" t="s">
        <v>3853</v>
      </c>
      <c r="Q675" s="1" t="s">
        <v>484</v>
      </c>
      <c r="R675" s="1" t="s">
        <v>37</v>
      </c>
      <c r="S675" s="1" t="s">
        <v>37</v>
      </c>
      <c r="T675" s="1" t="s">
        <v>37</v>
      </c>
      <c r="U675" s="1" t="s">
        <v>37</v>
      </c>
    </row>
    <row r="676" spans="1:21">
      <c r="A676" s="1" t="s">
        <v>3857</v>
      </c>
      <c r="B676" s="1" t="s">
        <v>22</v>
      </c>
      <c r="C676" s="1" t="s">
        <v>23</v>
      </c>
      <c r="D676" s="1" t="s">
        <v>41</v>
      </c>
      <c r="E676" s="1" t="s">
        <v>25</v>
      </c>
      <c r="F676" s="1" t="s">
        <v>42</v>
      </c>
      <c r="G676" s="1" t="s">
        <v>3858</v>
      </c>
      <c r="H676" s="1" t="s">
        <v>99</v>
      </c>
      <c r="I676" s="1" t="s">
        <v>3859</v>
      </c>
      <c r="J676" s="1" t="s">
        <v>3860</v>
      </c>
      <c r="K676" s="1" t="s">
        <v>742</v>
      </c>
      <c r="L676" s="1" t="s">
        <v>3861</v>
      </c>
      <c r="M676" s="1" t="s">
        <v>59</v>
      </c>
      <c r="N676" s="1" t="s">
        <v>3862</v>
      </c>
      <c r="O676" s="1" t="s">
        <v>35</v>
      </c>
      <c r="P676" s="1" t="s">
        <v>3859</v>
      </c>
      <c r="Q676" s="1" t="s">
        <v>212</v>
      </c>
      <c r="R676" s="1" t="s">
        <v>37</v>
      </c>
      <c r="S676" s="1" t="s">
        <v>37</v>
      </c>
      <c r="T676" s="1" t="s">
        <v>37</v>
      </c>
      <c r="U676" s="1" t="s">
        <v>37</v>
      </c>
    </row>
    <row r="677" spans="1:21">
      <c r="A677" s="1" t="s">
        <v>3863</v>
      </c>
      <c r="B677" s="1" t="s">
        <v>115</v>
      </c>
      <c r="C677" s="1" t="s">
        <v>116</v>
      </c>
      <c r="D677" s="1" t="s">
        <v>24</v>
      </c>
      <c r="E677" s="1" t="s">
        <v>992</v>
      </c>
      <c r="F677" s="1" t="s">
        <v>127</v>
      </c>
      <c r="G677" s="1" t="s">
        <v>2803</v>
      </c>
      <c r="H677" s="1" t="s">
        <v>107</v>
      </c>
      <c r="I677" s="1" t="s">
        <v>3644</v>
      </c>
      <c r="J677" s="1" t="s">
        <v>3645</v>
      </c>
      <c r="K677" s="1" t="s">
        <v>102</v>
      </c>
      <c r="L677" s="1" t="s">
        <v>1002</v>
      </c>
      <c r="M677" s="1" t="s">
        <v>49</v>
      </c>
      <c r="N677" s="1" t="s">
        <v>3646</v>
      </c>
      <c r="O677" s="1" t="s">
        <v>35</v>
      </c>
      <c r="P677" s="1" t="s">
        <v>3644</v>
      </c>
      <c r="Q677" s="1" t="s">
        <v>182</v>
      </c>
      <c r="R677" s="1" t="s">
        <v>37</v>
      </c>
      <c r="S677" s="1" t="s">
        <v>37</v>
      </c>
      <c r="T677" s="1" t="s">
        <v>37</v>
      </c>
      <c r="U677" s="1" t="s">
        <v>37</v>
      </c>
    </row>
    <row r="678" spans="1:21">
      <c r="A678" s="1" t="s">
        <v>3864</v>
      </c>
      <c r="B678" s="1" t="s">
        <v>115</v>
      </c>
      <c r="C678" s="1" t="s">
        <v>116</v>
      </c>
      <c r="D678" s="1" t="s">
        <v>24</v>
      </c>
      <c r="E678" s="1" t="s">
        <v>25</v>
      </c>
      <c r="F678" s="1" t="s">
        <v>72</v>
      </c>
      <c r="G678" s="1" t="s">
        <v>3865</v>
      </c>
      <c r="H678" s="1" t="s">
        <v>28</v>
      </c>
      <c r="I678" s="1" t="s">
        <v>3866</v>
      </c>
      <c r="J678" s="1" t="s">
        <v>3867</v>
      </c>
      <c r="K678" s="1" t="s">
        <v>2260</v>
      </c>
      <c r="L678" s="1" t="s">
        <v>3868</v>
      </c>
      <c r="M678" s="1" t="s">
        <v>59</v>
      </c>
      <c r="N678" s="1" t="s">
        <v>3869</v>
      </c>
      <c r="O678" s="1" t="s">
        <v>35</v>
      </c>
      <c r="P678" s="1" t="s">
        <v>3866</v>
      </c>
      <c r="Q678" s="1" t="s">
        <v>663</v>
      </c>
      <c r="R678" s="1" t="s">
        <v>37</v>
      </c>
      <c r="S678" s="1" t="s">
        <v>37</v>
      </c>
      <c r="T678" s="1" t="s">
        <v>37</v>
      </c>
      <c r="U678" s="1" t="s">
        <v>37</v>
      </c>
    </row>
    <row r="679" spans="1:21">
      <c r="A679" s="1" t="s">
        <v>3870</v>
      </c>
      <c r="B679" s="1" t="s">
        <v>22</v>
      </c>
      <c r="C679" s="1" t="s">
        <v>23</v>
      </c>
      <c r="D679" s="1" t="s">
        <v>24</v>
      </c>
      <c r="E679" s="1" t="s">
        <v>25</v>
      </c>
      <c r="F679" s="1" t="s">
        <v>117</v>
      </c>
      <c r="G679" s="1" t="s">
        <v>3871</v>
      </c>
      <c r="H679" s="1" t="s">
        <v>129</v>
      </c>
      <c r="I679" s="1" t="s">
        <v>3872</v>
      </c>
      <c r="J679" s="1" t="s">
        <v>3873</v>
      </c>
      <c r="K679" s="1" t="s">
        <v>636</v>
      </c>
      <c r="L679" s="1" t="s">
        <v>85</v>
      </c>
      <c r="M679" s="1" t="s">
        <v>49</v>
      </c>
      <c r="N679" s="1" t="s">
        <v>3874</v>
      </c>
      <c r="O679" s="1" t="s">
        <v>35</v>
      </c>
      <c r="P679" s="1" t="s">
        <v>3872</v>
      </c>
      <c r="Q679" s="1" t="s">
        <v>90</v>
      </c>
      <c r="R679" s="1" t="s">
        <v>37</v>
      </c>
      <c r="S679" s="1" t="s">
        <v>37</v>
      </c>
      <c r="T679" s="1" t="s">
        <v>37</v>
      </c>
      <c r="U679" s="1" t="s">
        <v>37</v>
      </c>
    </row>
    <row r="680" spans="1:21">
      <c r="A680" s="1" t="s">
        <v>3875</v>
      </c>
      <c r="B680" s="1" t="s">
        <v>39</v>
      </c>
      <c r="C680" s="1" t="s">
        <v>40</v>
      </c>
      <c r="D680" s="1" t="s">
        <v>41</v>
      </c>
      <c r="E680" s="1" t="s">
        <v>992</v>
      </c>
      <c r="F680" s="1" t="s">
        <v>26</v>
      </c>
      <c r="G680" s="1" t="s">
        <v>3876</v>
      </c>
      <c r="H680" s="1" t="s">
        <v>99</v>
      </c>
      <c r="I680" s="1" t="s">
        <v>3877</v>
      </c>
      <c r="J680" s="1" t="s">
        <v>3878</v>
      </c>
      <c r="K680" s="1" t="s">
        <v>156</v>
      </c>
      <c r="L680" s="1" t="s">
        <v>3879</v>
      </c>
      <c r="M680" s="1" t="s">
        <v>33</v>
      </c>
      <c r="N680" s="1" t="s">
        <v>3880</v>
      </c>
      <c r="O680" s="1" t="s">
        <v>35</v>
      </c>
      <c r="P680" s="1" t="s">
        <v>3877</v>
      </c>
      <c r="Q680" s="1" t="s">
        <v>407</v>
      </c>
      <c r="R680" s="1" t="s">
        <v>37</v>
      </c>
      <c r="S680" s="1" t="s">
        <v>37</v>
      </c>
      <c r="T680" s="1" t="s">
        <v>37</v>
      </c>
      <c r="U680" s="1" t="s">
        <v>37</v>
      </c>
    </row>
    <row r="681" spans="1:21">
      <c r="A681" s="1" t="s">
        <v>3881</v>
      </c>
      <c r="B681" s="1" t="s">
        <v>22</v>
      </c>
      <c r="C681" s="1" t="s">
        <v>23</v>
      </c>
      <c r="D681" s="1" t="s">
        <v>24</v>
      </c>
      <c r="E681" s="1" t="s">
        <v>992</v>
      </c>
      <c r="F681" s="1" t="s">
        <v>117</v>
      </c>
      <c r="G681" s="1" t="s">
        <v>2985</v>
      </c>
      <c r="H681" s="1" t="s">
        <v>90</v>
      </c>
      <c r="I681" s="1" t="s">
        <v>3882</v>
      </c>
      <c r="J681" s="1" t="s">
        <v>3883</v>
      </c>
      <c r="K681" s="1" t="s">
        <v>1482</v>
      </c>
      <c r="L681" s="1" t="s">
        <v>2553</v>
      </c>
      <c r="M681" s="1" t="s">
        <v>33</v>
      </c>
      <c r="N681" s="1" t="s">
        <v>3884</v>
      </c>
      <c r="O681" s="1" t="s">
        <v>35</v>
      </c>
      <c r="P681" s="1" t="s">
        <v>3882</v>
      </c>
      <c r="Q681" s="1" t="s">
        <v>583</v>
      </c>
      <c r="R681" s="1" t="s">
        <v>37</v>
      </c>
      <c r="S681" s="1" t="s">
        <v>37</v>
      </c>
      <c r="T681" s="1" t="s">
        <v>37</v>
      </c>
      <c r="U681" s="1" t="s">
        <v>37</v>
      </c>
    </row>
    <row r="682" spans="1:21">
      <c r="A682" s="1" t="s">
        <v>3885</v>
      </c>
      <c r="B682" s="1" t="s">
        <v>115</v>
      </c>
      <c r="C682" s="1" t="s">
        <v>116</v>
      </c>
      <c r="D682" s="1" t="s">
        <v>24</v>
      </c>
      <c r="E682" s="1" t="s">
        <v>25</v>
      </c>
      <c r="F682" s="1" t="s">
        <v>42</v>
      </c>
      <c r="G682" s="1" t="s">
        <v>369</v>
      </c>
      <c r="H682" s="1" t="s">
        <v>253</v>
      </c>
      <c r="I682" s="1" t="s">
        <v>3886</v>
      </c>
      <c r="J682" s="1" t="s">
        <v>3887</v>
      </c>
      <c r="K682" s="1" t="s">
        <v>148</v>
      </c>
      <c r="L682" s="1" t="s">
        <v>1607</v>
      </c>
      <c r="M682" s="1" t="s">
        <v>49</v>
      </c>
      <c r="N682" s="1" t="s">
        <v>369</v>
      </c>
      <c r="O682" s="1" t="s">
        <v>35</v>
      </c>
      <c r="P682" s="1" t="s">
        <v>3886</v>
      </c>
      <c r="Q682" s="1" t="s">
        <v>434</v>
      </c>
      <c r="R682" s="1" t="s">
        <v>37</v>
      </c>
      <c r="S682" s="1" t="s">
        <v>37</v>
      </c>
      <c r="T682" s="1" t="s">
        <v>37</v>
      </c>
      <c r="U682" s="1" t="s">
        <v>37</v>
      </c>
    </row>
    <row r="683" spans="1:21">
      <c r="A683" s="1" t="s">
        <v>3888</v>
      </c>
      <c r="B683" s="1" t="s">
        <v>115</v>
      </c>
      <c r="C683" s="1" t="s">
        <v>116</v>
      </c>
      <c r="D683" s="1" t="s">
        <v>41</v>
      </c>
      <c r="E683" s="1" t="s">
        <v>25</v>
      </c>
      <c r="F683" s="1" t="s">
        <v>72</v>
      </c>
      <c r="G683" s="1" t="s">
        <v>3889</v>
      </c>
      <c r="H683" s="1" t="s">
        <v>253</v>
      </c>
      <c r="I683" s="1" t="s">
        <v>3890</v>
      </c>
      <c r="J683" s="1" t="s">
        <v>3891</v>
      </c>
      <c r="K683" s="1" t="s">
        <v>1350</v>
      </c>
      <c r="L683" s="1" t="s">
        <v>357</v>
      </c>
      <c r="M683" s="1" t="s">
        <v>59</v>
      </c>
      <c r="N683" s="1" t="s">
        <v>3889</v>
      </c>
      <c r="O683" s="1" t="s">
        <v>35</v>
      </c>
      <c r="P683" s="1" t="s">
        <v>3890</v>
      </c>
      <c r="Q683" s="1" t="s">
        <v>28</v>
      </c>
      <c r="R683" s="1" t="s">
        <v>37</v>
      </c>
      <c r="S683" s="1" t="s">
        <v>37</v>
      </c>
      <c r="T683" s="1" t="s">
        <v>37</v>
      </c>
      <c r="U683" s="1" t="s">
        <v>37</v>
      </c>
    </row>
    <row r="684" spans="1:21">
      <c r="A684" s="1" t="s">
        <v>3892</v>
      </c>
      <c r="B684" s="1" t="s">
        <v>39</v>
      </c>
      <c r="C684" s="1" t="s">
        <v>40</v>
      </c>
      <c r="D684" s="1" t="s">
        <v>41</v>
      </c>
      <c r="E684" s="1" t="s">
        <v>25</v>
      </c>
      <c r="F684" s="1" t="s">
        <v>127</v>
      </c>
      <c r="G684" s="1" t="s">
        <v>3893</v>
      </c>
      <c r="H684" s="1" t="s">
        <v>90</v>
      </c>
      <c r="I684" s="1" t="s">
        <v>3894</v>
      </c>
      <c r="J684" s="1" t="s">
        <v>3895</v>
      </c>
      <c r="K684" s="1" t="s">
        <v>595</v>
      </c>
      <c r="L684" s="1" t="s">
        <v>1459</v>
      </c>
      <c r="M684" s="1" t="s">
        <v>33</v>
      </c>
      <c r="N684" s="1" t="s">
        <v>3896</v>
      </c>
      <c r="O684" s="1" t="s">
        <v>35</v>
      </c>
      <c r="P684" s="1" t="s">
        <v>3894</v>
      </c>
      <c r="Q684" s="1" t="s">
        <v>151</v>
      </c>
      <c r="R684" s="1" t="s">
        <v>37</v>
      </c>
      <c r="S684" s="1" t="s">
        <v>37</v>
      </c>
      <c r="T684" s="1" t="s">
        <v>37</v>
      </c>
      <c r="U684" s="1" t="s">
        <v>37</v>
      </c>
    </row>
    <row r="685" spans="1:21">
      <c r="A685" s="1" t="s">
        <v>3897</v>
      </c>
      <c r="B685" s="1" t="s">
        <v>22</v>
      </c>
      <c r="C685" s="1" t="s">
        <v>23</v>
      </c>
      <c r="D685" s="1" t="s">
        <v>24</v>
      </c>
      <c r="E685" s="1" t="s">
        <v>992</v>
      </c>
      <c r="F685" s="1" t="s">
        <v>127</v>
      </c>
      <c r="G685" s="1" t="s">
        <v>3898</v>
      </c>
      <c r="H685" s="1" t="s">
        <v>107</v>
      </c>
      <c r="I685" s="1" t="s">
        <v>3899</v>
      </c>
      <c r="J685" s="1" t="s">
        <v>3900</v>
      </c>
      <c r="K685" s="1" t="s">
        <v>391</v>
      </c>
      <c r="L685" s="1" t="s">
        <v>3901</v>
      </c>
      <c r="M685" s="1" t="s">
        <v>33</v>
      </c>
      <c r="N685" s="1" t="s">
        <v>3902</v>
      </c>
      <c r="O685" s="1" t="s">
        <v>35</v>
      </c>
      <c r="P685" s="1" t="s">
        <v>3899</v>
      </c>
      <c r="Q685" s="1" t="s">
        <v>468</v>
      </c>
      <c r="R685" s="1" t="s">
        <v>37</v>
      </c>
      <c r="S685" s="1" t="s">
        <v>37</v>
      </c>
      <c r="T685" s="1" t="s">
        <v>37</v>
      </c>
      <c r="U685" s="1" t="s">
        <v>37</v>
      </c>
    </row>
    <row r="686" spans="1:21">
      <c r="A686" s="1" t="s">
        <v>3903</v>
      </c>
      <c r="B686" s="1" t="s">
        <v>115</v>
      </c>
      <c r="C686" s="1" t="s">
        <v>116</v>
      </c>
      <c r="D686" s="1" t="s">
        <v>24</v>
      </c>
      <c r="E686" s="1" t="s">
        <v>25</v>
      </c>
      <c r="F686" s="1" t="s">
        <v>72</v>
      </c>
      <c r="G686" s="1" t="s">
        <v>3904</v>
      </c>
      <c r="H686" s="1" t="s">
        <v>90</v>
      </c>
      <c r="I686" s="1" t="s">
        <v>3905</v>
      </c>
      <c r="J686" s="1" t="s">
        <v>3906</v>
      </c>
      <c r="K686" s="1" t="s">
        <v>541</v>
      </c>
      <c r="L686" s="1" t="s">
        <v>248</v>
      </c>
      <c r="M686" s="1" t="s">
        <v>33</v>
      </c>
      <c r="N686" s="1" t="s">
        <v>3907</v>
      </c>
      <c r="O686" s="1" t="s">
        <v>35</v>
      </c>
      <c r="P686" s="1" t="s">
        <v>3905</v>
      </c>
      <c r="Q686" s="1" t="s">
        <v>752</v>
      </c>
      <c r="R686" s="1" t="s">
        <v>37</v>
      </c>
      <c r="S686" s="1" t="s">
        <v>37</v>
      </c>
      <c r="T686" s="1" t="s">
        <v>37</v>
      </c>
      <c r="U686" s="1" t="s">
        <v>37</v>
      </c>
    </row>
    <row r="687" spans="1:21">
      <c r="A687" s="1" t="s">
        <v>3908</v>
      </c>
      <c r="B687" s="1" t="s">
        <v>115</v>
      </c>
      <c r="C687" s="1" t="s">
        <v>116</v>
      </c>
      <c r="D687" s="1" t="s">
        <v>24</v>
      </c>
      <c r="E687" s="1" t="s">
        <v>25</v>
      </c>
      <c r="F687" s="1" t="s">
        <v>53</v>
      </c>
      <c r="G687" s="1" t="s">
        <v>3909</v>
      </c>
      <c r="H687" s="1" t="s">
        <v>107</v>
      </c>
      <c r="I687" s="1" t="s">
        <v>3910</v>
      </c>
      <c r="J687" s="1" t="s">
        <v>3911</v>
      </c>
      <c r="K687" s="1" t="s">
        <v>906</v>
      </c>
      <c r="L687" s="1" t="s">
        <v>1440</v>
      </c>
      <c r="M687" s="1" t="s">
        <v>59</v>
      </c>
      <c r="N687" s="1" t="s">
        <v>3912</v>
      </c>
      <c r="O687" s="1" t="s">
        <v>35</v>
      </c>
      <c r="P687" s="1" t="s">
        <v>3910</v>
      </c>
      <c r="Q687" s="1" t="s">
        <v>544</v>
      </c>
      <c r="R687" s="1" t="s">
        <v>37</v>
      </c>
      <c r="S687" s="1" t="s">
        <v>37</v>
      </c>
      <c r="T687" s="1" t="s">
        <v>37</v>
      </c>
      <c r="U687" s="1" t="s">
        <v>37</v>
      </c>
    </row>
    <row r="688" spans="1:21">
      <c r="A688" s="1" t="s">
        <v>3913</v>
      </c>
      <c r="B688" s="1" t="s">
        <v>115</v>
      </c>
      <c r="C688" s="1" t="s">
        <v>116</v>
      </c>
      <c r="D688" s="1" t="s">
        <v>24</v>
      </c>
      <c r="E688" s="1" t="s">
        <v>25</v>
      </c>
      <c r="F688" s="1" t="s">
        <v>72</v>
      </c>
      <c r="G688" s="1" t="s">
        <v>3914</v>
      </c>
      <c r="H688" s="1" t="s">
        <v>107</v>
      </c>
      <c r="I688" s="1" t="s">
        <v>3915</v>
      </c>
      <c r="J688" s="1" t="s">
        <v>3916</v>
      </c>
      <c r="K688" s="1" t="s">
        <v>906</v>
      </c>
      <c r="L688" s="1" t="s">
        <v>3917</v>
      </c>
      <c r="M688" s="1" t="s">
        <v>59</v>
      </c>
      <c r="N688" s="1" t="s">
        <v>3918</v>
      </c>
      <c r="O688" s="1" t="s">
        <v>35</v>
      </c>
      <c r="P688" s="1" t="s">
        <v>3915</v>
      </c>
      <c r="Q688" s="1" t="s">
        <v>64</v>
      </c>
      <c r="R688" s="1" t="s">
        <v>37</v>
      </c>
      <c r="S688" s="1" t="s">
        <v>37</v>
      </c>
      <c r="T688" s="1" t="s">
        <v>37</v>
      </c>
      <c r="U688" s="1" t="s">
        <v>37</v>
      </c>
    </row>
    <row r="689" spans="1:21">
      <c r="A689" s="1" t="s">
        <v>3919</v>
      </c>
      <c r="B689" s="1" t="s">
        <v>22</v>
      </c>
      <c r="C689" s="1" t="s">
        <v>23</v>
      </c>
      <c r="D689" s="1" t="s">
        <v>24</v>
      </c>
      <c r="E689" s="1" t="s">
        <v>992</v>
      </c>
      <c r="F689" s="1" t="s">
        <v>53</v>
      </c>
      <c r="G689" s="1" t="s">
        <v>3920</v>
      </c>
      <c r="H689" s="1" t="s">
        <v>99</v>
      </c>
      <c r="I689" s="1" t="s">
        <v>3921</v>
      </c>
      <c r="J689" s="1" t="s">
        <v>3922</v>
      </c>
      <c r="K689" s="1" t="s">
        <v>847</v>
      </c>
      <c r="L689" s="1" t="s">
        <v>3923</v>
      </c>
      <c r="M689" s="1" t="s">
        <v>49</v>
      </c>
      <c r="N689" s="1" t="s">
        <v>3924</v>
      </c>
      <c r="O689" s="1" t="s">
        <v>35</v>
      </c>
      <c r="P689" s="1" t="s">
        <v>3921</v>
      </c>
      <c r="Q689" s="1" t="s">
        <v>550</v>
      </c>
      <c r="R689" s="1" t="s">
        <v>37</v>
      </c>
      <c r="S689" s="1" t="s">
        <v>37</v>
      </c>
      <c r="T689" s="1" t="s">
        <v>37</v>
      </c>
      <c r="U689" s="1" t="s">
        <v>37</v>
      </c>
    </row>
    <row r="690" spans="1:21">
      <c r="A690" s="1" t="s">
        <v>3925</v>
      </c>
      <c r="B690" s="1" t="s">
        <v>39</v>
      </c>
      <c r="C690" s="1" t="s">
        <v>40</v>
      </c>
      <c r="D690" s="1" t="s">
        <v>24</v>
      </c>
      <c r="E690" s="1" t="s">
        <v>992</v>
      </c>
      <c r="F690" s="1" t="s">
        <v>72</v>
      </c>
      <c r="G690" s="1" t="s">
        <v>3926</v>
      </c>
      <c r="H690" s="1" t="s">
        <v>107</v>
      </c>
      <c r="I690" s="1" t="s">
        <v>3927</v>
      </c>
      <c r="J690" s="1" t="s">
        <v>3928</v>
      </c>
      <c r="K690" s="1" t="s">
        <v>522</v>
      </c>
      <c r="L690" s="1" t="s">
        <v>3929</v>
      </c>
      <c r="M690" s="1" t="s">
        <v>49</v>
      </c>
      <c r="N690" s="1" t="s">
        <v>3930</v>
      </c>
      <c r="O690" s="1" t="s">
        <v>35</v>
      </c>
      <c r="P690" s="1" t="s">
        <v>3927</v>
      </c>
      <c r="Q690" s="1" t="s">
        <v>440</v>
      </c>
      <c r="R690" s="1" t="s">
        <v>37</v>
      </c>
      <c r="S690" s="1" t="s">
        <v>37</v>
      </c>
      <c r="T690" s="1" t="s">
        <v>37</v>
      </c>
      <c r="U690" s="1" t="s">
        <v>37</v>
      </c>
    </row>
    <row r="691" spans="1:21">
      <c r="A691" s="1" t="s">
        <v>3931</v>
      </c>
      <c r="B691" s="1" t="s">
        <v>22</v>
      </c>
      <c r="C691" s="1" t="s">
        <v>23</v>
      </c>
      <c r="D691" s="1" t="s">
        <v>41</v>
      </c>
      <c r="E691" s="1" t="s">
        <v>25</v>
      </c>
      <c r="F691" s="1" t="s">
        <v>117</v>
      </c>
      <c r="G691" s="1" t="s">
        <v>3932</v>
      </c>
      <c r="H691" s="1" t="s">
        <v>119</v>
      </c>
      <c r="I691" s="1" t="s">
        <v>3933</v>
      </c>
      <c r="J691" s="1" t="s">
        <v>3934</v>
      </c>
      <c r="K691" s="1" t="s">
        <v>489</v>
      </c>
      <c r="L691" s="1" t="s">
        <v>1009</v>
      </c>
      <c r="M691" s="1" t="s">
        <v>49</v>
      </c>
      <c r="N691" s="1" t="s">
        <v>3935</v>
      </c>
      <c r="O691" s="1" t="s">
        <v>35</v>
      </c>
      <c r="P691" s="1" t="s">
        <v>3933</v>
      </c>
      <c r="Q691" s="1" t="s">
        <v>311</v>
      </c>
      <c r="R691" s="1" t="s">
        <v>37</v>
      </c>
      <c r="S691" s="1" t="s">
        <v>37</v>
      </c>
      <c r="T691" s="1" t="s">
        <v>37</v>
      </c>
      <c r="U691" s="1" t="s">
        <v>37</v>
      </c>
    </row>
    <row r="692" spans="1:21">
      <c r="A692" s="1" t="s">
        <v>3936</v>
      </c>
      <c r="B692" s="1" t="s">
        <v>39</v>
      </c>
      <c r="C692" s="1" t="s">
        <v>40</v>
      </c>
      <c r="D692" s="1" t="s">
        <v>24</v>
      </c>
      <c r="E692" s="1" t="s">
        <v>25</v>
      </c>
      <c r="F692" s="1" t="s">
        <v>72</v>
      </c>
      <c r="G692" s="1" t="s">
        <v>3937</v>
      </c>
      <c r="H692" s="1" t="s">
        <v>275</v>
      </c>
      <c r="I692" s="1" t="s">
        <v>3938</v>
      </c>
      <c r="J692" s="1" t="s">
        <v>3939</v>
      </c>
      <c r="K692" s="1" t="s">
        <v>270</v>
      </c>
      <c r="L692" s="1" t="s">
        <v>2458</v>
      </c>
      <c r="M692" s="1" t="s">
        <v>49</v>
      </c>
      <c r="N692" s="1" t="s">
        <v>3940</v>
      </c>
      <c r="O692" s="1" t="s">
        <v>35</v>
      </c>
      <c r="P692" s="1" t="s">
        <v>3938</v>
      </c>
      <c r="Q692" s="1" t="s">
        <v>257</v>
      </c>
      <c r="R692" s="1" t="s">
        <v>37</v>
      </c>
      <c r="S692" s="1" t="s">
        <v>37</v>
      </c>
      <c r="T692" s="1" t="s">
        <v>37</v>
      </c>
      <c r="U692" s="1" t="s">
        <v>37</v>
      </c>
    </row>
    <row r="693" spans="1:21">
      <c r="A693" s="1" t="s">
        <v>3941</v>
      </c>
      <c r="B693" s="1" t="s">
        <v>39</v>
      </c>
      <c r="C693" s="1" t="s">
        <v>40</v>
      </c>
      <c r="D693" s="1" t="s">
        <v>24</v>
      </c>
      <c r="E693" s="1" t="s">
        <v>992</v>
      </c>
      <c r="F693" s="1" t="s">
        <v>117</v>
      </c>
      <c r="G693" s="1" t="s">
        <v>3942</v>
      </c>
      <c r="H693" s="1" t="s">
        <v>28</v>
      </c>
      <c r="I693" s="1" t="s">
        <v>3943</v>
      </c>
      <c r="J693" s="1" t="s">
        <v>3944</v>
      </c>
      <c r="K693" s="1" t="s">
        <v>481</v>
      </c>
      <c r="L693" s="1" t="s">
        <v>284</v>
      </c>
      <c r="M693" s="1" t="s">
        <v>33</v>
      </c>
      <c r="N693" s="1" t="s">
        <v>3945</v>
      </c>
      <c r="O693" s="1" t="s">
        <v>35</v>
      </c>
      <c r="P693" s="1" t="s">
        <v>3943</v>
      </c>
      <c r="Q693" s="1" t="s">
        <v>849</v>
      </c>
      <c r="R693" s="1" t="s">
        <v>37</v>
      </c>
      <c r="S693" s="1" t="s">
        <v>37</v>
      </c>
      <c r="T693" s="1" t="s">
        <v>37</v>
      </c>
      <c r="U693" s="1" t="s">
        <v>37</v>
      </c>
    </row>
    <row r="694" spans="1:21">
      <c r="A694" s="1" t="s">
        <v>3946</v>
      </c>
      <c r="B694" s="1" t="s">
        <v>22</v>
      </c>
      <c r="C694" s="1" t="s">
        <v>23</v>
      </c>
      <c r="D694" s="1" t="s">
        <v>24</v>
      </c>
      <c r="E694" s="1" t="s">
        <v>992</v>
      </c>
      <c r="F694" s="1" t="s">
        <v>26</v>
      </c>
      <c r="G694" s="1" t="s">
        <v>3808</v>
      </c>
      <c r="H694" s="1" t="s">
        <v>99</v>
      </c>
      <c r="I694" s="1" t="s">
        <v>3947</v>
      </c>
      <c r="J694" s="1" t="s">
        <v>3948</v>
      </c>
      <c r="K694" s="1" t="s">
        <v>371</v>
      </c>
      <c r="L694" s="1" t="s">
        <v>817</v>
      </c>
      <c r="M694" s="1" t="s">
        <v>49</v>
      </c>
      <c r="N694" s="1" t="s">
        <v>3949</v>
      </c>
      <c r="O694" s="1" t="s">
        <v>35</v>
      </c>
      <c r="P694" s="1" t="s">
        <v>3947</v>
      </c>
      <c r="Q694" s="1" t="s">
        <v>944</v>
      </c>
      <c r="R694" s="1" t="s">
        <v>37</v>
      </c>
      <c r="S694" s="1" t="s">
        <v>37</v>
      </c>
      <c r="T694" s="1" t="s">
        <v>37</v>
      </c>
      <c r="U694" s="1" t="s">
        <v>37</v>
      </c>
    </row>
    <row r="695" spans="1:21">
      <c r="A695" s="1" t="s">
        <v>3950</v>
      </c>
      <c r="B695" s="1" t="s">
        <v>39</v>
      </c>
      <c r="C695" s="1" t="s">
        <v>40</v>
      </c>
      <c r="D695" s="1" t="s">
        <v>24</v>
      </c>
      <c r="E695" s="1" t="s">
        <v>25</v>
      </c>
      <c r="F695" s="1" t="s">
        <v>127</v>
      </c>
      <c r="G695" s="1" t="s">
        <v>3951</v>
      </c>
      <c r="H695" s="1" t="s">
        <v>28</v>
      </c>
      <c r="I695" s="1" t="s">
        <v>3952</v>
      </c>
      <c r="J695" s="1" t="s">
        <v>3953</v>
      </c>
      <c r="K695" s="1" t="s">
        <v>404</v>
      </c>
      <c r="L695" s="1" t="s">
        <v>3954</v>
      </c>
      <c r="M695" s="1" t="s">
        <v>49</v>
      </c>
      <c r="N695" s="1" t="s">
        <v>3955</v>
      </c>
      <c r="O695" s="1" t="s">
        <v>35</v>
      </c>
      <c r="P695" s="1" t="s">
        <v>3952</v>
      </c>
      <c r="Q695" s="1" t="s">
        <v>386</v>
      </c>
      <c r="R695" s="1" t="s">
        <v>37</v>
      </c>
      <c r="S695" s="1" t="s">
        <v>37</v>
      </c>
      <c r="T695" s="1" t="s">
        <v>37</v>
      </c>
      <c r="U695" s="1" t="s">
        <v>37</v>
      </c>
    </row>
    <row r="696" spans="1:21">
      <c r="A696" s="1" t="s">
        <v>3956</v>
      </c>
      <c r="B696" s="1" t="s">
        <v>39</v>
      </c>
      <c r="C696" s="1" t="s">
        <v>40</v>
      </c>
      <c r="D696" s="1" t="s">
        <v>41</v>
      </c>
      <c r="E696" s="1" t="s">
        <v>25</v>
      </c>
      <c r="F696" s="1" t="s">
        <v>117</v>
      </c>
      <c r="G696" s="1" t="s">
        <v>3957</v>
      </c>
      <c r="H696" s="1" t="s">
        <v>275</v>
      </c>
      <c r="I696" s="1" t="s">
        <v>3958</v>
      </c>
      <c r="J696" s="1" t="s">
        <v>3959</v>
      </c>
      <c r="K696" s="1" t="s">
        <v>847</v>
      </c>
      <c r="L696" s="1" t="s">
        <v>432</v>
      </c>
      <c r="M696" s="1" t="s">
        <v>49</v>
      </c>
      <c r="N696" s="1" t="s">
        <v>3960</v>
      </c>
      <c r="O696" s="1" t="s">
        <v>35</v>
      </c>
      <c r="P696" s="1" t="s">
        <v>3958</v>
      </c>
      <c r="Q696" s="1" t="s">
        <v>338</v>
      </c>
      <c r="R696" s="1" t="s">
        <v>37</v>
      </c>
      <c r="S696" s="1" t="s">
        <v>37</v>
      </c>
      <c r="T696" s="1" t="s">
        <v>37</v>
      </c>
      <c r="U696" s="1" t="s">
        <v>37</v>
      </c>
    </row>
    <row r="697" spans="1:21">
      <c r="A697" s="1" t="s">
        <v>3961</v>
      </c>
      <c r="B697" s="1" t="s">
        <v>22</v>
      </c>
      <c r="C697" s="1" t="s">
        <v>23</v>
      </c>
      <c r="D697" s="1" t="s">
        <v>24</v>
      </c>
      <c r="E697" s="1" t="s">
        <v>25</v>
      </c>
      <c r="F697" s="1" t="s">
        <v>53</v>
      </c>
      <c r="G697" s="1" t="s">
        <v>3962</v>
      </c>
      <c r="H697" s="1" t="s">
        <v>44</v>
      </c>
      <c r="I697" s="1" t="s">
        <v>3963</v>
      </c>
      <c r="J697" s="1" t="s">
        <v>3964</v>
      </c>
      <c r="K697" s="1" t="s">
        <v>1057</v>
      </c>
      <c r="L697" s="1" t="s">
        <v>3965</v>
      </c>
      <c r="M697" s="1" t="s">
        <v>49</v>
      </c>
      <c r="N697" s="1" t="s">
        <v>3966</v>
      </c>
      <c r="O697" s="1" t="s">
        <v>35</v>
      </c>
      <c r="P697" s="1" t="s">
        <v>3963</v>
      </c>
      <c r="Q697" s="1" t="s">
        <v>468</v>
      </c>
      <c r="R697" s="1" t="s">
        <v>37</v>
      </c>
      <c r="S697" s="1" t="s">
        <v>37</v>
      </c>
      <c r="T697" s="1" t="s">
        <v>37</v>
      </c>
      <c r="U697" s="1" t="s">
        <v>37</v>
      </c>
    </row>
    <row r="698" spans="1:21">
      <c r="A698" s="1" t="s">
        <v>3967</v>
      </c>
      <c r="B698" s="1" t="s">
        <v>22</v>
      </c>
      <c r="C698" s="1" t="s">
        <v>23</v>
      </c>
      <c r="D698" s="1" t="s">
        <v>24</v>
      </c>
      <c r="E698" s="1" t="s">
        <v>25</v>
      </c>
      <c r="F698" s="1" t="s">
        <v>72</v>
      </c>
      <c r="G698" s="1" t="s">
        <v>3968</v>
      </c>
      <c r="H698" s="1" t="s">
        <v>129</v>
      </c>
      <c r="I698" s="1" t="s">
        <v>3969</v>
      </c>
      <c r="J698" s="1" t="s">
        <v>3970</v>
      </c>
      <c r="K698" s="1" t="s">
        <v>187</v>
      </c>
      <c r="L698" s="1" t="s">
        <v>2016</v>
      </c>
      <c r="M698" s="1" t="s">
        <v>33</v>
      </c>
      <c r="N698" s="1" t="s">
        <v>3971</v>
      </c>
      <c r="O698" s="1" t="s">
        <v>35</v>
      </c>
      <c r="P698" s="1" t="s">
        <v>3969</v>
      </c>
      <c r="Q698" s="1" t="s">
        <v>190</v>
      </c>
      <c r="R698" s="1" t="s">
        <v>37</v>
      </c>
      <c r="S698" s="1" t="s">
        <v>37</v>
      </c>
      <c r="T698" s="1" t="s">
        <v>37</v>
      </c>
      <c r="U698" s="1" t="s">
        <v>37</v>
      </c>
    </row>
    <row r="699" spans="1:21">
      <c r="A699" s="1" t="s">
        <v>3972</v>
      </c>
      <c r="B699" s="1" t="s">
        <v>115</v>
      </c>
      <c r="C699" s="1" t="s">
        <v>116</v>
      </c>
      <c r="D699" s="1" t="s">
        <v>41</v>
      </c>
      <c r="E699" s="1" t="s">
        <v>992</v>
      </c>
      <c r="F699" s="1" t="s">
        <v>53</v>
      </c>
      <c r="G699" s="1" t="s">
        <v>3973</v>
      </c>
      <c r="H699" s="1" t="s">
        <v>129</v>
      </c>
      <c r="I699" s="1" t="s">
        <v>3974</v>
      </c>
      <c r="J699" s="1" t="s">
        <v>3975</v>
      </c>
      <c r="K699" s="1" t="s">
        <v>555</v>
      </c>
      <c r="L699" s="1" t="s">
        <v>1254</v>
      </c>
      <c r="M699" s="1" t="s">
        <v>33</v>
      </c>
      <c r="N699" s="1" t="s">
        <v>3976</v>
      </c>
      <c r="O699" s="1" t="s">
        <v>35</v>
      </c>
      <c r="P699" s="1" t="s">
        <v>3974</v>
      </c>
      <c r="Q699" s="1" t="s">
        <v>550</v>
      </c>
      <c r="R699" s="1" t="s">
        <v>37</v>
      </c>
      <c r="S699" s="1" t="s">
        <v>37</v>
      </c>
      <c r="T699" s="1" t="s">
        <v>37</v>
      </c>
      <c r="U699" s="1" t="s">
        <v>37</v>
      </c>
    </row>
    <row r="700" spans="1:21">
      <c r="A700" s="1" t="s">
        <v>3977</v>
      </c>
      <c r="B700" s="1" t="s">
        <v>22</v>
      </c>
      <c r="C700" s="1" t="s">
        <v>23</v>
      </c>
      <c r="D700" s="1" t="s">
        <v>24</v>
      </c>
      <c r="E700" s="1" t="s">
        <v>992</v>
      </c>
      <c r="F700" s="1" t="s">
        <v>42</v>
      </c>
      <c r="G700" s="1" t="s">
        <v>3978</v>
      </c>
      <c r="H700" s="1" t="s">
        <v>275</v>
      </c>
      <c r="I700" s="1" t="s">
        <v>3979</v>
      </c>
      <c r="J700" s="1" t="s">
        <v>3980</v>
      </c>
      <c r="K700" s="1" t="s">
        <v>2260</v>
      </c>
      <c r="L700" s="1" t="s">
        <v>3255</v>
      </c>
      <c r="M700" s="1" t="s">
        <v>59</v>
      </c>
      <c r="N700" s="1" t="s">
        <v>3981</v>
      </c>
      <c r="O700" s="1" t="s">
        <v>35</v>
      </c>
      <c r="P700" s="1" t="s">
        <v>3979</v>
      </c>
      <c r="Q700" s="1" t="s">
        <v>812</v>
      </c>
      <c r="R700" s="1" t="s">
        <v>37</v>
      </c>
      <c r="S700" s="1" t="s">
        <v>37</v>
      </c>
      <c r="T700" s="1" t="s">
        <v>37</v>
      </c>
      <c r="U700" s="1" t="s">
        <v>37</v>
      </c>
    </row>
    <row r="701" spans="1:21">
      <c r="A701" s="1" t="s">
        <v>3982</v>
      </c>
      <c r="B701" s="1" t="s">
        <v>39</v>
      </c>
      <c r="C701" s="1" t="s">
        <v>40</v>
      </c>
      <c r="D701" s="1" t="s">
        <v>41</v>
      </c>
      <c r="E701" s="1" t="s">
        <v>992</v>
      </c>
      <c r="F701" s="1" t="s">
        <v>53</v>
      </c>
      <c r="G701" s="1" t="s">
        <v>3983</v>
      </c>
      <c r="H701" s="1" t="s">
        <v>99</v>
      </c>
      <c r="I701" s="1" t="s">
        <v>3984</v>
      </c>
      <c r="J701" s="1" t="s">
        <v>3985</v>
      </c>
      <c r="K701" s="1" t="s">
        <v>599</v>
      </c>
      <c r="L701" s="1" t="s">
        <v>3986</v>
      </c>
      <c r="M701" s="1" t="s">
        <v>33</v>
      </c>
      <c r="N701" s="1" t="s">
        <v>3987</v>
      </c>
      <c r="O701" s="1" t="s">
        <v>35</v>
      </c>
      <c r="P701" s="1" t="s">
        <v>3984</v>
      </c>
      <c r="Q701" s="1" t="s">
        <v>64</v>
      </c>
      <c r="R701" s="1" t="s">
        <v>37</v>
      </c>
      <c r="S701" s="1" t="s">
        <v>37</v>
      </c>
      <c r="T701" s="1" t="s">
        <v>37</v>
      </c>
      <c r="U701" s="1" t="s">
        <v>37</v>
      </c>
    </row>
    <row r="702" spans="1:21">
      <c r="A702" s="1" t="s">
        <v>3988</v>
      </c>
      <c r="B702" s="1" t="s">
        <v>39</v>
      </c>
      <c r="C702" s="1" t="s">
        <v>40</v>
      </c>
      <c r="D702" s="1" t="s">
        <v>41</v>
      </c>
      <c r="E702" s="1" t="s">
        <v>25</v>
      </c>
      <c r="F702" s="1" t="s">
        <v>127</v>
      </c>
      <c r="G702" s="1" t="s">
        <v>3989</v>
      </c>
      <c r="H702" s="1" t="s">
        <v>64</v>
      </c>
      <c r="I702" s="1" t="s">
        <v>3990</v>
      </c>
      <c r="J702" s="1" t="s">
        <v>3991</v>
      </c>
      <c r="K702" s="1" t="s">
        <v>156</v>
      </c>
      <c r="L702" s="1" t="s">
        <v>3427</v>
      </c>
      <c r="M702" s="1" t="s">
        <v>33</v>
      </c>
      <c r="N702" s="1" t="s">
        <v>3992</v>
      </c>
      <c r="O702" s="1" t="s">
        <v>35</v>
      </c>
      <c r="P702" s="1" t="s">
        <v>3990</v>
      </c>
      <c r="Q702" s="1" t="s">
        <v>51</v>
      </c>
      <c r="R702" s="1" t="s">
        <v>37</v>
      </c>
      <c r="S702" s="1" t="s">
        <v>37</v>
      </c>
      <c r="T702" s="1" t="s">
        <v>37</v>
      </c>
      <c r="U702" s="1" t="s">
        <v>37</v>
      </c>
    </row>
    <row r="703" spans="1:21">
      <c r="A703" s="1" t="s">
        <v>3993</v>
      </c>
      <c r="B703" s="1" t="s">
        <v>115</v>
      </c>
      <c r="C703" s="1" t="s">
        <v>116</v>
      </c>
      <c r="D703" s="1" t="s">
        <v>41</v>
      </c>
      <c r="E703" s="1" t="s">
        <v>992</v>
      </c>
      <c r="F703" s="1" t="s">
        <v>117</v>
      </c>
      <c r="G703" s="1" t="s">
        <v>447</v>
      </c>
      <c r="H703" s="1" t="s">
        <v>119</v>
      </c>
      <c r="I703" s="1" t="s">
        <v>3994</v>
      </c>
      <c r="J703" s="1" t="s">
        <v>3995</v>
      </c>
      <c r="K703" s="1" t="s">
        <v>459</v>
      </c>
      <c r="L703" s="1" t="s">
        <v>3468</v>
      </c>
      <c r="M703" s="1" t="s">
        <v>59</v>
      </c>
      <c r="N703" s="1" t="s">
        <v>3996</v>
      </c>
      <c r="O703" s="1" t="s">
        <v>35</v>
      </c>
      <c r="P703" s="1" t="s">
        <v>3994</v>
      </c>
      <c r="Q703" s="1" t="s">
        <v>550</v>
      </c>
      <c r="R703" s="1" t="s">
        <v>37</v>
      </c>
      <c r="S703" s="1" t="s">
        <v>37</v>
      </c>
      <c r="T703" s="1" t="s">
        <v>37</v>
      </c>
      <c r="U703" s="1" t="s">
        <v>37</v>
      </c>
    </row>
    <row r="704" spans="1:21">
      <c r="A704" s="1" t="s">
        <v>3997</v>
      </c>
      <c r="B704" s="1" t="s">
        <v>115</v>
      </c>
      <c r="C704" s="1" t="s">
        <v>116</v>
      </c>
      <c r="D704" s="1" t="s">
        <v>24</v>
      </c>
      <c r="E704" s="1" t="s">
        <v>25</v>
      </c>
      <c r="F704" s="1" t="s">
        <v>127</v>
      </c>
      <c r="G704" s="1" t="s">
        <v>3998</v>
      </c>
      <c r="H704" s="1" t="s">
        <v>99</v>
      </c>
      <c r="I704" s="1" t="s">
        <v>3999</v>
      </c>
      <c r="J704" s="1" t="s">
        <v>4000</v>
      </c>
      <c r="K704" s="1" t="s">
        <v>391</v>
      </c>
      <c r="L704" s="1" t="s">
        <v>4001</v>
      </c>
      <c r="M704" s="1" t="s">
        <v>59</v>
      </c>
      <c r="N704" s="1" t="s">
        <v>4002</v>
      </c>
      <c r="O704" s="1" t="s">
        <v>35</v>
      </c>
      <c r="P704" s="1" t="s">
        <v>3999</v>
      </c>
      <c r="Q704" s="1" t="s">
        <v>44</v>
      </c>
      <c r="R704" s="1" t="s">
        <v>37</v>
      </c>
      <c r="S704" s="1" t="s">
        <v>37</v>
      </c>
      <c r="T704" s="1" t="s">
        <v>37</v>
      </c>
      <c r="U704" s="1" t="s">
        <v>37</v>
      </c>
    </row>
    <row r="705" spans="1:21">
      <c r="A705" s="1" t="s">
        <v>4003</v>
      </c>
      <c r="B705" s="1" t="s">
        <v>115</v>
      </c>
      <c r="C705" s="1" t="s">
        <v>116</v>
      </c>
      <c r="D705" s="1" t="s">
        <v>24</v>
      </c>
      <c r="E705" s="1" t="s">
        <v>992</v>
      </c>
      <c r="F705" s="1" t="s">
        <v>26</v>
      </c>
      <c r="G705" s="1" t="s">
        <v>4004</v>
      </c>
      <c r="H705" s="1" t="s">
        <v>275</v>
      </c>
      <c r="I705" s="1" t="s">
        <v>4005</v>
      </c>
      <c r="J705" s="1" t="s">
        <v>4006</v>
      </c>
      <c r="K705" s="1" t="s">
        <v>555</v>
      </c>
      <c r="L705" s="1" t="s">
        <v>4007</v>
      </c>
      <c r="M705" s="1" t="s">
        <v>49</v>
      </c>
      <c r="N705" s="1" t="s">
        <v>4008</v>
      </c>
      <c r="O705" s="1" t="s">
        <v>35</v>
      </c>
      <c r="P705" s="1" t="s">
        <v>4005</v>
      </c>
      <c r="Q705" s="1" t="s">
        <v>798</v>
      </c>
      <c r="R705" s="1" t="s">
        <v>37</v>
      </c>
      <c r="S705" s="1" t="s">
        <v>37</v>
      </c>
      <c r="T705" s="1" t="s">
        <v>37</v>
      </c>
      <c r="U705" s="1" t="s">
        <v>37</v>
      </c>
    </row>
    <row r="706" spans="1:21">
      <c r="A706" s="1" t="s">
        <v>4009</v>
      </c>
      <c r="B706" s="1" t="s">
        <v>115</v>
      </c>
      <c r="C706" s="1" t="s">
        <v>116</v>
      </c>
      <c r="D706" s="1" t="s">
        <v>24</v>
      </c>
      <c r="E706" s="1" t="s">
        <v>25</v>
      </c>
      <c r="F706" s="1" t="s">
        <v>53</v>
      </c>
      <c r="G706" s="1" t="s">
        <v>4010</v>
      </c>
      <c r="H706" s="1" t="s">
        <v>275</v>
      </c>
      <c r="I706" s="1" t="s">
        <v>4011</v>
      </c>
      <c r="J706" s="1" t="s">
        <v>4012</v>
      </c>
      <c r="K706" s="1" t="s">
        <v>240</v>
      </c>
      <c r="L706" s="1" t="s">
        <v>2963</v>
      </c>
      <c r="M706" s="1" t="s">
        <v>49</v>
      </c>
      <c r="N706" s="1" t="s">
        <v>4013</v>
      </c>
      <c r="O706" s="1" t="s">
        <v>35</v>
      </c>
      <c r="P706" s="1" t="s">
        <v>4011</v>
      </c>
      <c r="Q706" s="1" t="s">
        <v>359</v>
      </c>
      <c r="R706" s="1" t="s">
        <v>37</v>
      </c>
      <c r="S706" s="1" t="s">
        <v>37</v>
      </c>
      <c r="T706" s="1" t="s">
        <v>37</v>
      </c>
      <c r="U706" s="1" t="s">
        <v>37</v>
      </c>
    </row>
    <row r="707" spans="1:21">
      <c r="A707" s="1" t="s">
        <v>4014</v>
      </c>
      <c r="B707" s="1" t="s">
        <v>115</v>
      </c>
      <c r="C707" s="1" t="s">
        <v>116</v>
      </c>
      <c r="D707" s="1" t="s">
        <v>41</v>
      </c>
      <c r="E707" s="1" t="s">
        <v>992</v>
      </c>
      <c r="F707" s="1" t="s">
        <v>26</v>
      </c>
      <c r="G707" s="1" t="s">
        <v>4015</v>
      </c>
      <c r="H707" s="1" t="s">
        <v>28</v>
      </c>
      <c r="I707" s="1" t="s">
        <v>4016</v>
      </c>
      <c r="J707" s="1" t="s">
        <v>4017</v>
      </c>
      <c r="K707" s="1" t="s">
        <v>164</v>
      </c>
      <c r="L707" s="1" t="s">
        <v>4018</v>
      </c>
      <c r="M707" s="1" t="s">
        <v>49</v>
      </c>
      <c r="N707" s="1" t="s">
        <v>4019</v>
      </c>
      <c r="O707" s="1" t="s">
        <v>35</v>
      </c>
      <c r="P707" s="1" t="s">
        <v>4016</v>
      </c>
      <c r="Q707" s="1" t="s">
        <v>1655</v>
      </c>
      <c r="R707" s="1" t="s">
        <v>37</v>
      </c>
      <c r="S707" s="1" t="s">
        <v>37</v>
      </c>
      <c r="T707" s="1" t="s">
        <v>37</v>
      </c>
      <c r="U707" s="1" t="s">
        <v>37</v>
      </c>
    </row>
    <row r="708" spans="1:21">
      <c r="A708" s="1" t="s">
        <v>4020</v>
      </c>
      <c r="B708" s="1" t="s">
        <v>115</v>
      </c>
      <c r="C708" s="1" t="s">
        <v>116</v>
      </c>
      <c r="D708" s="1" t="s">
        <v>41</v>
      </c>
      <c r="E708" s="1" t="s">
        <v>25</v>
      </c>
      <c r="F708" s="1" t="s">
        <v>42</v>
      </c>
      <c r="G708" s="1" t="s">
        <v>4021</v>
      </c>
      <c r="H708" s="1" t="s">
        <v>129</v>
      </c>
      <c r="I708" s="1" t="s">
        <v>198</v>
      </c>
      <c r="J708" s="1" t="s">
        <v>4022</v>
      </c>
      <c r="K708" s="1" t="s">
        <v>1452</v>
      </c>
      <c r="L708" s="1" t="s">
        <v>854</v>
      </c>
      <c r="M708" s="1" t="s">
        <v>33</v>
      </c>
      <c r="N708" s="1" t="s">
        <v>4023</v>
      </c>
      <c r="O708" s="1" t="s">
        <v>35</v>
      </c>
      <c r="P708" s="1" t="s">
        <v>198</v>
      </c>
      <c r="Q708" s="1" t="s">
        <v>338</v>
      </c>
      <c r="R708" s="1" t="s">
        <v>37</v>
      </c>
      <c r="S708" s="1" t="s">
        <v>37</v>
      </c>
      <c r="T708" s="1" t="s">
        <v>37</v>
      </c>
      <c r="U708" s="1" t="s">
        <v>37</v>
      </c>
    </row>
    <row r="709" spans="1:21">
      <c r="A709" s="1" t="s">
        <v>4024</v>
      </c>
      <c r="B709" s="1" t="s">
        <v>39</v>
      </c>
      <c r="C709" s="1" t="s">
        <v>40</v>
      </c>
      <c r="D709" s="1" t="s">
        <v>24</v>
      </c>
      <c r="E709" s="1" t="s">
        <v>992</v>
      </c>
      <c r="F709" s="1" t="s">
        <v>117</v>
      </c>
      <c r="G709" s="1" t="s">
        <v>4025</v>
      </c>
      <c r="H709" s="1" t="s">
        <v>253</v>
      </c>
      <c r="I709" s="1" t="s">
        <v>4026</v>
      </c>
      <c r="J709" s="1" t="s">
        <v>4027</v>
      </c>
      <c r="K709" s="1" t="s">
        <v>195</v>
      </c>
      <c r="L709" s="1" t="s">
        <v>4028</v>
      </c>
      <c r="M709" s="1" t="s">
        <v>49</v>
      </c>
      <c r="N709" s="1" t="s">
        <v>4025</v>
      </c>
      <c r="O709" s="1" t="s">
        <v>35</v>
      </c>
      <c r="P709" s="1" t="s">
        <v>4026</v>
      </c>
      <c r="Q709" s="1" t="s">
        <v>212</v>
      </c>
      <c r="R709" s="1" t="s">
        <v>37</v>
      </c>
      <c r="S709" s="1" t="s">
        <v>37</v>
      </c>
      <c r="T709" s="1" t="s">
        <v>37</v>
      </c>
      <c r="U709" s="1" t="s">
        <v>37</v>
      </c>
    </row>
    <row r="710" spans="1:21">
      <c r="A710" s="1" t="s">
        <v>4029</v>
      </c>
      <c r="B710" s="1" t="s">
        <v>39</v>
      </c>
      <c r="C710" s="1" t="s">
        <v>40</v>
      </c>
      <c r="D710" s="1" t="s">
        <v>41</v>
      </c>
      <c r="E710" s="1" t="s">
        <v>992</v>
      </c>
      <c r="F710" s="1" t="s">
        <v>127</v>
      </c>
      <c r="G710" s="1" t="s">
        <v>4030</v>
      </c>
      <c r="H710" s="1" t="s">
        <v>64</v>
      </c>
      <c r="I710" s="1" t="s">
        <v>4031</v>
      </c>
      <c r="J710" s="1" t="s">
        <v>4032</v>
      </c>
      <c r="K710" s="1" t="s">
        <v>473</v>
      </c>
      <c r="L710" s="1" t="s">
        <v>2248</v>
      </c>
      <c r="M710" s="1" t="s">
        <v>33</v>
      </c>
      <c r="N710" s="1" t="s">
        <v>4033</v>
      </c>
      <c r="O710" s="1" t="s">
        <v>35</v>
      </c>
      <c r="P710" s="1" t="s">
        <v>4031</v>
      </c>
      <c r="Q710" s="1" t="s">
        <v>36</v>
      </c>
      <c r="R710" s="1" t="s">
        <v>37</v>
      </c>
      <c r="S710" s="1" t="s">
        <v>37</v>
      </c>
      <c r="T710" s="1" t="s">
        <v>37</v>
      </c>
      <c r="U710" s="1" t="s">
        <v>37</v>
      </c>
    </row>
    <row r="711" spans="1:21">
      <c r="A711" s="1" t="s">
        <v>4034</v>
      </c>
      <c r="B711" s="1" t="s">
        <v>22</v>
      </c>
      <c r="C711" s="1" t="s">
        <v>23</v>
      </c>
      <c r="D711" s="1" t="s">
        <v>41</v>
      </c>
      <c r="E711" s="1" t="s">
        <v>992</v>
      </c>
      <c r="F711" s="1" t="s">
        <v>72</v>
      </c>
      <c r="G711" s="1" t="s">
        <v>4035</v>
      </c>
      <c r="H711" s="1" t="s">
        <v>119</v>
      </c>
      <c r="I711" s="1" t="s">
        <v>4036</v>
      </c>
      <c r="J711" s="1" t="s">
        <v>4037</v>
      </c>
      <c r="K711" s="1" t="s">
        <v>349</v>
      </c>
      <c r="L711" s="1" t="s">
        <v>3923</v>
      </c>
      <c r="M711" s="1" t="s">
        <v>33</v>
      </c>
      <c r="N711" s="1" t="s">
        <v>4038</v>
      </c>
      <c r="O711" s="1" t="s">
        <v>35</v>
      </c>
      <c r="P711" s="1" t="s">
        <v>4036</v>
      </c>
      <c r="Q711" s="1" t="s">
        <v>440</v>
      </c>
      <c r="R711" s="1" t="s">
        <v>37</v>
      </c>
      <c r="S711" s="1" t="s">
        <v>37</v>
      </c>
      <c r="T711" s="1" t="s">
        <v>37</v>
      </c>
      <c r="U711" s="1" t="s">
        <v>37</v>
      </c>
    </row>
    <row r="712" spans="1:21">
      <c r="A712" s="1" t="s">
        <v>4039</v>
      </c>
      <c r="B712" s="1" t="s">
        <v>22</v>
      </c>
      <c r="C712" s="1" t="s">
        <v>23</v>
      </c>
      <c r="D712" s="1" t="s">
        <v>24</v>
      </c>
      <c r="E712" s="1" t="s">
        <v>992</v>
      </c>
      <c r="F712" s="1" t="s">
        <v>117</v>
      </c>
      <c r="G712" s="1" t="s">
        <v>4040</v>
      </c>
      <c r="H712" s="1" t="s">
        <v>90</v>
      </c>
      <c r="I712" s="1" t="s">
        <v>4041</v>
      </c>
      <c r="J712" s="1" t="s">
        <v>4042</v>
      </c>
      <c r="K712" s="1" t="s">
        <v>452</v>
      </c>
      <c r="L712" s="1" t="s">
        <v>2446</v>
      </c>
      <c r="M712" s="1" t="s">
        <v>49</v>
      </c>
      <c r="N712" s="1" t="s">
        <v>4043</v>
      </c>
      <c r="O712" s="1" t="s">
        <v>35</v>
      </c>
      <c r="P712" s="1" t="s">
        <v>4041</v>
      </c>
      <c r="Q712" s="1" t="s">
        <v>36</v>
      </c>
      <c r="R712" s="1" t="s">
        <v>37</v>
      </c>
      <c r="S712" s="1" t="s">
        <v>37</v>
      </c>
      <c r="T712" s="1" t="s">
        <v>37</v>
      </c>
      <c r="U712" s="1" t="s">
        <v>37</v>
      </c>
    </row>
    <row r="713" spans="1:21">
      <c r="A713" s="1" t="s">
        <v>4044</v>
      </c>
      <c r="B713" s="1" t="s">
        <v>39</v>
      </c>
      <c r="C713" s="1" t="s">
        <v>40</v>
      </c>
      <c r="D713" s="1" t="s">
        <v>24</v>
      </c>
      <c r="E713" s="1" t="s">
        <v>25</v>
      </c>
      <c r="F713" s="1" t="s">
        <v>53</v>
      </c>
      <c r="G713" s="1" t="s">
        <v>4045</v>
      </c>
      <c r="H713" s="1" t="s">
        <v>129</v>
      </c>
      <c r="I713" s="1" t="s">
        <v>4046</v>
      </c>
      <c r="J713" s="1" t="s">
        <v>4047</v>
      </c>
      <c r="K713" s="1" t="s">
        <v>412</v>
      </c>
      <c r="L713" s="1" t="s">
        <v>3036</v>
      </c>
      <c r="M713" s="1" t="s">
        <v>33</v>
      </c>
      <c r="N713" s="1" t="s">
        <v>4048</v>
      </c>
      <c r="O713" s="1" t="s">
        <v>35</v>
      </c>
      <c r="P713" s="1" t="s">
        <v>4046</v>
      </c>
      <c r="Q713" s="1" t="s">
        <v>638</v>
      </c>
      <c r="R713" s="1" t="s">
        <v>37</v>
      </c>
      <c r="S713" s="1" t="s">
        <v>37</v>
      </c>
      <c r="T713" s="1" t="s">
        <v>37</v>
      </c>
      <c r="U713" s="1" t="s">
        <v>37</v>
      </c>
    </row>
    <row r="714" spans="1:21">
      <c r="A714" s="1" t="s">
        <v>4049</v>
      </c>
      <c r="B714" s="1" t="s">
        <v>39</v>
      </c>
      <c r="C714" s="1" t="s">
        <v>40</v>
      </c>
      <c r="D714" s="1" t="s">
        <v>41</v>
      </c>
      <c r="E714" s="1" t="s">
        <v>25</v>
      </c>
      <c r="F714" s="1" t="s">
        <v>42</v>
      </c>
      <c r="G714" s="1" t="s">
        <v>4050</v>
      </c>
      <c r="H714" s="1" t="s">
        <v>275</v>
      </c>
      <c r="I714" s="1" t="s">
        <v>4051</v>
      </c>
      <c r="J714" s="1" t="s">
        <v>4052</v>
      </c>
      <c r="K714" s="1" t="s">
        <v>2260</v>
      </c>
      <c r="L714" s="1" t="s">
        <v>4053</v>
      </c>
      <c r="M714" s="1" t="s">
        <v>33</v>
      </c>
      <c r="N714" s="1" t="s">
        <v>4054</v>
      </c>
      <c r="O714" s="1" t="s">
        <v>35</v>
      </c>
      <c r="P714" s="1" t="s">
        <v>4051</v>
      </c>
      <c r="Q714" s="1" t="s">
        <v>113</v>
      </c>
      <c r="R714" s="1" t="s">
        <v>37</v>
      </c>
      <c r="S714" s="1" t="s">
        <v>37</v>
      </c>
      <c r="T714" s="1" t="s">
        <v>37</v>
      </c>
      <c r="U714" s="1" t="s">
        <v>37</v>
      </c>
    </row>
    <row r="715" spans="1:21">
      <c r="A715" s="1" t="s">
        <v>4055</v>
      </c>
      <c r="B715" s="1" t="s">
        <v>39</v>
      </c>
      <c r="C715" s="1" t="s">
        <v>40</v>
      </c>
      <c r="D715" s="1" t="s">
        <v>41</v>
      </c>
      <c r="E715" s="1" t="s">
        <v>25</v>
      </c>
      <c r="F715" s="1" t="s">
        <v>26</v>
      </c>
      <c r="G715" s="1" t="s">
        <v>4056</v>
      </c>
      <c r="H715" s="1" t="s">
        <v>275</v>
      </c>
      <c r="I715" s="1" t="s">
        <v>4057</v>
      </c>
      <c r="J715" s="1" t="s">
        <v>4058</v>
      </c>
      <c r="K715" s="1" t="s">
        <v>2159</v>
      </c>
      <c r="L715" s="1" t="s">
        <v>1272</v>
      </c>
      <c r="M715" s="1" t="s">
        <v>33</v>
      </c>
      <c r="N715" s="1" t="s">
        <v>4059</v>
      </c>
      <c r="O715" s="1" t="s">
        <v>35</v>
      </c>
      <c r="P715" s="1" t="s">
        <v>4057</v>
      </c>
      <c r="Q715" s="1" t="s">
        <v>90</v>
      </c>
      <c r="R715" s="1" t="s">
        <v>37</v>
      </c>
      <c r="S715" s="1" t="s">
        <v>37</v>
      </c>
      <c r="T715" s="1" t="s">
        <v>37</v>
      </c>
      <c r="U715" s="1" t="s">
        <v>37</v>
      </c>
    </row>
    <row r="716" spans="1:21">
      <c r="A716" s="1" t="s">
        <v>4060</v>
      </c>
      <c r="B716" s="1" t="s">
        <v>39</v>
      </c>
      <c r="C716" s="1" t="s">
        <v>40</v>
      </c>
      <c r="D716" s="1" t="s">
        <v>24</v>
      </c>
      <c r="E716" s="1" t="s">
        <v>992</v>
      </c>
      <c r="F716" s="1" t="s">
        <v>127</v>
      </c>
      <c r="G716" s="1" t="s">
        <v>368</v>
      </c>
      <c r="H716" s="1" t="s">
        <v>64</v>
      </c>
      <c r="I716" s="1" t="s">
        <v>369</v>
      </c>
      <c r="J716" s="1" t="s">
        <v>370</v>
      </c>
      <c r="K716" s="1" t="s">
        <v>1452</v>
      </c>
      <c r="L716" s="1" t="s">
        <v>1009</v>
      </c>
      <c r="M716" s="1" t="s">
        <v>33</v>
      </c>
      <c r="N716" s="1" t="s">
        <v>373</v>
      </c>
      <c r="O716" s="1" t="s">
        <v>35</v>
      </c>
      <c r="P716" s="1" t="s">
        <v>369</v>
      </c>
      <c r="Q716" s="1" t="s">
        <v>250</v>
      </c>
      <c r="R716" s="1" t="s">
        <v>37</v>
      </c>
      <c r="S716" s="1" t="s">
        <v>37</v>
      </c>
      <c r="T716" s="1" t="s">
        <v>37</v>
      </c>
      <c r="U716" s="1" t="s">
        <v>37</v>
      </c>
    </row>
    <row r="717" spans="1:21">
      <c r="A717" s="1" t="s">
        <v>4061</v>
      </c>
      <c r="B717" s="1" t="s">
        <v>22</v>
      </c>
      <c r="C717" s="1" t="s">
        <v>23</v>
      </c>
      <c r="D717" s="1" t="s">
        <v>41</v>
      </c>
      <c r="E717" s="1" t="s">
        <v>25</v>
      </c>
      <c r="F717" s="1" t="s">
        <v>26</v>
      </c>
      <c r="G717" s="1" t="s">
        <v>4062</v>
      </c>
      <c r="H717" s="1" t="s">
        <v>44</v>
      </c>
      <c r="I717" s="1" t="s">
        <v>4063</v>
      </c>
      <c r="J717" s="1" t="s">
        <v>4064</v>
      </c>
      <c r="K717" s="1" t="s">
        <v>132</v>
      </c>
      <c r="L717" s="1" t="s">
        <v>2792</v>
      </c>
      <c r="M717" s="1" t="s">
        <v>59</v>
      </c>
      <c r="N717" s="1" t="s">
        <v>4065</v>
      </c>
      <c r="O717" s="1" t="s">
        <v>35</v>
      </c>
      <c r="P717" s="1" t="s">
        <v>4063</v>
      </c>
      <c r="Q717" s="1" t="s">
        <v>468</v>
      </c>
      <c r="R717" s="1" t="s">
        <v>37</v>
      </c>
      <c r="S717" s="1" t="s">
        <v>37</v>
      </c>
      <c r="T717" s="1" t="s">
        <v>37</v>
      </c>
      <c r="U717" s="1" t="s">
        <v>37</v>
      </c>
    </row>
    <row r="718" spans="1:21">
      <c r="A718" s="1" t="s">
        <v>4066</v>
      </c>
      <c r="B718" s="1" t="s">
        <v>22</v>
      </c>
      <c r="C718" s="1" t="s">
        <v>23</v>
      </c>
      <c r="D718" s="1" t="s">
        <v>24</v>
      </c>
      <c r="E718" s="1" t="s">
        <v>25</v>
      </c>
      <c r="F718" s="1" t="s">
        <v>127</v>
      </c>
      <c r="G718" s="1" t="s">
        <v>4067</v>
      </c>
      <c r="H718" s="1" t="s">
        <v>28</v>
      </c>
      <c r="I718" s="1" t="s">
        <v>4068</v>
      </c>
      <c r="J718" s="1" t="s">
        <v>4069</v>
      </c>
      <c r="K718" s="1" t="s">
        <v>757</v>
      </c>
      <c r="L718" s="1" t="s">
        <v>4070</v>
      </c>
      <c r="M718" s="1" t="s">
        <v>33</v>
      </c>
      <c r="N718" s="1" t="s">
        <v>4071</v>
      </c>
      <c r="O718" s="1" t="s">
        <v>35</v>
      </c>
      <c r="P718" s="1" t="s">
        <v>4068</v>
      </c>
      <c r="Q718" s="1" t="s">
        <v>135</v>
      </c>
      <c r="R718" s="1" t="s">
        <v>37</v>
      </c>
      <c r="S718" s="1" t="s">
        <v>37</v>
      </c>
      <c r="T718" s="1" t="s">
        <v>37</v>
      </c>
      <c r="U718" s="1" t="s">
        <v>37</v>
      </c>
    </row>
    <row r="719" spans="1:21">
      <c r="A719" s="1" t="s">
        <v>4072</v>
      </c>
      <c r="B719" s="1" t="s">
        <v>22</v>
      </c>
      <c r="C719" s="1" t="s">
        <v>23</v>
      </c>
      <c r="D719" s="1" t="s">
        <v>24</v>
      </c>
      <c r="E719" s="1" t="s">
        <v>992</v>
      </c>
      <c r="F719" s="1" t="s">
        <v>42</v>
      </c>
      <c r="G719" s="1" t="s">
        <v>4073</v>
      </c>
      <c r="H719" s="1" t="s">
        <v>119</v>
      </c>
      <c r="I719" s="1" t="s">
        <v>4074</v>
      </c>
      <c r="J719" s="1" t="s">
        <v>4075</v>
      </c>
      <c r="K719" s="1" t="s">
        <v>823</v>
      </c>
      <c r="L719" s="1" t="s">
        <v>4076</v>
      </c>
      <c r="M719" s="1" t="s">
        <v>59</v>
      </c>
      <c r="N719" s="1" t="s">
        <v>4077</v>
      </c>
      <c r="O719" s="1" t="s">
        <v>35</v>
      </c>
      <c r="P719" s="1" t="s">
        <v>4074</v>
      </c>
      <c r="Q719" s="1" t="s">
        <v>407</v>
      </c>
      <c r="R719" s="1" t="s">
        <v>37</v>
      </c>
      <c r="S719" s="1" t="s">
        <v>37</v>
      </c>
      <c r="T719" s="1" t="s">
        <v>37</v>
      </c>
      <c r="U719" s="1" t="s">
        <v>37</v>
      </c>
    </row>
    <row r="720" spans="1:21">
      <c r="A720" s="1" t="s">
        <v>4078</v>
      </c>
      <c r="B720" s="1" t="s">
        <v>22</v>
      </c>
      <c r="C720" s="1" t="s">
        <v>23</v>
      </c>
      <c r="D720" s="1" t="s">
        <v>41</v>
      </c>
      <c r="E720" s="1" t="s">
        <v>992</v>
      </c>
      <c r="F720" s="1" t="s">
        <v>127</v>
      </c>
      <c r="G720" s="1" t="s">
        <v>2529</v>
      </c>
      <c r="H720" s="1" t="s">
        <v>119</v>
      </c>
      <c r="I720" s="1" t="s">
        <v>4079</v>
      </c>
      <c r="J720" s="1" t="s">
        <v>4080</v>
      </c>
      <c r="K720" s="1" t="s">
        <v>232</v>
      </c>
      <c r="L720" s="1" t="s">
        <v>1736</v>
      </c>
      <c r="M720" s="1" t="s">
        <v>59</v>
      </c>
      <c r="N720" s="1" t="s">
        <v>4081</v>
      </c>
      <c r="O720" s="1" t="s">
        <v>35</v>
      </c>
      <c r="P720" s="1" t="s">
        <v>4079</v>
      </c>
      <c r="Q720" s="1" t="s">
        <v>113</v>
      </c>
      <c r="R720" s="1" t="s">
        <v>37</v>
      </c>
      <c r="S720" s="1" t="s">
        <v>37</v>
      </c>
      <c r="T720" s="1" t="s">
        <v>37</v>
      </c>
      <c r="U720" s="1" t="s">
        <v>37</v>
      </c>
    </row>
    <row r="721" spans="1:21">
      <c r="A721" s="1" t="s">
        <v>4082</v>
      </c>
      <c r="B721" s="1" t="s">
        <v>115</v>
      </c>
      <c r="C721" s="1" t="s">
        <v>116</v>
      </c>
      <c r="D721" s="1" t="s">
        <v>24</v>
      </c>
      <c r="E721" s="1" t="s">
        <v>25</v>
      </c>
      <c r="F721" s="1" t="s">
        <v>127</v>
      </c>
      <c r="G721" s="1" t="s">
        <v>4083</v>
      </c>
      <c r="H721" s="1" t="s">
        <v>90</v>
      </c>
      <c r="I721" s="1" t="s">
        <v>4084</v>
      </c>
      <c r="J721" s="1" t="s">
        <v>4085</v>
      </c>
      <c r="K721" s="1" t="s">
        <v>962</v>
      </c>
      <c r="L721" s="1" t="s">
        <v>2147</v>
      </c>
      <c r="M721" s="1" t="s">
        <v>59</v>
      </c>
      <c r="N721" s="1" t="s">
        <v>4086</v>
      </c>
      <c r="O721" s="1" t="s">
        <v>35</v>
      </c>
      <c r="P721" s="1" t="s">
        <v>4084</v>
      </c>
      <c r="Q721" s="1" t="s">
        <v>440</v>
      </c>
      <c r="R721" s="1" t="s">
        <v>37</v>
      </c>
      <c r="S721" s="1" t="s">
        <v>37</v>
      </c>
      <c r="T721" s="1" t="s">
        <v>37</v>
      </c>
      <c r="U721" s="1" t="s">
        <v>37</v>
      </c>
    </row>
    <row r="722" spans="1:21">
      <c r="A722" s="1" t="s">
        <v>4087</v>
      </c>
      <c r="B722" s="1" t="s">
        <v>115</v>
      </c>
      <c r="C722" s="1" t="s">
        <v>116</v>
      </c>
      <c r="D722" s="1" t="s">
        <v>41</v>
      </c>
      <c r="E722" s="1" t="s">
        <v>25</v>
      </c>
      <c r="F722" s="1" t="s">
        <v>127</v>
      </c>
      <c r="G722" s="1" t="s">
        <v>4088</v>
      </c>
      <c r="H722" s="1" t="s">
        <v>28</v>
      </c>
      <c r="I722" s="1" t="s">
        <v>4089</v>
      </c>
      <c r="J722" s="1" t="s">
        <v>4090</v>
      </c>
      <c r="K722" s="1" t="s">
        <v>356</v>
      </c>
      <c r="L722" s="1" t="s">
        <v>4091</v>
      </c>
      <c r="M722" s="1" t="s">
        <v>49</v>
      </c>
      <c r="N722" s="1" t="s">
        <v>4092</v>
      </c>
      <c r="O722" s="1" t="s">
        <v>35</v>
      </c>
      <c r="P722" s="1" t="s">
        <v>4089</v>
      </c>
      <c r="Q722" s="1" t="s">
        <v>151</v>
      </c>
      <c r="R722" s="1" t="s">
        <v>37</v>
      </c>
      <c r="S722" s="1" t="s">
        <v>37</v>
      </c>
      <c r="T722" s="1" t="s">
        <v>37</v>
      </c>
      <c r="U722" s="1" t="s">
        <v>37</v>
      </c>
    </row>
    <row r="723" spans="1:21">
      <c r="A723" s="1" t="s">
        <v>4093</v>
      </c>
      <c r="B723" s="1" t="s">
        <v>39</v>
      </c>
      <c r="C723" s="1" t="s">
        <v>40</v>
      </c>
      <c r="D723" s="1" t="s">
        <v>24</v>
      </c>
      <c r="E723" s="1" t="s">
        <v>25</v>
      </c>
      <c r="F723" s="1" t="s">
        <v>72</v>
      </c>
      <c r="G723" s="1" t="s">
        <v>4094</v>
      </c>
      <c r="H723" s="1" t="s">
        <v>275</v>
      </c>
      <c r="I723" s="1" t="s">
        <v>4095</v>
      </c>
      <c r="J723" s="1" t="s">
        <v>4096</v>
      </c>
      <c r="K723" s="1" t="s">
        <v>962</v>
      </c>
      <c r="L723" s="1" t="s">
        <v>2474</v>
      </c>
      <c r="M723" s="1" t="s">
        <v>49</v>
      </c>
      <c r="N723" s="1" t="s">
        <v>4097</v>
      </c>
      <c r="O723" s="1" t="s">
        <v>35</v>
      </c>
      <c r="P723" s="1" t="s">
        <v>4095</v>
      </c>
      <c r="Q723" s="1" t="s">
        <v>220</v>
      </c>
      <c r="R723" s="1" t="s">
        <v>37</v>
      </c>
      <c r="S723" s="1" t="s">
        <v>37</v>
      </c>
      <c r="T723" s="1" t="s">
        <v>37</v>
      </c>
      <c r="U723" s="1" t="s">
        <v>37</v>
      </c>
    </row>
    <row r="724" spans="1:21">
      <c r="A724" s="1" t="s">
        <v>4098</v>
      </c>
      <c r="B724" s="1" t="s">
        <v>115</v>
      </c>
      <c r="C724" s="1" t="s">
        <v>116</v>
      </c>
      <c r="D724" s="1" t="s">
        <v>41</v>
      </c>
      <c r="E724" s="1" t="s">
        <v>992</v>
      </c>
      <c r="F724" s="1" t="s">
        <v>53</v>
      </c>
      <c r="G724" s="1" t="s">
        <v>4099</v>
      </c>
      <c r="H724" s="1" t="s">
        <v>119</v>
      </c>
      <c r="I724" s="1" t="s">
        <v>4100</v>
      </c>
      <c r="J724" s="1" t="s">
        <v>4101</v>
      </c>
      <c r="K724" s="1" t="s">
        <v>1379</v>
      </c>
      <c r="L724" s="1" t="s">
        <v>2219</v>
      </c>
      <c r="M724" s="1" t="s">
        <v>59</v>
      </c>
      <c r="N724" s="1" t="s">
        <v>4102</v>
      </c>
      <c r="O724" s="1" t="s">
        <v>35</v>
      </c>
      <c r="P724" s="1" t="s">
        <v>4100</v>
      </c>
      <c r="Q724" s="1" t="s">
        <v>351</v>
      </c>
      <c r="R724" s="1" t="s">
        <v>37</v>
      </c>
      <c r="S724" s="1" t="s">
        <v>37</v>
      </c>
      <c r="T724" s="1" t="s">
        <v>37</v>
      </c>
      <c r="U724" s="1" t="s">
        <v>37</v>
      </c>
    </row>
    <row r="725" spans="1:21">
      <c r="A725" s="1" t="s">
        <v>4103</v>
      </c>
      <c r="B725" s="1" t="s">
        <v>39</v>
      </c>
      <c r="C725" s="1" t="s">
        <v>40</v>
      </c>
      <c r="D725" s="1" t="s">
        <v>24</v>
      </c>
      <c r="E725" s="1" t="s">
        <v>25</v>
      </c>
      <c r="F725" s="1" t="s">
        <v>117</v>
      </c>
      <c r="G725" s="1" t="s">
        <v>4104</v>
      </c>
      <c r="H725" s="1" t="s">
        <v>28</v>
      </c>
      <c r="I725" s="1" t="s">
        <v>4105</v>
      </c>
      <c r="J725" s="1" t="s">
        <v>4106</v>
      </c>
      <c r="K725" s="1" t="s">
        <v>1482</v>
      </c>
      <c r="L725" s="1" t="s">
        <v>4107</v>
      </c>
      <c r="M725" s="1" t="s">
        <v>49</v>
      </c>
      <c r="N725" s="1" t="s">
        <v>4108</v>
      </c>
      <c r="O725" s="1" t="s">
        <v>35</v>
      </c>
      <c r="P725" s="1" t="s">
        <v>4105</v>
      </c>
      <c r="Q725" s="1" t="s">
        <v>61</v>
      </c>
      <c r="R725" s="1" t="s">
        <v>37</v>
      </c>
      <c r="S725" s="1" t="s">
        <v>37</v>
      </c>
      <c r="T725" s="1" t="s">
        <v>37</v>
      </c>
      <c r="U725" s="1" t="s">
        <v>37</v>
      </c>
    </row>
    <row r="726" spans="1:21">
      <c r="A726" s="1" t="s">
        <v>4109</v>
      </c>
      <c r="B726" s="1" t="s">
        <v>115</v>
      </c>
      <c r="C726" s="1" t="s">
        <v>116</v>
      </c>
      <c r="D726" s="1" t="s">
        <v>24</v>
      </c>
      <c r="E726" s="1" t="s">
        <v>992</v>
      </c>
      <c r="F726" s="1" t="s">
        <v>117</v>
      </c>
      <c r="G726" s="1" t="s">
        <v>4110</v>
      </c>
      <c r="H726" s="1" t="s">
        <v>129</v>
      </c>
      <c r="I726" s="1" t="s">
        <v>4111</v>
      </c>
      <c r="J726" s="1" t="s">
        <v>4112</v>
      </c>
      <c r="K726" s="1" t="s">
        <v>2159</v>
      </c>
      <c r="L726" s="1" t="s">
        <v>3474</v>
      </c>
      <c r="M726" s="1" t="s">
        <v>33</v>
      </c>
      <c r="N726" s="1" t="s">
        <v>4113</v>
      </c>
      <c r="O726" s="1" t="s">
        <v>35</v>
      </c>
      <c r="P726" s="1" t="s">
        <v>4111</v>
      </c>
      <c r="Q726" s="1" t="s">
        <v>61</v>
      </c>
      <c r="R726" s="1" t="s">
        <v>37</v>
      </c>
      <c r="S726" s="1" t="s">
        <v>37</v>
      </c>
      <c r="T726" s="1" t="s">
        <v>37</v>
      </c>
      <c r="U726" s="1" t="s">
        <v>37</v>
      </c>
    </row>
    <row r="727" spans="1:21">
      <c r="A727" s="1" t="s">
        <v>4114</v>
      </c>
      <c r="B727" s="1" t="s">
        <v>39</v>
      </c>
      <c r="C727" s="1" t="s">
        <v>40</v>
      </c>
      <c r="D727" s="1" t="s">
        <v>24</v>
      </c>
      <c r="E727" s="1" t="s">
        <v>25</v>
      </c>
      <c r="F727" s="1" t="s">
        <v>26</v>
      </c>
      <c r="G727" s="1" t="s">
        <v>4115</v>
      </c>
      <c r="H727" s="1" t="s">
        <v>64</v>
      </c>
      <c r="I727" s="1" t="s">
        <v>4116</v>
      </c>
      <c r="J727" s="1" t="s">
        <v>4117</v>
      </c>
      <c r="K727" s="1" t="s">
        <v>132</v>
      </c>
      <c r="L727" s="1" t="s">
        <v>4118</v>
      </c>
      <c r="M727" s="1" t="s">
        <v>49</v>
      </c>
      <c r="N727" s="1" t="s">
        <v>4119</v>
      </c>
      <c r="O727" s="1" t="s">
        <v>35</v>
      </c>
      <c r="P727" s="1" t="s">
        <v>4116</v>
      </c>
      <c r="Q727" s="1" t="s">
        <v>468</v>
      </c>
      <c r="R727" s="1" t="s">
        <v>37</v>
      </c>
      <c r="S727" s="1" t="s">
        <v>37</v>
      </c>
      <c r="T727" s="1" t="s">
        <v>37</v>
      </c>
      <c r="U727" s="1" t="s">
        <v>37</v>
      </c>
    </row>
    <row r="728" spans="1:21">
      <c r="A728" s="1" t="s">
        <v>4120</v>
      </c>
      <c r="B728" s="1" t="s">
        <v>39</v>
      </c>
      <c r="C728" s="1" t="s">
        <v>40</v>
      </c>
      <c r="D728" s="1" t="s">
        <v>24</v>
      </c>
      <c r="E728" s="1" t="s">
        <v>992</v>
      </c>
      <c r="F728" s="1" t="s">
        <v>53</v>
      </c>
      <c r="G728" s="1" t="s">
        <v>4121</v>
      </c>
      <c r="H728" s="1" t="s">
        <v>119</v>
      </c>
      <c r="I728" s="1" t="s">
        <v>4122</v>
      </c>
      <c r="J728" s="1" t="s">
        <v>4123</v>
      </c>
      <c r="K728" s="1" t="s">
        <v>906</v>
      </c>
      <c r="L728" s="1" t="s">
        <v>4124</v>
      </c>
      <c r="M728" s="1" t="s">
        <v>59</v>
      </c>
      <c r="N728" s="1" t="s">
        <v>4125</v>
      </c>
      <c r="O728" s="1" t="s">
        <v>35</v>
      </c>
      <c r="P728" s="1" t="s">
        <v>4122</v>
      </c>
      <c r="Q728" s="1" t="s">
        <v>125</v>
      </c>
      <c r="R728" s="1" t="s">
        <v>37</v>
      </c>
      <c r="S728" s="1" t="s">
        <v>37</v>
      </c>
      <c r="T728" s="1" t="s">
        <v>37</v>
      </c>
      <c r="U728" s="1" t="s">
        <v>37</v>
      </c>
    </row>
    <row r="729" spans="1:21">
      <c r="A729" s="1" t="s">
        <v>4126</v>
      </c>
      <c r="B729" s="1" t="s">
        <v>115</v>
      </c>
      <c r="C729" s="1" t="s">
        <v>116</v>
      </c>
      <c r="D729" s="1" t="s">
        <v>41</v>
      </c>
      <c r="E729" s="1" t="s">
        <v>992</v>
      </c>
      <c r="F729" s="1" t="s">
        <v>72</v>
      </c>
      <c r="G729" s="1" t="s">
        <v>4127</v>
      </c>
      <c r="H729" s="1" t="s">
        <v>99</v>
      </c>
      <c r="I729" s="1" t="s">
        <v>4128</v>
      </c>
      <c r="J729" s="1" t="s">
        <v>4129</v>
      </c>
      <c r="K729" s="1" t="s">
        <v>217</v>
      </c>
      <c r="L729" s="1" t="s">
        <v>4130</v>
      </c>
      <c r="M729" s="1" t="s">
        <v>59</v>
      </c>
      <c r="N729" s="1" t="s">
        <v>4131</v>
      </c>
      <c r="O729" s="1" t="s">
        <v>35</v>
      </c>
      <c r="P729" s="1" t="s">
        <v>4128</v>
      </c>
      <c r="Q729" s="1" t="s">
        <v>1655</v>
      </c>
      <c r="R729" s="1" t="s">
        <v>37</v>
      </c>
      <c r="S729" s="1" t="s">
        <v>37</v>
      </c>
      <c r="T729" s="1" t="s">
        <v>37</v>
      </c>
      <c r="U729" s="1" t="s">
        <v>37</v>
      </c>
    </row>
    <row r="730" spans="1:21">
      <c r="A730" s="1" t="s">
        <v>4132</v>
      </c>
      <c r="B730" s="1" t="s">
        <v>39</v>
      </c>
      <c r="C730" s="1" t="s">
        <v>40</v>
      </c>
      <c r="D730" s="1" t="s">
        <v>41</v>
      </c>
      <c r="E730" s="1" t="s">
        <v>992</v>
      </c>
      <c r="F730" s="1" t="s">
        <v>127</v>
      </c>
      <c r="G730" s="1" t="s">
        <v>4133</v>
      </c>
      <c r="H730" s="1" t="s">
        <v>129</v>
      </c>
      <c r="I730" s="1" t="s">
        <v>4134</v>
      </c>
      <c r="J730" s="1" t="s">
        <v>4135</v>
      </c>
      <c r="K730" s="1" t="s">
        <v>378</v>
      </c>
      <c r="L730" s="1" t="s">
        <v>4136</v>
      </c>
      <c r="M730" s="1" t="s">
        <v>33</v>
      </c>
      <c r="N730" s="1" t="s">
        <v>4137</v>
      </c>
      <c r="O730" s="1" t="s">
        <v>35</v>
      </c>
      <c r="P730" s="1" t="s">
        <v>4134</v>
      </c>
      <c r="Q730" s="1" t="s">
        <v>143</v>
      </c>
      <c r="R730" s="1" t="s">
        <v>37</v>
      </c>
      <c r="S730" s="1" t="s">
        <v>37</v>
      </c>
      <c r="T730" s="1" t="s">
        <v>37</v>
      </c>
      <c r="U730" s="1" t="s">
        <v>37</v>
      </c>
    </row>
    <row r="731" spans="1:21">
      <c r="A731" s="1" t="s">
        <v>4138</v>
      </c>
      <c r="B731" s="1" t="s">
        <v>115</v>
      </c>
      <c r="C731" s="1" t="s">
        <v>116</v>
      </c>
      <c r="D731" s="1" t="s">
        <v>24</v>
      </c>
      <c r="E731" s="1" t="s">
        <v>25</v>
      </c>
      <c r="F731" s="1" t="s">
        <v>53</v>
      </c>
      <c r="G731" s="1" t="s">
        <v>4139</v>
      </c>
      <c r="H731" s="1" t="s">
        <v>28</v>
      </c>
      <c r="I731" s="1" t="s">
        <v>4140</v>
      </c>
      <c r="J731" s="1" t="s">
        <v>4141</v>
      </c>
      <c r="K731" s="1" t="s">
        <v>140</v>
      </c>
      <c r="L731" s="1" t="s">
        <v>1525</v>
      </c>
      <c r="M731" s="1" t="s">
        <v>49</v>
      </c>
      <c r="N731" s="1" t="s">
        <v>4142</v>
      </c>
      <c r="O731" s="1" t="s">
        <v>35</v>
      </c>
      <c r="P731" s="1" t="s">
        <v>4140</v>
      </c>
      <c r="Q731" s="1" t="s">
        <v>484</v>
      </c>
      <c r="R731" s="1" t="s">
        <v>37</v>
      </c>
      <c r="S731" s="1" t="s">
        <v>37</v>
      </c>
      <c r="T731" s="1" t="s">
        <v>37</v>
      </c>
      <c r="U731" s="1" t="s">
        <v>37</v>
      </c>
    </row>
    <row r="732" spans="1:21">
      <c r="A732" s="1" t="s">
        <v>4143</v>
      </c>
      <c r="B732" s="1" t="s">
        <v>22</v>
      </c>
      <c r="C732" s="1" t="s">
        <v>23</v>
      </c>
      <c r="D732" s="1" t="s">
        <v>24</v>
      </c>
      <c r="E732" s="1" t="s">
        <v>25</v>
      </c>
      <c r="F732" s="1" t="s">
        <v>127</v>
      </c>
      <c r="G732" s="1" t="s">
        <v>4144</v>
      </c>
      <c r="H732" s="1" t="s">
        <v>129</v>
      </c>
      <c r="I732" s="1" t="s">
        <v>4145</v>
      </c>
      <c r="J732" s="1" t="s">
        <v>4146</v>
      </c>
      <c r="K732" s="1" t="s">
        <v>742</v>
      </c>
      <c r="L732" s="1" t="s">
        <v>2261</v>
      </c>
      <c r="M732" s="1" t="s">
        <v>59</v>
      </c>
      <c r="N732" s="1" t="s">
        <v>4147</v>
      </c>
      <c r="O732" s="1" t="s">
        <v>35</v>
      </c>
      <c r="P732" s="1" t="s">
        <v>4145</v>
      </c>
      <c r="Q732" s="1" t="s">
        <v>205</v>
      </c>
      <c r="R732" s="1" t="s">
        <v>37</v>
      </c>
      <c r="S732" s="1" t="s">
        <v>37</v>
      </c>
      <c r="T732" s="1" t="s">
        <v>37</v>
      </c>
      <c r="U732" s="1" t="s">
        <v>37</v>
      </c>
    </row>
    <row r="733" spans="1:21">
      <c r="A733" s="1" t="s">
        <v>4148</v>
      </c>
      <c r="B733" s="1" t="s">
        <v>22</v>
      </c>
      <c r="C733" s="1" t="s">
        <v>23</v>
      </c>
      <c r="D733" s="1" t="s">
        <v>41</v>
      </c>
      <c r="E733" s="1" t="s">
        <v>992</v>
      </c>
      <c r="F733" s="1" t="s">
        <v>26</v>
      </c>
      <c r="G733" s="1" t="s">
        <v>4149</v>
      </c>
      <c r="H733" s="1" t="s">
        <v>119</v>
      </c>
      <c r="I733" s="1" t="s">
        <v>70</v>
      </c>
      <c r="J733" s="1" t="s">
        <v>4150</v>
      </c>
      <c r="K733" s="1" t="s">
        <v>452</v>
      </c>
      <c r="L733" s="1" t="s">
        <v>2273</v>
      </c>
      <c r="M733" s="1" t="s">
        <v>33</v>
      </c>
      <c r="N733" s="1" t="s">
        <v>4151</v>
      </c>
      <c r="O733" s="1" t="s">
        <v>35</v>
      </c>
      <c r="P733" s="1" t="s">
        <v>70</v>
      </c>
      <c r="Q733" s="1" t="s">
        <v>212</v>
      </c>
      <c r="R733" s="1" t="s">
        <v>37</v>
      </c>
      <c r="S733" s="1" t="s">
        <v>37</v>
      </c>
      <c r="T733" s="1" t="s">
        <v>37</v>
      </c>
      <c r="U733" s="1" t="s">
        <v>37</v>
      </c>
    </row>
    <row r="734" spans="1:21">
      <c r="A734" s="1" t="s">
        <v>4152</v>
      </c>
      <c r="B734" s="1" t="s">
        <v>22</v>
      </c>
      <c r="C734" s="1" t="s">
        <v>23</v>
      </c>
      <c r="D734" s="1" t="s">
        <v>24</v>
      </c>
      <c r="E734" s="1" t="s">
        <v>992</v>
      </c>
      <c r="F734" s="1" t="s">
        <v>127</v>
      </c>
      <c r="G734" s="1" t="s">
        <v>4153</v>
      </c>
      <c r="H734" s="1" t="s">
        <v>253</v>
      </c>
      <c r="I734" s="1" t="s">
        <v>4154</v>
      </c>
      <c r="J734" s="1" t="s">
        <v>4155</v>
      </c>
      <c r="K734" s="1" t="s">
        <v>76</v>
      </c>
      <c r="L734" s="1" t="s">
        <v>3805</v>
      </c>
      <c r="M734" s="1" t="s">
        <v>33</v>
      </c>
      <c r="N734" s="1" t="s">
        <v>4153</v>
      </c>
      <c r="O734" s="1" t="s">
        <v>35</v>
      </c>
      <c r="P734" s="1" t="s">
        <v>4154</v>
      </c>
      <c r="Q734" s="1" t="s">
        <v>386</v>
      </c>
      <c r="R734" s="1" t="s">
        <v>37</v>
      </c>
      <c r="S734" s="1" t="s">
        <v>37</v>
      </c>
      <c r="T734" s="1" t="s">
        <v>37</v>
      </c>
      <c r="U734" s="1" t="s">
        <v>37</v>
      </c>
    </row>
    <row r="735" spans="1:21">
      <c r="A735" s="1" t="s">
        <v>4156</v>
      </c>
      <c r="B735" s="1" t="s">
        <v>115</v>
      </c>
      <c r="C735" s="1" t="s">
        <v>116</v>
      </c>
      <c r="D735" s="1" t="s">
        <v>41</v>
      </c>
      <c r="E735" s="1" t="s">
        <v>992</v>
      </c>
      <c r="F735" s="1" t="s">
        <v>42</v>
      </c>
      <c r="G735" s="1" t="s">
        <v>3171</v>
      </c>
      <c r="H735" s="1" t="s">
        <v>28</v>
      </c>
      <c r="I735" s="1" t="s">
        <v>4157</v>
      </c>
      <c r="J735" s="1" t="s">
        <v>4158</v>
      </c>
      <c r="K735" s="1" t="s">
        <v>541</v>
      </c>
      <c r="L735" s="1" t="s">
        <v>4159</v>
      </c>
      <c r="M735" s="1" t="s">
        <v>33</v>
      </c>
      <c r="N735" s="1" t="s">
        <v>4160</v>
      </c>
      <c r="O735" s="1" t="s">
        <v>35</v>
      </c>
      <c r="P735" s="1" t="s">
        <v>4157</v>
      </c>
      <c r="Q735" s="1" t="s">
        <v>1655</v>
      </c>
      <c r="R735" s="1" t="s">
        <v>37</v>
      </c>
      <c r="S735" s="1" t="s">
        <v>37</v>
      </c>
      <c r="T735" s="1" t="s">
        <v>37</v>
      </c>
      <c r="U735" s="1" t="s">
        <v>37</v>
      </c>
    </row>
    <row r="736" spans="1:21">
      <c r="A736" s="1" t="s">
        <v>4161</v>
      </c>
      <c r="B736" s="1" t="s">
        <v>115</v>
      </c>
      <c r="C736" s="1" t="s">
        <v>116</v>
      </c>
      <c r="D736" s="1" t="s">
        <v>24</v>
      </c>
      <c r="E736" s="1" t="s">
        <v>992</v>
      </c>
      <c r="F736" s="1" t="s">
        <v>117</v>
      </c>
      <c r="G736" s="1" t="s">
        <v>4162</v>
      </c>
      <c r="H736" s="1" t="s">
        <v>253</v>
      </c>
      <c r="I736" s="1" t="s">
        <v>4163</v>
      </c>
      <c r="J736" s="1" t="s">
        <v>4164</v>
      </c>
      <c r="K736" s="1" t="s">
        <v>742</v>
      </c>
      <c r="L736" s="1" t="s">
        <v>3096</v>
      </c>
      <c r="M736" s="1" t="s">
        <v>33</v>
      </c>
      <c r="N736" s="1" t="s">
        <v>4162</v>
      </c>
      <c r="O736" s="1" t="s">
        <v>35</v>
      </c>
      <c r="P736" s="1" t="s">
        <v>4163</v>
      </c>
      <c r="Q736" s="1" t="s">
        <v>544</v>
      </c>
      <c r="R736" s="1" t="s">
        <v>37</v>
      </c>
      <c r="S736" s="1" t="s">
        <v>37</v>
      </c>
      <c r="T736" s="1" t="s">
        <v>37</v>
      </c>
      <c r="U736" s="1" t="s">
        <v>37</v>
      </c>
    </row>
    <row r="737" spans="1:21">
      <c r="A737" s="1" t="s">
        <v>4165</v>
      </c>
      <c r="B737" s="1" t="s">
        <v>39</v>
      </c>
      <c r="C737" s="1" t="s">
        <v>40</v>
      </c>
      <c r="D737" s="1" t="s">
        <v>24</v>
      </c>
      <c r="E737" s="1" t="s">
        <v>992</v>
      </c>
      <c r="F737" s="1" t="s">
        <v>26</v>
      </c>
      <c r="G737" s="1" t="s">
        <v>4166</v>
      </c>
      <c r="H737" s="1" t="s">
        <v>99</v>
      </c>
      <c r="I737" s="1" t="s">
        <v>4167</v>
      </c>
      <c r="J737" s="1" t="s">
        <v>4168</v>
      </c>
      <c r="K737" s="1" t="s">
        <v>262</v>
      </c>
      <c r="L737" s="1" t="s">
        <v>4169</v>
      </c>
      <c r="M737" s="1" t="s">
        <v>59</v>
      </c>
      <c r="N737" s="1" t="s">
        <v>4170</v>
      </c>
      <c r="O737" s="1" t="s">
        <v>35</v>
      </c>
      <c r="P737" s="1" t="s">
        <v>4167</v>
      </c>
      <c r="Q737" s="1" t="s">
        <v>90</v>
      </c>
      <c r="R737" s="1" t="s">
        <v>37</v>
      </c>
      <c r="S737" s="1" t="s">
        <v>37</v>
      </c>
      <c r="T737" s="1" t="s">
        <v>37</v>
      </c>
      <c r="U737" s="1" t="s">
        <v>37</v>
      </c>
    </row>
    <row r="738" spans="1:21">
      <c r="A738" s="1" t="s">
        <v>4171</v>
      </c>
      <c r="B738" s="1" t="s">
        <v>39</v>
      </c>
      <c r="C738" s="1" t="s">
        <v>40</v>
      </c>
      <c r="D738" s="1" t="s">
        <v>24</v>
      </c>
      <c r="E738" s="1" t="s">
        <v>25</v>
      </c>
      <c r="F738" s="1" t="s">
        <v>53</v>
      </c>
      <c r="G738" s="1" t="s">
        <v>4172</v>
      </c>
      <c r="H738" s="1" t="s">
        <v>28</v>
      </c>
      <c r="I738" s="1" t="s">
        <v>4173</v>
      </c>
      <c r="J738" s="1" t="s">
        <v>4174</v>
      </c>
      <c r="K738" s="1" t="s">
        <v>335</v>
      </c>
      <c r="L738" s="1" t="s">
        <v>2083</v>
      </c>
      <c r="M738" s="1" t="s">
        <v>59</v>
      </c>
      <c r="N738" s="1" t="s">
        <v>4175</v>
      </c>
      <c r="O738" s="1" t="s">
        <v>35</v>
      </c>
      <c r="P738" s="1" t="s">
        <v>4173</v>
      </c>
      <c r="Q738" s="1" t="s">
        <v>407</v>
      </c>
      <c r="R738" s="1" t="s">
        <v>37</v>
      </c>
      <c r="S738" s="1" t="s">
        <v>37</v>
      </c>
      <c r="T738" s="1" t="s">
        <v>37</v>
      </c>
      <c r="U738" s="1" t="s">
        <v>37</v>
      </c>
    </row>
    <row r="739" spans="1:21">
      <c r="A739" s="1" t="s">
        <v>4176</v>
      </c>
      <c r="B739" s="1" t="s">
        <v>39</v>
      </c>
      <c r="C739" s="1" t="s">
        <v>40</v>
      </c>
      <c r="D739" s="1" t="s">
        <v>41</v>
      </c>
      <c r="E739" s="1" t="s">
        <v>992</v>
      </c>
      <c r="F739" s="1" t="s">
        <v>42</v>
      </c>
      <c r="G739" s="1" t="s">
        <v>4177</v>
      </c>
      <c r="H739" s="1" t="s">
        <v>99</v>
      </c>
      <c r="I739" s="1" t="s">
        <v>4178</v>
      </c>
      <c r="J739" s="1" t="s">
        <v>4179</v>
      </c>
      <c r="K739" s="1" t="s">
        <v>1057</v>
      </c>
      <c r="L739" s="1" t="s">
        <v>4180</v>
      </c>
      <c r="M739" s="1" t="s">
        <v>33</v>
      </c>
      <c r="N739" s="1" t="s">
        <v>4181</v>
      </c>
      <c r="O739" s="1" t="s">
        <v>35</v>
      </c>
      <c r="P739" s="1" t="s">
        <v>4178</v>
      </c>
      <c r="Q739" s="1" t="s">
        <v>275</v>
      </c>
      <c r="R739" s="1" t="s">
        <v>37</v>
      </c>
      <c r="S739" s="1" t="s">
        <v>37</v>
      </c>
      <c r="T739" s="1" t="s">
        <v>37</v>
      </c>
      <c r="U739" s="1" t="s">
        <v>37</v>
      </c>
    </row>
    <row r="740" spans="1:21">
      <c r="A740" s="1" t="s">
        <v>4182</v>
      </c>
      <c r="B740" s="1" t="s">
        <v>115</v>
      </c>
      <c r="C740" s="1" t="s">
        <v>116</v>
      </c>
      <c r="D740" s="1" t="s">
        <v>24</v>
      </c>
      <c r="E740" s="1" t="s">
        <v>992</v>
      </c>
      <c r="F740" s="1" t="s">
        <v>42</v>
      </c>
      <c r="G740" s="1" t="s">
        <v>2027</v>
      </c>
      <c r="H740" s="1" t="s">
        <v>64</v>
      </c>
      <c r="I740" s="1" t="s">
        <v>4183</v>
      </c>
      <c r="J740" s="1" t="s">
        <v>4184</v>
      </c>
      <c r="K740" s="1" t="s">
        <v>599</v>
      </c>
      <c r="L740" s="1" t="s">
        <v>2186</v>
      </c>
      <c r="M740" s="1" t="s">
        <v>33</v>
      </c>
      <c r="N740" s="1" t="s">
        <v>4185</v>
      </c>
      <c r="O740" s="1" t="s">
        <v>35</v>
      </c>
      <c r="P740" s="1" t="s">
        <v>4183</v>
      </c>
      <c r="Q740" s="1" t="s">
        <v>90</v>
      </c>
      <c r="R740" s="1" t="s">
        <v>37</v>
      </c>
      <c r="S740" s="1" t="s">
        <v>37</v>
      </c>
      <c r="T740" s="1" t="s">
        <v>37</v>
      </c>
      <c r="U740" s="1" t="s">
        <v>37</v>
      </c>
    </row>
    <row r="741" spans="1:21">
      <c r="A741" s="1" t="s">
        <v>4186</v>
      </c>
      <c r="B741" s="1" t="s">
        <v>22</v>
      </c>
      <c r="C741" s="1" t="s">
        <v>23</v>
      </c>
      <c r="D741" s="1" t="s">
        <v>41</v>
      </c>
      <c r="E741" s="1" t="s">
        <v>992</v>
      </c>
      <c r="F741" s="1" t="s">
        <v>53</v>
      </c>
      <c r="G741" s="1" t="s">
        <v>382</v>
      </c>
      <c r="H741" s="1" t="s">
        <v>275</v>
      </c>
      <c r="I741" s="1" t="s">
        <v>4187</v>
      </c>
      <c r="J741" s="1" t="s">
        <v>4188</v>
      </c>
      <c r="K741" s="1" t="s">
        <v>1408</v>
      </c>
      <c r="L741" s="1" t="s">
        <v>804</v>
      </c>
      <c r="M741" s="1" t="s">
        <v>49</v>
      </c>
      <c r="N741" s="1" t="s">
        <v>4189</v>
      </c>
      <c r="O741" s="1" t="s">
        <v>35</v>
      </c>
      <c r="P741" s="1" t="s">
        <v>4187</v>
      </c>
      <c r="Q741" s="1" t="s">
        <v>971</v>
      </c>
      <c r="R741" s="1" t="s">
        <v>37</v>
      </c>
      <c r="S741" s="1" t="s">
        <v>37</v>
      </c>
      <c r="T741" s="1" t="s">
        <v>37</v>
      </c>
      <c r="U741" s="1" t="s">
        <v>37</v>
      </c>
    </row>
    <row r="742" spans="1:21">
      <c r="A742" s="1" t="s">
        <v>4190</v>
      </c>
      <c r="B742" s="1" t="s">
        <v>39</v>
      </c>
      <c r="C742" s="1" t="s">
        <v>40</v>
      </c>
      <c r="D742" s="1" t="s">
        <v>41</v>
      </c>
      <c r="E742" s="1" t="s">
        <v>992</v>
      </c>
      <c r="F742" s="1" t="s">
        <v>53</v>
      </c>
      <c r="G742" s="1" t="s">
        <v>4191</v>
      </c>
      <c r="H742" s="1" t="s">
        <v>28</v>
      </c>
      <c r="I742" s="1" t="s">
        <v>4192</v>
      </c>
      <c r="J742" s="1" t="s">
        <v>4193</v>
      </c>
      <c r="K742" s="1" t="s">
        <v>335</v>
      </c>
      <c r="L742" s="1" t="s">
        <v>4194</v>
      </c>
      <c r="M742" s="1" t="s">
        <v>49</v>
      </c>
      <c r="N742" s="1" t="s">
        <v>4195</v>
      </c>
      <c r="O742" s="1" t="s">
        <v>35</v>
      </c>
      <c r="P742" s="1" t="s">
        <v>4192</v>
      </c>
      <c r="Q742" s="1" t="s">
        <v>250</v>
      </c>
      <c r="R742" s="1" t="s">
        <v>37</v>
      </c>
      <c r="S742" s="1" t="s">
        <v>37</v>
      </c>
      <c r="T742" s="1" t="s">
        <v>37</v>
      </c>
      <c r="U742" s="1" t="s">
        <v>37</v>
      </c>
    </row>
    <row r="743" spans="1:21">
      <c r="A743" s="1" t="s">
        <v>4196</v>
      </c>
      <c r="B743" s="1" t="s">
        <v>39</v>
      </c>
      <c r="C743" s="1" t="s">
        <v>40</v>
      </c>
      <c r="D743" s="1" t="s">
        <v>41</v>
      </c>
      <c r="E743" s="1" t="s">
        <v>992</v>
      </c>
      <c r="F743" s="1" t="s">
        <v>117</v>
      </c>
      <c r="G743" s="1" t="s">
        <v>4197</v>
      </c>
      <c r="H743" s="1" t="s">
        <v>253</v>
      </c>
      <c r="I743" s="1" t="s">
        <v>4198</v>
      </c>
      <c r="J743" s="1" t="s">
        <v>4199</v>
      </c>
      <c r="K743" s="1" t="s">
        <v>1350</v>
      </c>
      <c r="L743" s="1" t="s">
        <v>4200</v>
      </c>
      <c r="M743" s="1" t="s">
        <v>33</v>
      </c>
      <c r="N743" s="1" t="s">
        <v>4197</v>
      </c>
      <c r="O743" s="1" t="s">
        <v>35</v>
      </c>
      <c r="P743" s="1" t="s">
        <v>4198</v>
      </c>
      <c r="Q743" s="1" t="s">
        <v>944</v>
      </c>
      <c r="R743" s="1" t="s">
        <v>37</v>
      </c>
      <c r="S743" s="1" t="s">
        <v>37</v>
      </c>
      <c r="T743" s="1" t="s">
        <v>37</v>
      </c>
      <c r="U743" s="1" t="s">
        <v>37</v>
      </c>
    </row>
    <row r="744" spans="1:21">
      <c r="A744" s="1" t="s">
        <v>4201</v>
      </c>
      <c r="B744" s="1" t="s">
        <v>22</v>
      </c>
      <c r="C744" s="1" t="s">
        <v>23</v>
      </c>
      <c r="D744" s="1" t="s">
        <v>24</v>
      </c>
      <c r="E744" s="1" t="s">
        <v>25</v>
      </c>
      <c r="F744" s="1" t="s">
        <v>72</v>
      </c>
      <c r="G744" s="1" t="s">
        <v>4202</v>
      </c>
      <c r="H744" s="1" t="s">
        <v>107</v>
      </c>
      <c r="I744" s="1" t="s">
        <v>4203</v>
      </c>
      <c r="J744" s="1" t="s">
        <v>4204</v>
      </c>
      <c r="K744" s="1" t="s">
        <v>148</v>
      </c>
      <c r="L744" s="1" t="s">
        <v>3346</v>
      </c>
      <c r="M744" s="1" t="s">
        <v>33</v>
      </c>
      <c r="N744" s="1" t="s">
        <v>4205</v>
      </c>
      <c r="O744" s="1" t="s">
        <v>35</v>
      </c>
      <c r="P744" s="1" t="s">
        <v>4203</v>
      </c>
      <c r="Q744" s="1" t="s">
        <v>944</v>
      </c>
      <c r="R744" s="1" t="s">
        <v>37</v>
      </c>
      <c r="S744" s="1" t="s">
        <v>37</v>
      </c>
      <c r="T744" s="1" t="s">
        <v>37</v>
      </c>
      <c r="U744" s="1" t="s">
        <v>37</v>
      </c>
    </row>
    <row r="745" spans="1:21">
      <c r="A745" s="1" t="s">
        <v>4206</v>
      </c>
      <c r="B745" s="1" t="s">
        <v>22</v>
      </c>
      <c r="C745" s="1" t="s">
        <v>23</v>
      </c>
      <c r="D745" s="1" t="s">
        <v>24</v>
      </c>
      <c r="E745" s="1" t="s">
        <v>992</v>
      </c>
      <c r="F745" s="1" t="s">
        <v>53</v>
      </c>
      <c r="G745" s="1" t="s">
        <v>4207</v>
      </c>
      <c r="H745" s="1" t="s">
        <v>107</v>
      </c>
      <c r="I745" s="1" t="s">
        <v>4208</v>
      </c>
      <c r="J745" s="1" t="s">
        <v>4209</v>
      </c>
      <c r="K745" s="1" t="s">
        <v>122</v>
      </c>
      <c r="L745" s="1" t="s">
        <v>3692</v>
      </c>
      <c r="M745" s="1" t="s">
        <v>33</v>
      </c>
      <c r="N745" s="1" t="s">
        <v>4210</v>
      </c>
      <c r="O745" s="1" t="s">
        <v>35</v>
      </c>
      <c r="P745" s="1" t="s">
        <v>4208</v>
      </c>
      <c r="Q745" s="1" t="s">
        <v>386</v>
      </c>
      <c r="R745" s="1" t="s">
        <v>37</v>
      </c>
      <c r="S745" s="1" t="s">
        <v>37</v>
      </c>
      <c r="T745" s="1" t="s">
        <v>37</v>
      </c>
      <c r="U745" s="1" t="s">
        <v>37</v>
      </c>
    </row>
    <row r="746" spans="1:21">
      <c r="A746" s="1" t="s">
        <v>4211</v>
      </c>
      <c r="B746" s="1" t="s">
        <v>39</v>
      </c>
      <c r="C746" s="1" t="s">
        <v>40</v>
      </c>
      <c r="D746" s="1" t="s">
        <v>24</v>
      </c>
      <c r="E746" s="1" t="s">
        <v>25</v>
      </c>
      <c r="F746" s="1" t="s">
        <v>72</v>
      </c>
      <c r="G746" s="1" t="s">
        <v>4212</v>
      </c>
      <c r="H746" s="1" t="s">
        <v>64</v>
      </c>
      <c r="I746" s="1" t="s">
        <v>4213</v>
      </c>
      <c r="J746" s="1" t="s">
        <v>4214</v>
      </c>
      <c r="K746" s="1" t="s">
        <v>668</v>
      </c>
      <c r="L746" s="1" t="s">
        <v>173</v>
      </c>
      <c r="M746" s="1" t="s">
        <v>59</v>
      </c>
      <c r="N746" s="1" t="s">
        <v>4215</v>
      </c>
      <c r="O746" s="1" t="s">
        <v>35</v>
      </c>
      <c r="P746" s="1" t="s">
        <v>4213</v>
      </c>
      <c r="Q746" s="1" t="s">
        <v>366</v>
      </c>
      <c r="R746" s="1" t="s">
        <v>37</v>
      </c>
      <c r="S746" s="1" t="s">
        <v>37</v>
      </c>
      <c r="T746" s="1" t="s">
        <v>37</v>
      </c>
      <c r="U746" s="1" t="s">
        <v>37</v>
      </c>
    </row>
    <row r="747" spans="1:21">
      <c r="A747" s="1" t="s">
        <v>4216</v>
      </c>
      <c r="B747" s="1" t="s">
        <v>39</v>
      </c>
      <c r="C747" s="1" t="s">
        <v>40</v>
      </c>
      <c r="D747" s="1" t="s">
        <v>24</v>
      </c>
      <c r="E747" s="1" t="s">
        <v>25</v>
      </c>
      <c r="F747" s="1" t="s">
        <v>117</v>
      </c>
      <c r="G747" s="1" t="s">
        <v>4217</v>
      </c>
      <c r="H747" s="1" t="s">
        <v>253</v>
      </c>
      <c r="I747" s="1" t="s">
        <v>4218</v>
      </c>
      <c r="J747" s="1" t="s">
        <v>4219</v>
      </c>
      <c r="K747" s="1" t="s">
        <v>356</v>
      </c>
      <c r="L747" s="1" t="s">
        <v>4220</v>
      </c>
      <c r="M747" s="1" t="s">
        <v>49</v>
      </c>
      <c r="N747" s="1" t="s">
        <v>4217</v>
      </c>
      <c r="O747" s="1" t="s">
        <v>35</v>
      </c>
      <c r="P747" s="1" t="s">
        <v>4218</v>
      </c>
      <c r="Q747" s="1" t="s">
        <v>198</v>
      </c>
      <c r="R747" s="1" t="s">
        <v>37</v>
      </c>
      <c r="S747" s="1" t="s">
        <v>37</v>
      </c>
      <c r="T747" s="1" t="s">
        <v>37</v>
      </c>
      <c r="U747" s="1" t="s">
        <v>37</v>
      </c>
    </row>
    <row r="748" spans="1:21">
      <c r="A748" s="1" t="s">
        <v>4221</v>
      </c>
      <c r="B748" s="1" t="s">
        <v>115</v>
      </c>
      <c r="C748" s="1" t="s">
        <v>116</v>
      </c>
      <c r="D748" s="1" t="s">
        <v>24</v>
      </c>
      <c r="E748" s="1" t="s">
        <v>992</v>
      </c>
      <c r="F748" s="1" t="s">
        <v>127</v>
      </c>
      <c r="G748" s="1" t="s">
        <v>4222</v>
      </c>
      <c r="H748" s="1" t="s">
        <v>99</v>
      </c>
      <c r="I748" s="1" t="s">
        <v>4223</v>
      </c>
      <c r="J748" s="1" t="s">
        <v>4224</v>
      </c>
      <c r="K748" s="1" t="s">
        <v>906</v>
      </c>
      <c r="L748" s="1" t="s">
        <v>2480</v>
      </c>
      <c r="M748" s="1" t="s">
        <v>59</v>
      </c>
      <c r="N748" s="1" t="s">
        <v>4225</v>
      </c>
      <c r="O748" s="1" t="s">
        <v>35</v>
      </c>
      <c r="P748" s="1" t="s">
        <v>4223</v>
      </c>
      <c r="Q748" s="1" t="s">
        <v>849</v>
      </c>
      <c r="R748" s="1" t="s">
        <v>37</v>
      </c>
      <c r="S748" s="1" t="s">
        <v>37</v>
      </c>
      <c r="T748" s="1" t="s">
        <v>37</v>
      </c>
      <c r="U748" s="1" t="s">
        <v>37</v>
      </c>
    </row>
    <row r="749" spans="1:21">
      <c r="A749" s="1" t="s">
        <v>4226</v>
      </c>
      <c r="B749" s="1" t="s">
        <v>39</v>
      </c>
      <c r="C749" s="1" t="s">
        <v>40</v>
      </c>
      <c r="D749" s="1" t="s">
        <v>24</v>
      </c>
      <c r="E749" s="1" t="s">
        <v>25</v>
      </c>
      <c r="F749" s="1" t="s">
        <v>53</v>
      </c>
      <c r="G749" s="1" t="s">
        <v>4227</v>
      </c>
      <c r="H749" s="1" t="s">
        <v>44</v>
      </c>
      <c r="I749" s="1" t="s">
        <v>4228</v>
      </c>
      <c r="J749" s="1" t="s">
        <v>4229</v>
      </c>
      <c r="K749" s="1" t="s">
        <v>1122</v>
      </c>
      <c r="L749" s="1" t="s">
        <v>1095</v>
      </c>
      <c r="M749" s="1" t="s">
        <v>59</v>
      </c>
      <c r="N749" s="1" t="s">
        <v>4230</v>
      </c>
      <c r="O749" s="1" t="s">
        <v>35</v>
      </c>
      <c r="P749" s="1" t="s">
        <v>4228</v>
      </c>
      <c r="Q749" s="1" t="s">
        <v>96</v>
      </c>
      <c r="R749" s="1" t="s">
        <v>37</v>
      </c>
      <c r="S749" s="1" t="s">
        <v>37</v>
      </c>
      <c r="T749" s="1" t="s">
        <v>37</v>
      </c>
      <c r="U749" s="1" t="s">
        <v>37</v>
      </c>
    </row>
    <row r="750" spans="1:21">
      <c r="A750" s="1" t="s">
        <v>4231</v>
      </c>
      <c r="B750" s="1" t="s">
        <v>115</v>
      </c>
      <c r="C750" s="1" t="s">
        <v>116</v>
      </c>
      <c r="D750" s="1" t="s">
        <v>24</v>
      </c>
      <c r="E750" s="1" t="s">
        <v>25</v>
      </c>
      <c r="F750" s="1" t="s">
        <v>53</v>
      </c>
      <c r="G750" s="1" t="s">
        <v>4232</v>
      </c>
      <c r="H750" s="1" t="s">
        <v>275</v>
      </c>
      <c r="I750" s="1" t="s">
        <v>4233</v>
      </c>
      <c r="J750" s="1" t="s">
        <v>4234</v>
      </c>
      <c r="K750" s="1" t="s">
        <v>737</v>
      </c>
      <c r="L750" s="1" t="s">
        <v>1513</v>
      </c>
      <c r="M750" s="1" t="s">
        <v>59</v>
      </c>
      <c r="N750" s="1" t="s">
        <v>4235</v>
      </c>
      <c r="O750" s="1" t="s">
        <v>35</v>
      </c>
      <c r="P750" s="1" t="s">
        <v>4233</v>
      </c>
      <c r="Q750" s="1" t="s">
        <v>64</v>
      </c>
      <c r="R750" s="1" t="s">
        <v>37</v>
      </c>
      <c r="S750" s="1" t="s">
        <v>37</v>
      </c>
      <c r="T750" s="1" t="s">
        <v>37</v>
      </c>
      <c r="U750" s="1" t="s">
        <v>37</v>
      </c>
    </row>
    <row r="751" spans="1:21">
      <c r="A751" s="1" t="s">
        <v>4236</v>
      </c>
      <c r="B751" s="1" t="s">
        <v>39</v>
      </c>
      <c r="C751" s="1" t="s">
        <v>40</v>
      </c>
      <c r="D751" s="1" t="s">
        <v>24</v>
      </c>
      <c r="E751" s="1" t="s">
        <v>992</v>
      </c>
      <c r="F751" s="1" t="s">
        <v>26</v>
      </c>
      <c r="G751" s="1" t="s">
        <v>4237</v>
      </c>
      <c r="H751" s="1" t="s">
        <v>28</v>
      </c>
      <c r="I751" s="1" t="s">
        <v>4238</v>
      </c>
      <c r="J751" s="1" t="s">
        <v>4239</v>
      </c>
      <c r="K751" s="1" t="s">
        <v>172</v>
      </c>
      <c r="L751" s="1" t="s">
        <v>4240</v>
      </c>
      <c r="M751" s="1" t="s">
        <v>49</v>
      </c>
      <c r="N751" s="1" t="s">
        <v>4241</v>
      </c>
      <c r="O751" s="1" t="s">
        <v>35</v>
      </c>
      <c r="P751" s="1" t="s">
        <v>4238</v>
      </c>
      <c r="Q751" s="1" t="s">
        <v>275</v>
      </c>
      <c r="R751" s="1" t="s">
        <v>37</v>
      </c>
      <c r="S751" s="1" t="s">
        <v>37</v>
      </c>
      <c r="T751" s="1" t="s">
        <v>37</v>
      </c>
      <c r="U751" s="1" t="s">
        <v>37</v>
      </c>
    </row>
    <row r="752" spans="1:21">
      <c r="A752" s="1" t="s">
        <v>4242</v>
      </c>
      <c r="B752" s="1" t="s">
        <v>115</v>
      </c>
      <c r="C752" s="1" t="s">
        <v>116</v>
      </c>
      <c r="D752" s="1" t="s">
        <v>24</v>
      </c>
      <c r="E752" s="1" t="s">
        <v>25</v>
      </c>
      <c r="F752" s="1" t="s">
        <v>127</v>
      </c>
      <c r="G752" s="1" t="s">
        <v>4144</v>
      </c>
      <c r="H752" s="1" t="s">
        <v>129</v>
      </c>
      <c r="I752" s="1" t="s">
        <v>4145</v>
      </c>
      <c r="J752" s="1" t="s">
        <v>4146</v>
      </c>
      <c r="K752" s="1" t="s">
        <v>1718</v>
      </c>
      <c r="L752" s="1" t="s">
        <v>4243</v>
      </c>
      <c r="M752" s="1" t="s">
        <v>33</v>
      </c>
      <c r="N752" s="1" t="s">
        <v>4147</v>
      </c>
      <c r="O752" s="1" t="s">
        <v>35</v>
      </c>
      <c r="P752" s="1" t="s">
        <v>4145</v>
      </c>
      <c r="Q752" s="1" t="s">
        <v>87</v>
      </c>
      <c r="R752" s="1" t="s">
        <v>37</v>
      </c>
      <c r="S752" s="1" t="s">
        <v>37</v>
      </c>
      <c r="T752" s="1" t="s">
        <v>37</v>
      </c>
      <c r="U752" s="1" t="s">
        <v>37</v>
      </c>
    </row>
    <row r="753" spans="1:21">
      <c r="A753" s="1" t="s">
        <v>4244</v>
      </c>
      <c r="B753" s="1" t="s">
        <v>22</v>
      </c>
      <c r="C753" s="1" t="s">
        <v>23</v>
      </c>
      <c r="D753" s="1" t="s">
        <v>41</v>
      </c>
      <c r="E753" s="1" t="s">
        <v>25</v>
      </c>
      <c r="F753" s="1" t="s">
        <v>117</v>
      </c>
      <c r="G753" s="1" t="s">
        <v>4245</v>
      </c>
      <c r="H753" s="1" t="s">
        <v>44</v>
      </c>
      <c r="I753" s="1" t="s">
        <v>4246</v>
      </c>
      <c r="J753" s="1" t="s">
        <v>4247</v>
      </c>
      <c r="K753" s="1" t="s">
        <v>419</v>
      </c>
      <c r="L753" s="1" t="s">
        <v>3134</v>
      </c>
      <c r="M753" s="1" t="s">
        <v>59</v>
      </c>
      <c r="N753" s="1" t="s">
        <v>4248</v>
      </c>
      <c r="O753" s="1" t="s">
        <v>35</v>
      </c>
      <c r="P753" s="1" t="s">
        <v>4246</v>
      </c>
      <c r="Q753" s="1" t="s">
        <v>198</v>
      </c>
      <c r="R753" s="1" t="s">
        <v>37</v>
      </c>
      <c r="S753" s="1" t="s">
        <v>37</v>
      </c>
      <c r="T753" s="1" t="s">
        <v>37</v>
      </c>
      <c r="U753" s="1" t="s">
        <v>37</v>
      </c>
    </row>
    <row r="754" spans="1:21">
      <c r="A754" s="1" t="s">
        <v>4249</v>
      </c>
      <c r="B754" s="1" t="s">
        <v>22</v>
      </c>
      <c r="C754" s="1" t="s">
        <v>23</v>
      </c>
      <c r="D754" s="1" t="s">
        <v>24</v>
      </c>
      <c r="E754" s="1" t="s">
        <v>25</v>
      </c>
      <c r="F754" s="1" t="s">
        <v>42</v>
      </c>
      <c r="G754" s="1" t="s">
        <v>4250</v>
      </c>
      <c r="H754" s="1" t="s">
        <v>99</v>
      </c>
      <c r="I754" s="1" t="s">
        <v>4251</v>
      </c>
      <c r="J754" s="1" t="s">
        <v>4252</v>
      </c>
      <c r="K754" s="1" t="s">
        <v>1008</v>
      </c>
      <c r="L754" s="1" t="s">
        <v>4253</v>
      </c>
      <c r="M754" s="1" t="s">
        <v>33</v>
      </c>
      <c r="N754" s="1" t="s">
        <v>4254</v>
      </c>
      <c r="O754" s="1" t="s">
        <v>35</v>
      </c>
      <c r="P754" s="1" t="s">
        <v>4251</v>
      </c>
      <c r="Q754" s="1" t="s">
        <v>28</v>
      </c>
      <c r="R754" s="1" t="s">
        <v>37</v>
      </c>
      <c r="S754" s="1" t="s">
        <v>37</v>
      </c>
      <c r="T754" s="1" t="s">
        <v>37</v>
      </c>
      <c r="U754" s="1" t="s">
        <v>37</v>
      </c>
    </row>
    <row r="755" spans="1:21">
      <c r="A755" s="1" t="s">
        <v>4255</v>
      </c>
      <c r="B755" s="1" t="s">
        <v>115</v>
      </c>
      <c r="C755" s="1" t="s">
        <v>116</v>
      </c>
      <c r="D755" s="1" t="s">
        <v>41</v>
      </c>
      <c r="E755" s="1" t="s">
        <v>992</v>
      </c>
      <c r="F755" s="1" t="s">
        <v>53</v>
      </c>
      <c r="G755" s="1" t="s">
        <v>4256</v>
      </c>
      <c r="H755" s="1" t="s">
        <v>44</v>
      </c>
      <c r="I755" s="1" t="s">
        <v>4257</v>
      </c>
      <c r="J755" s="1" t="s">
        <v>4258</v>
      </c>
      <c r="K755" s="1" t="s">
        <v>541</v>
      </c>
      <c r="L755" s="1" t="s">
        <v>1422</v>
      </c>
      <c r="M755" s="1" t="s">
        <v>33</v>
      </c>
      <c r="N755" s="1" t="s">
        <v>4259</v>
      </c>
      <c r="O755" s="1" t="s">
        <v>35</v>
      </c>
      <c r="P755" s="1" t="s">
        <v>4257</v>
      </c>
      <c r="Q755" s="1" t="s">
        <v>70</v>
      </c>
      <c r="R755" s="1" t="s">
        <v>37</v>
      </c>
      <c r="S755" s="1" t="s">
        <v>37</v>
      </c>
      <c r="T755" s="1" t="s">
        <v>37</v>
      </c>
      <c r="U755" s="1" t="s">
        <v>37</v>
      </c>
    </row>
    <row r="756" spans="1:21">
      <c r="A756" s="1" t="s">
        <v>4260</v>
      </c>
      <c r="B756" s="1" t="s">
        <v>39</v>
      </c>
      <c r="C756" s="1" t="s">
        <v>40</v>
      </c>
      <c r="D756" s="1" t="s">
        <v>24</v>
      </c>
      <c r="E756" s="1" t="s">
        <v>25</v>
      </c>
      <c r="F756" s="1" t="s">
        <v>127</v>
      </c>
      <c r="G756" s="1" t="s">
        <v>4261</v>
      </c>
      <c r="H756" s="1" t="s">
        <v>119</v>
      </c>
      <c r="I756" s="1" t="s">
        <v>4262</v>
      </c>
      <c r="J756" s="1" t="s">
        <v>4263</v>
      </c>
      <c r="K756" s="1" t="s">
        <v>270</v>
      </c>
      <c r="L756" s="1" t="s">
        <v>85</v>
      </c>
      <c r="M756" s="1" t="s">
        <v>33</v>
      </c>
      <c r="N756" s="1" t="s">
        <v>4264</v>
      </c>
      <c r="O756" s="1" t="s">
        <v>35</v>
      </c>
      <c r="P756" s="1" t="s">
        <v>4262</v>
      </c>
      <c r="Q756" s="1" t="s">
        <v>61</v>
      </c>
      <c r="R756" s="1" t="s">
        <v>37</v>
      </c>
      <c r="S756" s="1" t="s">
        <v>37</v>
      </c>
      <c r="T756" s="1" t="s">
        <v>37</v>
      </c>
      <c r="U756" s="1" t="s">
        <v>37</v>
      </c>
    </row>
    <row r="757" spans="1:21">
      <c r="A757" s="1" t="s">
        <v>4265</v>
      </c>
      <c r="B757" s="1" t="s">
        <v>22</v>
      </c>
      <c r="C757" s="1" t="s">
        <v>23</v>
      </c>
      <c r="D757" s="1" t="s">
        <v>41</v>
      </c>
      <c r="E757" s="1" t="s">
        <v>25</v>
      </c>
      <c r="F757" s="1" t="s">
        <v>127</v>
      </c>
      <c r="G757" s="1" t="s">
        <v>4266</v>
      </c>
      <c r="H757" s="1" t="s">
        <v>64</v>
      </c>
      <c r="I757" s="1" t="s">
        <v>4267</v>
      </c>
      <c r="J757" s="1" t="s">
        <v>4268</v>
      </c>
      <c r="K757" s="1" t="s">
        <v>140</v>
      </c>
      <c r="L757" s="1" t="s">
        <v>924</v>
      </c>
      <c r="M757" s="1" t="s">
        <v>59</v>
      </c>
      <c r="N757" s="1" t="s">
        <v>4269</v>
      </c>
      <c r="O757" s="1" t="s">
        <v>35</v>
      </c>
      <c r="P757" s="1" t="s">
        <v>4267</v>
      </c>
      <c r="Q757" s="1" t="s">
        <v>957</v>
      </c>
      <c r="R757" s="1" t="s">
        <v>37</v>
      </c>
      <c r="S757" s="1" t="s">
        <v>37</v>
      </c>
      <c r="T757" s="1" t="s">
        <v>37</v>
      </c>
      <c r="U757" s="1" t="s">
        <v>37</v>
      </c>
    </row>
    <row r="758" spans="1:21">
      <c r="A758" s="1" t="s">
        <v>4270</v>
      </c>
      <c r="B758" s="1" t="s">
        <v>115</v>
      </c>
      <c r="C758" s="1" t="s">
        <v>116</v>
      </c>
      <c r="D758" s="1" t="s">
        <v>24</v>
      </c>
      <c r="E758" s="1" t="s">
        <v>25</v>
      </c>
      <c r="F758" s="1" t="s">
        <v>42</v>
      </c>
      <c r="G758" s="1" t="s">
        <v>4271</v>
      </c>
      <c r="H758" s="1" t="s">
        <v>64</v>
      </c>
      <c r="I758" s="1" t="s">
        <v>4272</v>
      </c>
      <c r="J758" s="1" t="s">
        <v>4273</v>
      </c>
      <c r="K758" s="1" t="s">
        <v>232</v>
      </c>
      <c r="L758" s="1" t="s">
        <v>2474</v>
      </c>
      <c r="M758" s="1" t="s">
        <v>33</v>
      </c>
      <c r="N758" s="1" t="s">
        <v>4274</v>
      </c>
      <c r="O758" s="1" t="s">
        <v>35</v>
      </c>
      <c r="P758" s="1" t="s">
        <v>4272</v>
      </c>
      <c r="Q758" s="1" t="s">
        <v>752</v>
      </c>
      <c r="R758" s="1" t="s">
        <v>37</v>
      </c>
      <c r="S758" s="1" t="s">
        <v>37</v>
      </c>
      <c r="T758" s="1" t="s">
        <v>37</v>
      </c>
      <c r="U758" s="1" t="s">
        <v>37</v>
      </c>
    </row>
    <row r="759" spans="1:21">
      <c r="A759" s="1" t="s">
        <v>4275</v>
      </c>
      <c r="B759" s="1" t="s">
        <v>22</v>
      </c>
      <c r="C759" s="1" t="s">
        <v>23</v>
      </c>
      <c r="D759" s="1" t="s">
        <v>41</v>
      </c>
      <c r="E759" s="1" t="s">
        <v>25</v>
      </c>
      <c r="F759" s="1" t="s">
        <v>53</v>
      </c>
      <c r="G759" s="1" t="s">
        <v>4276</v>
      </c>
      <c r="H759" s="1" t="s">
        <v>90</v>
      </c>
      <c r="I759" s="1" t="s">
        <v>4277</v>
      </c>
      <c r="J759" s="1" t="s">
        <v>4278</v>
      </c>
      <c r="K759" s="1" t="s">
        <v>1482</v>
      </c>
      <c r="L759" s="1" t="s">
        <v>3741</v>
      </c>
      <c r="M759" s="1" t="s">
        <v>49</v>
      </c>
      <c r="N759" s="1" t="s">
        <v>4279</v>
      </c>
      <c r="O759" s="1" t="s">
        <v>35</v>
      </c>
      <c r="P759" s="1" t="s">
        <v>4277</v>
      </c>
      <c r="Q759" s="1" t="s">
        <v>135</v>
      </c>
      <c r="R759" s="1" t="s">
        <v>37</v>
      </c>
      <c r="S759" s="1" t="s">
        <v>37</v>
      </c>
      <c r="T759" s="1" t="s">
        <v>37</v>
      </c>
      <c r="U759" s="1" t="s">
        <v>37</v>
      </c>
    </row>
    <row r="760" spans="1:21">
      <c r="A760" s="1" t="s">
        <v>4280</v>
      </c>
      <c r="B760" s="1" t="s">
        <v>22</v>
      </c>
      <c r="C760" s="1" t="s">
        <v>23</v>
      </c>
      <c r="D760" s="1" t="s">
        <v>24</v>
      </c>
      <c r="E760" s="1" t="s">
        <v>992</v>
      </c>
      <c r="F760" s="1" t="s">
        <v>117</v>
      </c>
      <c r="G760" s="1" t="s">
        <v>4281</v>
      </c>
      <c r="H760" s="1" t="s">
        <v>99</v>
      </c>
      <c r="I760" s="1" t="s">
        <v>4282</v>
      </c>
      <c r="J760" s="1" t="s">
        <v>4283</v>
      </c>
      <c r="K760" s="1" t="s">
        <v>391</v>
      </c>
      <c r="L760" s="1" t="s">
        <v>1537</v>
      </c>
      <c r="M760" s="1" t="s">
        <v>33</v>
      </c>
      <c r="N760" s="1" t="s">
        <v>4284</v>
      </c>
      <c r="O760" s="1" t="s">
        <v>35</v>
      </c>
      <c r="P760" s="1" t="s">
        <v>4282</v>
      </c>
      <c r="Q760" s="1" t="s">
        <v>366</v>
      </c>
      <c r="R760" s="1" t="s">
        <v>37</v>
      </c>
      <c r="S760" s="1" t="s">
        <v>37</v>
      </c>
      <c r="T760" s="1" t="s">
        <v>37</v>
      </c>
      <c r="U760" s="1" t="s">
        <v>37</v>
      </c>
    </row>
    <row r="761" spans="1:21">
      <c r="A761" s="1" t="s">
        <v>4285</v>
      </c>
      <c r="B761" s="1" t="s">
        <v>22</v>
      </c>
      <c r="C761" s="1" t="s">
        <v>23</v>
      </c>
      <c r="D761" s="1" t="s">
        <v>41</v>
      </c>
      <c r="E761" s="1" t="s">
        <v>25</v>
      </c>
      <c r="F761" s="1" t="s">
        <v>117</v>
      </c>
      <c r="G761" s="1" t="s">
        <v>4286</v>
      </c>
      <c r="H761" s="1" t="s">
        <v>129</v>
      </c>
      <c r="I761" s="1" t="s">
        <v>4287</v>
      </c>
      <c r="J761" s="1" t="s">
        <v>4288</v>
      </c>
      <c r="K761" s="1" t="s">
        <v>84</v>
      </c>
      <c r="L761" s="1" t="s">
        <v>2757</v>
      </c>
      <c r="M761" s="1" t="s">
        <v>33</v>
      </c>
      <c r="N761" s="1" t="s">
        <v>4289</v>
      </c>
      <c r="O761" s="1" t="s">
        <v>35</v>
      </c>
      <c r="P761" s="1" t="s">
        <v>4287</v>
      </c>
      <c r="Q761" s="1" t="s">
        <v>64</v>
      </c>
      <c r="R761" s="1" t="s">
        <v>37</v>
      </c>
      <c r="S761" s="1" t="s">
        <v>37</v>
      </c>
      <c r="T761" s="1" t="s">
        <v>37</v>
      </c>
      <c r="U761" s="1" t="s">
        <v>37</v>
      </c>
    </row>
    <row r="762" spans="1:21">
      <c r="A762" s="1" t="s">
        <v>4290</v>
      </c>
      <c r="B762" s="1" t="s">
        <v>115</v>
      </c>
      <c r="C762" s="1" t="s">
        <v>116</v>
      </c>
      <c r="D762" s="1" t="s">
        <v>24</v>
      </c>
      <c r="E762" s="1" t="s">
        <v>25</v>
      </c>
      <c r="F762" s="1" t="s">
        <v>117</v>
      </c>
      <c r="G762" s="1" t="s">
        <v>4291</v>
      </c>
      <c r="H762" s="1" t="s">
        <v>99</v>
      </c>
      <c r="I762" s="1" t="s">
        <v>2550</v>
      </c>
      <c r="J762" s="1" t="s">
        <v>4292</v>
      </c>
      <c r="K762" s="1" t="s">
        <v>562</v>
      </c>
      <c r="L762" s="1" t="s">
        <v>4159</v>
      </c>
      <c r="M762" s="1" t="s">
        <v>59</v>
      </c>
      <c r="N762" s="1" t="s">
        <v>4293</v>
      </c>
      <c r="O762" s="1" t="s">
        <v>35</v>
      </c>
      <c r="P762" s="1" t="s">
        <v>2550</v>
      </c>
      <c r="Q762" s="1" t="s">
        <v>366</v>
      </c>
      <c r="R762" s="1" t="s">
        <v>37</v>
      </c>
      <c r="S762" s="1" t="s">
        <v>37</v>
      </c>
      <c r="T762" s="1" t="s">
        <v>37</v>
      </c>
      <c r="U762" s="1" t="s">
        <v>37</v>
      </c>
    </row>
    <row r="763" spans="1:21">
      <c r="A763" s="1" t="s">
        <v>4294</v>
      </c>
      <c r="B763" s="1" t="s">
        <v>115</v>
      </c>
      <c r="C763" s="1" t="s">
        <v>116</v>
      </c>
      <c r="D763" s="1" t="s">
        <v>41</v>
      </c>
      <c r="E763" s="1" t="s">
        <v>992</v>
      </c>
      <c r="F763" s="1" t="s">
        <v>42</v>
      </c>
      <c r="G763" s="1" t="s">
        <v>4295</v>
      </c>
      <c r="H763" s="1" t="s">
        <v>99</v>
      </c>
      <c r="I763" s="1" t="s">
        <v>4296</v>
      </c>
      <c r="J763" s="1" t="s">
        <v>4297</v>
      </c>
      <c r="K763" s="1" t="s">
        <v>1452</v>
      </c>
      <c r="L763" s="1" t="s">
        <v>2242</v>
      </c>
      <c r="M763" s="1" t="s">
        <v>59</v>
      </c>
      <c r="N763" s="1" t="s">
        <v>4298</v>
      </c>
      <c r="O763" s="1" t="s">
        <v>35</v>
      </c>
      <c r="P763" s="1" t="s">
        <v>4296</v>
      </c>
      <c r="Q763" s="1" t="s">
        <v>791</v>
      </c>
      <c r="R763" s="1" t="s">
        <v>37</v>
      </c>
      <c r="S763" s="1" t="s">
        <v>37</v>
      </c>
      <c r="T763" s="1" t="s">
        <v>37</v>
      </c>
      <c r="U763" s="1" t="s">
        <v>37</v>
      </c>
    </row>
    <row r="764" spans="1:21">
      <c r="A764" s="1" t="s">
        <v>4299</v>
      </c>
      <c r="B764" s="1" t="s">
        <v>22</v>
      </c>
      <c r="C764" s="1" t="s">
        <v>23</v>
      </c>
      <c r="D764" s="1" t="s">
        <v>24</v>
      </c>
      <c r="E764" s="1" t="s">
        <v>25</v>
      </c>
      <c r="F764" s="1" t="s">
        <v>127</v>
      </c>
      <c r="G764" s="1" t="s">
        <v>4300</v>
      </c>
      <c r="H764" s="1" t="s">
        <v>64</v>
      </c>
      <c r="I764" s="1" t="s">
        <v>4301</v>
      </c>
      <c r="J764" s="1" t="s">
        <v>4302</v>
      </c>
      <c r="K764" s="1" t="s">
        <v>473</v>
      </c>
      <c r="L764" s="1" t="s">
        <v>4303</v>
      </c>
      <c r="M764" s="1" t="s">
        <v>33</v>
      </c>
      <c r="N764" s="1" t="s">
        <v>4304</v>
      </c>
      <c r="O764" s="1" t="s">
        <v>35</v>
      </c>
      <c r="P764" s="1" t="s">
        <v>4301</v>
      </c>
      <c r="Q764" s="1" t="s">
        <v>235</v>
      </c>
      <c r="R764" s="1" t="s">
        <v>37</v>
      </c>
      <c r="S764" s="1" t="s">
        <v>37</v>
      </c>
      <c r="T764" s="1" t="s">
        <v>37</v>
      </c>
      <c r="U764" s="1" t="s">
        <v>37</v>
      </c>
    </row>
    <row r="765" spans="1:21">
      <c r="A765" s="1" t="s">
        <v>4305</v>
      </c>
      <c r="B765" s="1" t="s">
        <v>22</v>
      </c>
      <c r="C765" s="1" t="s">
        <v>23</v>
      </c>
      <c r="D765" s="1" t="s">
        <v>24</v>
      </c>
      <c r="E765" s="1" t="s">
        <v>25</v>
      </c>
      <c r="F765" s="1" t="s">
        <v>26</v>
      </c>
      <c r="G765" s="1" t="s">
        <v>4306</v>
      </c>
      <c r="H765" s="1" t="s">
        <v>44</v>
      </c>
      <c r="I765" s="1" t="s">
        <v>4307</v>
      </c>
      <c r="J765" s="1" t="s">
        <v>4308</v>
      </c>
      <c r="K765" s="1" t="s">
        <v>737</v>
      </c>
      <c r="L765" s="1" t="s">
        <v>3421</v>
      </c>
      <c r="M765" s="1" t="s">
        <v>33</v>
      </c>
      <c r="N765" s="1" t="s">
        <v>4309</v>
      </c>
      <c r="O765" s="1" t="s">
        <v>35</v>
      </c>
      <c r="P765" s="1" t="s">
        <v>4307</v>
      </c>
      <c r="Q765" s="1" t="s">
        <v>338</v>
      </c>
      <c r="R765" s="1" t="s">
        <v>37</v>
      </c>
      <c r="S765" s="1" t="s">
        <v>37</v>
      </c>
      <c r="T765" s="1" t="s">
        <v>37</v>
      </c>
      <c r="U765" s="1" t="s">
        <v>37</v>
      </c>
    </row>
    <row r="766" spans="1:21">
      <c r="A766" s="1" t="s">
        <v>4310</v>
      </c>
      <c r="B766" s="1" t="s">
        <v>22</v>
      </c>
      <c r="C766" s="1" t="s">
        <v>23</v>
      </c>
      <c r="D766" s="1" t="s">
        <v>24</v>
      </c>
      <c r="E766" s="1" t="s">
        <v>992</v>
      </c>
      <c r="F766" s="1" t="s">
        <v>26</v>
      </c>
      <c r="G766" s="1" t="s">
        <v>4311</v>
      </c>
      <c r="H766" s="1" t="s">
        <v>129</v>
      </c>
      <c r="I766" s="1" t="s">
        <v>4312</v>
      </c>
      <c r="J766" s="1" t="s">
        <v>4313</v>
      </c>
      <c r="K766" s="1" t="s">
        <v>473</v>
      </c>
      <c r="L766" s="1" t="s">
        <v>600</v>
      </c>
      <c r="M766" s="1" t="s">
        <v>59</v>
      </c>
      <c r="N766" s="1" t="s">
        <v>4314</v>
      </c>
      <c r="O766" s="1" t="s">
        <v>35</v>
      </c>
      <c r="P766" s="1" t="s">
        <v>4312</v>
      </c>
      <c r="Q766" s="1" t="s">
        <v>468</v>
      </c>
      <c r="R766" s="1" t="s">
        <v>37</v>
      </c>
      <c r="S766" s="1" t="s">
        <v>37</v>
      </c>
      <c r="T766" s="1" t="s">
        <v>37</v>
      </c>
      <c r="U766" s="1" t="s">
        <v>37</v>
      </c>
    </row>
    <row r="767" spans="1:21">
      <c r="A767" s="1" t="s">
        <v>4315</v>
      </c>
      <c r="B767" s="1" t="s">
        <v>115</v>
      </c>
      <c r="C767" s="1" t="s">
        <v>116</v>
      </c>
      <c r="D767" s="1" t="s">
        <v>41</v>
      </c>
      <c r="E767" s="1" t="s">
        <v>25</v>
      </c>
      <c r="F767" s="1" t="s">
        <v>53</v>
      </c>
      <c r="G767" s="1" t="s">
        <v>4316</v>
      </c>
      <c r="H767" s="1" t="s">
        <v>64</v>
      </c>
      <c r="I767" s="1" t="s">
        <v>4317</v>
      </c>
      <c r="J767" s="1" t="s">
        <v>4318</v>
      </c>
      <c r="K767" s="1" t="s">
        <v>217</v>
      </c>
      <c r="L767" s="1" t="s">
        <v>1082</v>
      </c>
      <c r="M767" s="1" t="s">
        <v>33</v>
      </c>
      <c r="N767" s="1" t="s">
        <v>4319</v>
      </c>
      <c r="O767" s="1" t="s">
        <v>35</v>
      </c>
      <c r="P767" s="1" t="s">
        <v>4317</v>
      </c>
      <c r="Q767" s="1" t="s">
        <v>330</v>
      </c>
      <c r="R767" s="1" t="s">
        <v>37</v>
      </c>
      <c r="S767" s="1" t="s">
        <v>37</v>
      </c>
      <c r="T767" s="1" t="s">
        <v>37</v>
      </c>
      <c r="U767" s="1" t="s">
        <v>37</v>
      </c>
    </row>
    <row r="768" spans="1:21">
      <c r="A768" s="1" t="s">
        <v>4320</v>
      </c>
      <c r="B768" s="1" t="s">
        <v>39</v>
      </c>
      <c r="C768" s="1" t="s">
        <v>40</v>
      </c>
      <c r="D768" s="1" t="s">
        <v>41</v>
      </c>
      <c r="E768" s="1" t="s">
        <v>25</v>
      </c>
      <c r="F768" s="1" t="s">
        <v>127</v>
      </c>
      <c r="G768" s="1" t="s">
        <v>4321</v>
      </c>
      <c r="H768" s="1" t="s">
        <v>119</v>
      </c>
      <c r="I768" s="1" t="s">
        <v>4322</v>
      </c>
      <c r="J768" s="1" t="s">
        <v>4323</v>
      </c>
      <c r="K768" s="1" t="s">
        <v>31</v>
      </c>
      <c r="L768" s="1" t="s">
        <v>4324</v>
      </c>
      <c r="M768" s="1" t="s">
        <v>59</v>
      </c>
      <c r="N768" s="1" t="s">
        <v>4325</v>
      </c>
      <c r="O768" s="1" t="s">
        <v>35</v>
      </c>
      <c r="P768" s="1" t="s">
        <v>4322</v>
      </c>
      <c r="Q768" s="1" t="s">
        <v>971</v>
      </c>
      <c r="R768" s="1" t="s">
        <v>37</v>
      </c>
      <c r="S768" s="1" t="s">
        <v>37</v>
      </c>
      <c r="T768" s="1" t="s">
        <v>37</v>
      </c>
      <c r="U768" s="1" t="s">
        <v>37</v>
      </c>
    </row>
    <row r="769" spans="1:21">
      <c r="A769" s="1" t="s">
        <v>4326</v>
      </c>
      <c r="B769" s="1" t="s">
        <v>115</v>
      </c>
      <c r="C769" s="1" t="s">
        <v>116</v>
      </c>
      <c r="D769" s="1" t="s">
        <v>41</v>
      </c>
      <c r="E769" s="1" t="s">
        <v>992</v>
      </c>
      <c r="F769" s="1" t="s">
        <v>72</v>
      </c>
      <c r="G769" s="1" t="s">
        <v>4327</v>
      </c>
      <c r="H769" s="1" t="s">
        <v>90</v>
      </c>
      <c r="I769" s="1" t="s">
        <v>4328</v>
      </c>
      <c r="J769" s="1" t="s">
        <v>4329</v>
      </c>
      <c r="K769" s="1" t="s">
        <v>1206</v>
      </c>
      <c r="L769" s="1" t="s">
        <v>4330</v>
      </c>
      <c r="M769" s="1" t="s">
        <v>49</v>
      </c>
      <c r="N769" s="1" t="s">
        <v>4331</v>
      </c>
      <c r="O769" s="1" t="s">
        <v>35</v>
      </c>
      <c r="P769" s="1" t="s">
        <v>4328</v>
      </c>
      <c r="Q769" s="1" t="s">
        <v>359</v>
      </c>
      <c r="R769" s="1" t="s">
        <v>37</v>
      </c>
      <c r="S769" s="1" t="s">
        <v>37</v>
      </c>
      <c r="T769" s="1" t="s">
        <v>37</v>
      </c>
      <c r="U769" s="1" t="s">
        <v>37</v>
      </c>
    </row>
    <row r="770" spans="1:21">
      <c r="A770" s="1" t="s">
        <v>4332</v>
      </c>
      <c r="B770" s="1" t="s">
        <v>115</v>
      </c>
      <c r="C770" s="1" t="s">
        <v>116</v>
      </c>
      <c r="D770" s="1" t="s">
        <v>41</v>
      </c>
      <c r="E770" s="1" t="s">
        <v>25</v>
      </c>
      <c r="F770" s="1" t="s">
        <v>42</v>
      </c>
      <c r="G770" s="1" t="s">
        <v>4333</v>
      </c>
      <c r="H770" s="1" t="s">
        <v>129</v>
      </c>
      <c r="I770" s="1" t="s">
        <v>4334</v>
      </c>
      <c r="J770" s="1" t="s">
        <v>4335</v>
      </c>
      <c r="K770" s="1" t="s">
        <v>378</v>
      </c>
      <c r="L770" s="1" t="s">
        <v>3244</v>
      </c>
      <c r="M770" s="1" t="s">
        <v>49</v>
      </c>
      <c r="N770" s="1" t="s">
        <v>4336</v>
      </c>
      <c r="O770" s="1" t="s">
        <v>35</v>
      </c>
      <c r="P770" s="1" t="s">
        <v>4334</v>
      </c>
      <c r="Q770" s="1" t="s">
        <v>351</v>
      </c>
      <c r="R770" s="1" t="s">
        <v>37</v>
      </c>
      <c r="S770" s="1" t="s">
        <v>37</v>
      </c>
      <c r="T770" s="1" t="s">
        <v>37</v>
      </c>
      <c r="U770" s="1" t="s">
        <v>37</v>
      </c>
    </row>
    <row r="771" spans="1:21">
      <c r="A771" s="1" t="s">
        <v>4337</v>
      </c>
      <c r="B771" s="1" t="s">
        <v>22</v>
      </c>
      <c r="C771" s="1" t="s">
        <v>23</v>
      </c>
      <c r="D771" s="1" t="s">
        <v>41</v>
      </c>
      <c r="E771" s="1" t="s">
        <v>25</v>
      </c>
      <c r="F771" s="1" t="s">
        <v>53</v>
      </c>
      <c r="G771" s="1" t="s">
        <v>4338</v>
      </c>
      <c r="H771" s="1" t="s">
        <v>90</v>
      </c>
      <c r="I771" s="1" t="s">
        <v>4339</v>
      </c>
      <c r="J771" s="1" t="s">
        <v>4340</v>
      </c>
      <c r="K771" s="1" t="s">
        <v>172</v>
      </c>
      <c r="L771" s="1" t="s">
        <v>392</v>
      </c>
      <c r="M771" s="1" t="s">
        <v>49</v>
      </c>
      <c r="N771" s="1" t="s">
        <v>4341</v>
      </c>
      <c r="O771" s="1" t="s">
        <v>35</v>
      </c>
      <c r="P771" s="1" t="s">
        <v>4339</v>
      </c>
      <c r="Q771" s="1" t="s">
        <v>265</v>
      </c>
      <c r="R771" s="1" t="s">
        <v>37</v>
      </c>
      <c r="S771" s="1" t="s">
        <v>37</v>
      </c>
      <c r="T771" s="1" t="s">
        <v>37</v>
      </c>
      <c r="U771" s="1" t="s">
        <v>37</v>
      </c>
    </row>
    <row r="772" spans="1:21">
      <c r="A772" s="1" t="s">
        <v>4342</v>
      </c>
      <c r="B772" s="1" t="s">
        <v>115</v>
      </c>
      <c r="C772" s="1" t="s">
        <v>116</v>
      </c>
      <c r="D772" s="1" t="s">
        <v>24</v>
      </c>
      <c r="E772" s="1" t="s">
        <v>25</v>
      </c>
      <c r="F772" s="1" t="s">
        <v>72</v>
      </c>
      <c r="G772" s="1" t="s">
        <v>2617</v>
      </c>
      <c r="H772" s="1" t="s">
        <v>129</v>
      </c>
      <c r="I772" s="1" t="s">
        <v>4343</v>
      </c>
      <c r="J772" s="1" t="s">
        <v>4344</v>
      </c>
      <c r="K772" s="1" t="s">
        <v>1500</v>
      </c>
      <c r="L772" s="1" t="s">
        <v>4345</v>
      </c>
      <c r="M772" s="1" t="s">
        <v>33</v>
      </c>
      <c r="N772" s="1" t="s">
        <v>4346</v>
      </c>
      <c r="O772" s="1" t="s">
        <v>35</v>
      </c>
      <c r="P772" s="1" t="s">
        <v>4343</v>
      </c>
      <c r="Q772" s="1" t="s">
        <v>135</v>
      </c>
      <c r="R772" s="1" t="s">
        <v>37</v>
      </c>
      <c r="S772" s="1" t="s">
        <v>37</v>
      </c>
      <c r="T772" s="1" t="s">
        <v>37</v>
      </c>
      <c r="U772" s="1" t="s">
        <v>37</v>
      </c>
    </row>
    <row r="773" spans="1:21">
      <c r="A773" s="1" t="s">
        <v>4347</v>
      </c>
      <c r="B773" s="1" t="s">
        <v>39</v>
      </c>
      <c r="C773" s="1" t="s">
        <v>40</v>
      </c>
      <c r="D773" s="1" t="s">
        <v>24</v>
      </c>
      <c r="E773" s="1" t="s">
        <v>25</v>
      </c>
      <c r="F773" s="1" t="s">
        <v>26</v>
      </c>
      <c r="G773" s="1" t="s">
        <v>4348</v>
      </c>
      <c r="H773" s="1" t="s">
        <v>28</v>
      </c>
      <c r="I773" s="1" t="s">
        <v>4349</v>
      </c>
      <c r="J773" s="1" t="s">
        <v>4350</v>
      </c>
      <c r="K773" s="1" t="s">
        <v>391</v>
      </c>
      <c r="L773" s="1" t="s">
        <v>453</v>
      </c>
      <c r="M773" s="1" t="s">
        <v>59</v>
      </c>
      <c r="N773" s="1" t="s">
        <v>4351</v>
      </c>
      <c r="O773" s="1" t="s">
        <v>35</v>
      </c>
      <c r="P773" s="1" t="s">
        <v>4349</v>
      </c>
      <c r="Q773" s="1" t="s">
        <v>64</v>
      </c>
      <c r="R773" s="1" t="s">
        <v>37</v>
      </c>
      <c r="S773" s="1" t="s">
        <v>37</v>
      </c>
      <c r="T773" s="1" t="s">
        <v>37</v>
      </c>
      <c r="U773" s="1" t="s">
        <v>37</v>
      </c>
    </row>
    <row r="774" spans="1:21">
      <c r="A774" s="1" t="s">
        <v>4352</v>
      </c>
      <c r="B774" s="1" t="s">
        <v>39</v>
      </c>
      <c r="C774" s="1" t="s">
        <v>40</v>
      </c>
      <c r="D774" s="1" t="s">
        <v>24</v>
      </c>
      <c r="E774" s="1" t="s">
        <v>25</v>
      </c>
      <c r="F774" s="1" t="s">
        <v>72</v>
      </c>
      <c r="G774" s="1" t="s">
        <v>4353</v>
      </c>
      <c r="H774" s="1" t="s">
        <v>28</v>
      </c>
      <c r="I774" s="1" t="s">
        <v>4354</v>
      </c>
      <c r="J774" s="1" t="s">
        <v>4355</v>
      </c>
      <c r="K774" s="1" t="s">
        <v>232</v>
      </c>
      <c r="L774" s="1" t="s">
        <v>4356</v>
      </c>
      <c r="M774" s="1" t="s">
        <v>33</v>
      </c>
      <c r="N774" s="1" t="s">
        <v>4357</v>
      </c>
      <c r="O774" s="1" t="s">
        <v>35</v>
      </c>
      <c r="P774" s="1" t="s">
        <v>4354</v>
      </c>
      <c r="Q774" s="1" t="s">
        <v>167</v>
      </c>
      <c r="R774" s="1" t="s">
        <v>37</v>
      </c>
      <c r="S774" s="1" t="s">
        <v>37</v>
      </c>
      <c r="T774" s="1" t="s">
        <v>37</v>
      </c>
      <c r="U774" s="1" t="s">
        <v>37</v>
      </c>
    </row>
    <row r="775" spans="1:21">
      <c r="A775" s="1" t="s">
        <v>4358</v>
      </c>
      <c r="B775" s="1" t="s">
        <v>39</v>
      </c>
      <c r="C775" s="1" t="s">
        <v>40</v>
      </c>
      <c r="D775" s="1" t="s">
        <v>41</v>
      </c>
      <c r="E775" s="1" t="s">
        <v>25</v>
      </c>
      <c r="F775" s="1" t="s">
        <v>117</v>
      </c>
      <c r="G775" s="1" t="s">
        <v>3678</v>
      </c>
      <c r="H775" s="1" t="s">
        <v>253</v>
      </c>
      <c r="I775" s="1" t="s">
        <v>4359</v>
      </c>
      <c r="J775" s="1" t="s">
        <v>4360</v>
      </c>
      <c r="K775" s="1" t="s">
        <v>132</v>
      </c>
      <c r="L775" s="1" t="s">
        <v>3861</v>
      </c>
      <c r="M775" s="1" t="s">
        <v>59</v>
      </c>
      <c r="N775" s="1" t="s">
        <v>3678</v>
      </c>
      <c r="O775" s="1" t="s">
        <v>35</v>
      </c>
      <c r="P775" s="1" t="s">
        <v>4359</v>
      </c>
      <c r="Q775" s="1" t="s">
        <v>359</v>
      </c>
      <c r="R775" s="1" t="s">
        <v>37</v>
      </c>
      <c r="S775" s="1" t="s">
        <v>37</v>
      </c>
      <c r="T775" s="1" t="s">
        <v>37</v>
      </c>
      <c r="U775" s="1" t="s">
        <v>37</v>
      </c>
    </row>
    <row r="776" spans="1:21">
      <c r="A776" s="1" t="s">
        <v>4361</v>
      </c>
      <c r="B776" s="1" t="s">
        <v>39</v>
      </c>
      <c r="C776" s="1" t="s">
        <v>40</v>
      </c>
      <c r="D776" s="1" t="s">
        <v>24</v>
      </c>
      <c r="E776" s="1" t="s">
        <v>992</v>
      </c>
      <c r="F776" s="1" t="s">
        <v>117</v>
      </c>
      <c r="G776" s="1" t="s">
        <v>4362</v>
      </c>
      <c r="H776" s="1" t="s">
        <v>107</v>
      </c>
      <c r="I776" s="1" t="s">
        <v>4363</v>
      </c>
      <c r="J776" s="1" t="s">
        <v>4364</v>
      </c>
      <c r="K776" s="1" t="s">
        <v>349</v>
      </c>
      <c r="L776" s="1" t="s">
        <v>1912</v>
      </c>
      <c r="M776" s="1" t="s">
        <v>49</v>
      </c>
      <c r="N776" s="1" t="s">
        <v>4365</v>
      </c>
      <c r="O776" s="1" t="s">
        <v>35</v>
      </c>
      <c r="P776" s="1" t="s">
        <v>4363</v>
      </c>
      <c r="Q776" s="1" t="s">
        <v>90</v>
      </c>
      <c r="R776" s="1" t="s">
        <v>37</v>
      </c>
      <c r="S776" s="1" t="s">
        <v>37</v>
      </c>
      <c r="T776" s="1" t="s">
        <v>37</v>
      </c>
      <c r="U776" s="1" t="s">
        <v>37</v>
      </c>
    </row>
    <row r="777" spans="1:21">
      <c r="A777" s="1" t="s">
        <v>4366</v>
      </c>
      <c r="B777" s="1" t="s">
        <v>115</v>
      </c>
      <c r="C777" s="1" t="s">
        <v>116</v>
      </c>
      <c r="D777" s="1" t="s">
        <v>41</v>
      </c>
      <c r="E777" s="1" t="s">
        <v>25</v>
      </c>
      <c r="F777" s="1" t="s">
        <v>117</v>
      </c>
      <c r="G777" s="1" t="s">
        <v>4367</v>
      </c>
      <c r="H777" s="1" t="s">
        <v>44</v>
      </c>
      <c r="I777" s="1" t="s">
        <v>4368</v>
      </c>
      <c r="J777" s="1" t="s">
        <v>4369</v>
      </c>
      <c r="K777" s="1" t="s">
        <v>581</v>
      </c>
      <c r="L777" s="1" t="s">
        <v>1402</v>
      </c>
      <c r="M777" s="1" t="s">
        <v>59</v>
      </c>
      <c r="N777" s="1" t="s">
        <v>4370</v>
      </c>
      <c r="O777" s="1" t="s">
        <v>35</v>
      </c>
      <c r="P777" s="1" t="s">
        <v>4368</v>
      </c>
      <c r="Q777" s="1" t="s">
        <v>64</v>
      </c>
      <c r="R777" s="1" t="s">
        <v>37</v>
      </c>
      <c r="S777" s="1" t="s">
        <v>37</v>
      </c>
      <c r="T777" s="1" t="s">
        <v>37</v>
      </c>
      <c r="U777" s="1" t="s">
        <v>37</v>
      </c>
    </row>
    <row r="778" spans="1:21">
      <c r="A778" s="1" t="s">
        <v>4371</v>
      </c>
      <c r="B778" s="1" t="s">
        <v>39</v>
      </c>
      <c r="C778" s="1" t="s">
        <v>40</v>
      </c>
      <c r="D778" s="1" t="s">
        <v>24</v>
      </c>
      <c r="E778" s="1" t="s">
        <v>992</v>
      </c>
      <c r="F778" s="1" t="s">
        <v>26</v>
      </c>
      <c r="G778" s="1" t="s">
        <v>4372</v>
      </c>
      <c r="H778" s="1" t="s">
        <v>28</v>
      </c>
      <c r="I778" s="1" t="s">
        <v>4373</v>
      </c>
      <c r="J778" s="1" t="s">
        <v>4374</v>
      </c>
      <c r="K778" s="1" t="s">
        <v>217</v>
      </c>
      <c r="L778" s="1" t="s">
        <v>4375</v>
      </c>
      <c r="M778" s="1" t="s">
        <v>59</v>
      </c>
      <c r="N778" s="1" t="s">
        <v>4376</v>
      </c>
      <c r="O778" s="1" t="s">
        <v>35</v>
      </c>
      <c r="P778" s="1" t="s">
        <v>4373</v>
      </c>
      <c r="Q778" s="1" t="s">
        <v>791</v>
      </c>
      <c r="R778" s="1" t="s">
        <v>37</v>
      </c>
      <c r="S778" s="1" t="s">
        <v>37</v>
      </c>
      <c r="T778" s="1" t="s">
        <v>37</v>
      </c>
      <c r="U778" s="1" t="s">
        <v>37</v>
      </c>
    </row>
    <row r="779" spans="1:21">
      <c r="A779" s="1" t="s">
        <v>4377</v>
      </c>
      <c r="B779" s="1" t="s">
        <v>115</v>
      </c>
      <c r="C779" s="1" t="s">
        <v>116</v>
      </c>
      <c r="D779" s="1" t="s">
        <v>41</v>
      </c>
      <c r="E779" s="1" t="s">
        <v>992</v>
      </c>
      <c r="F779" s="1" t="s">
        <v>72</v>
      </c>
      <c r="G779" s="1" t="s">
        <v>4378</v>
      </c>
      <c r="H779" s="1" t="s">
        <v>253</v>
      </c>
      <c r="I779" s="1" t="s">
        <v>4379</v>
      </c>
      <c r="J779" s="1" t="s">
        <v>4380</v>
      </c>
      <c r="K779" s="1" t="s">
        <v>1164</v>
      </c>
      <c r="L779" s="1" t="s">
        <v>2066</v>
      </c>
      <c r="M779" s="1" t="s">
        <v>49</v>
      </c>
      <c r="N779" s="1" t="s">
        <v>4378</v>
      </c>
      <c r="O779" s="1" t="s">
        <v>35</v>
      </c>
      <c r="P779" s="1" t="s">
        <v>4379</v>
      </c>
      <c r="Q779" s="1" t="s">
        <v>51</v>
      </c>
      <c r="R779" s="1" t="s">
        <v>37</v>
      </c>
      <c r="S779" s="1" t="s">
        <v>37</v>
      </c>
      <c r="T779" s="1" t="s">
        <v>37</v>
      </c>
      <c r="U779" s="1" t="s">
        <v>37</v>
      </c>
    </row>
    <row r="780" spans="1:21">
      <c r="A780" s="1" t="s">
        <v>4381</v>
      </c>
      <c r="B780" s="1" t="s">
        <v>39</v>
      </c>
      <c r="C780" s="1" t="s">
        <v>40</v>
      </c>
      <c r="D780" s="1" t="s">
        <v>24</v>
      </c>
      <c r="E780" s="1" t="s">
        <v>992</v>
      </c>
      <c r="F780" s="1" t="s">
        <v>72</v>
      </c>
      <c r="G780" s="1" t="s">
        <v>4382</v>
      </c>
      <c r="H780" s="1" t="s">
        <v>44</v>
      </c>
      <c r="I780" s="1" t="s">
        <v>4383</v>
      </c>
      <c r="J780" s="1" t="s">
        <v>4384</v>
      </c>
      <c r="K780" s="1" t="s">
        <v>1408</v>
      </c>
      <c r="L780" s="1" t="s">
        <v>4385</v>
      </c>
      <c r="M780" s="1" t="s">
        <v>49</v>
      </c>
      <c r="N780" s="1" t="s">
        <v>4386</v>
      </c>
      <c r="O780" s="1" t="s">
        <v>35</v>
      </c>
      <c r="P780" s="1" t="s">
        <v>4383</v>
      </c>
      <c r="Q780" s="1" t="s">
        <v>440</v>
      </c>
      <c r="R780" s="1" t="s">
        <v>37</v>
      </c>
      <c r="S780" s="1" t="s">
        <v>37</v>
      </c>
      <c r="T780" s="1" t="s">
        <v>37</v>
      </c>
      <c r="U780" s="1" t="s">
        <v>37</v>
      </c>
    </row>
    <row r="781" spans="1:21">
      <c r="A781" s="1" t="s">
        <v>4387</v>
      </c>
      <c r="B781" s="1" t="s">
        <v>115</v>
      </c>
      <c r="C781" s="1" t="s">
        <v>116</v>
      </c>
      <c r="D781" s="1" t="s">
        <v>24</v>
      </c>
      <c r="E781" s="1" t="s">
        <v>992</v>
      </c>
      <c r="F781" s="1" t="s">
        <v>42</v>
      </c>
      <c r="G781" s="1" t="s">
        <v>710</v>
      </c>
      <c r="H781" s="1" t="s">
        <v>275</v>
      </c>
      <c r="I781" s="1" t="s">
        <v>4388</v>
      </c>
      <c r="J781" s="1" t="s">
        <v>4389</v>
      </c>
      <c r="K781" s="1" t="s">
        <v>1452</v>
      </c>
      <c r="L781" s="1" t="s">
        <v>4390</v>
      </c>
      <c r="M781" s="1" t="s">
        <v>33</v>
      </c>
      <c r="N781" s="1" t="s">
        <v>4391</v>
      </c>
      <c r="O781" s="1" t="s">
        <v>35</v>
      </c>
      <c r="P781" s="1" t="s">
        <v>4388</v>
      </c>
      <c r="Q781" s="1" t="s">
        <v>366</v>
      </c>
      <c r="R781" s="1" t="s">
        <v>37</v>
      </c>
      <c r="S781" s="1" t="s">
        <v>37</v>
      </c>
      <c r="T781" s="1" t="s">
        <v>37</v>
      </c>
      <c r="U781" s="1" t="s">
        <v>37</v>
      </c>
    </row>
    <row r="782" spans="1:21">
      <c r="A782" s="1" t="s">
        <v>4392</v>
      </c>
      <c r="B782" s="1" t="s">
        <v>39</v>
      </c>
      <c r="C782" s="1" t="s">
        <v>40</v>
      </c>
      <c r="D782" s="1" t="s">
        <v>41</v>
      </c>
      <c r="E782" s="1" t="s">
        <v>992</v>
      </c>
      <c r="F782" s="1" t="s">
        <v>26</v>
      </c>
      <c r="G782" s="1" t="s">
        <v>4393</v>
      </c>
      <c r="H782" s="1" t="s">
        <v>64</v>
      </c>
      <c r="I782" s="1" t="s">
        <v>4394</v>
      </c>
      <c r="J782" s="1" t="s">
        <v>4395</v>
      </c>
      <c r="K782" s="1" t="s">
        <v>2260</v>
      </c>
      <c r="L782" s="1" t="s">
        <v>1708</v>
      </c>
      <c r="M782" s="1" t="s">
        <v>49</v>
      </c>
      <c r="N782" s="1" t="s">
        <v>4396</v>
      </c>
      <c r="O782" s="1" t="s">
        <v>35</v>
      </c>
      <c r="P782" s="1" t="s">
        <v>4394</v>
      </c>
      <c r="Q782" s="1" t="s">
        <v>638</v>
      </c>
      <c r="R782" s="1" t="s">
        <v>37</v>
      </c>
      <c r="S782" s="1" t="s">
        <v>37</v>
      </c>
      <c r="T782" s="1" t="s">
        <v>37</v>
      </c>
      <c r="U782" s="1" t="s">
        <v>37</v>
      </c>
    </row>
    <row r="783" spans="1:21">
      <c r="A783" s="1" t="s">
        <v>4397</v>
      </c>
      <c r="B783" s="1" t="s">
        <v>22</v>
      </c>
      <c r="C783" s="1" t="s">
        <v>23</v>
      </c>
      <c r="D783" s="1" t="s">
        <v>41</v>
      </c>
      <c r="E783" s="1" t="s">
        <v>25</v>
      </c>
      <c r="F783" s="1" t="s">
        <v>72</v>
      </c>
      <c r="G783" s="1" t="s">
        <v>4398</v>
      </c>
      <c r="H783" s="1" t="s">
        <v>129</v>
      </c>
      <c r="I783" s="1" t="s">
        <v>4399</v>
      </c>
      <c r="J783" s="1" t="s">
        <v>4400</v>
      </c>
      <c r="K783" s="1" t="s">
        <v>562</v>
      </c>
      <c r="L783" s="1" t="s">
        <v>4070</v>
      </c>
      <c r="M783" s="1" t="s">
        <v>33</v>
      </c>
      <c r="N783" s="1" t="s">
        <v>4401</v>
      </c>
      <c r="O783" s="1" t="s">
        <v>35</v>
      </c>
      <c r="P783" s="1" t="s">
        <v>4399</v>
      </c>
      <c r="Q783" s="1" t="s">
        <v>812</v>
      </c>
      <c r="R783" s="1" t="s">
        <v>37</v>
      </c>
      <c r="S783" s="1" t="s">
        <v>37</v>
      </c>
      <c r="T783" s="1" t="s">
        <v>37</v>
      </c>
      <c r="U783" s="1" t="s">
        <v>37</v>
      </c>
    </row>
    <row r="784" spans="1:21">
      <c r="A784" s="1" t="s">
        <v>4402</v>
      </c>
      <c r="B784" s="1" t="s">
        <v>22</v>
      </c>
      <c r="C784" s="1" t="s">
        <v>23</v>
      </c>
      <c r="D784" s="1" t="s">
        <v>24</v>
      </c>
      <c r="E784" s="1" t="s">
        <v>25</v>
      </c>
      <c r="F784" s="1" t="s">
        <v>127</v>
      </c>
      <c r="G784" s="1" t="s">
        <v>4403</v>
      </c>
      <c r="H784" s="1" t="s">
        <v>253</v>
      </c>
      <c r="I784" s="1" t="s">
        <v>4404</v>
      </c>
      <c r="J784" s="1" t="s">
        <v>4405</v>
      </c>
      <c r="K784" s="1" t="s">
        <v>803</v>
      </c>
      <c r="L784" s="1" t="s">
        <v>2933</v>
      </c>
      <c r="M784" s="1" t="s">
        <v>59</v>
      </c>
      <c r="N784" s="1" t="s">
        <v>4403</v>
      </c>
      <c r="O784" s="1" t="s">
        <v>35</v>
      </c>
      <c r="P784" s="1" t="s">
        <v>4404</v>
      </c>
      <c r="Q784" s="1" t="s">
        <v>87</v>
      </c>
      <c r="R784" s="1" t="s">
        <v>37</v>
      </c>
      <c r="S784" s="1" t="s">
        <v>37</v>
      </c>
      <c r="T784" s="1" t="s">
        <v>37</v>
      </c>
      <c r="U784" s="1" t="s">
        <v>37</v>
      </c>
    </row>
    <row r="785" spans="1:21">
      <c r="A785" s="1" t="s">
        <v>4406</v>
      </c>
      <c r="B785" s="1" t="s">
        <v>39</v>
      </c>
      <c r="C785" s="1" t="s">
        <v>40</v>
      </c>
      <c r="D785" s="1" t="s">
        <v>41</v>
      </c>
      <c r="E785" s="1" t="s">
        <v>25</v>
      </c>
      <c r="F785" s="1" t="s">
        <v>53</v>
      </c>
      <c r="G785" s="1" t="s">
        <v>4407</v>
      </c>
      <c r="H785" s="1" t="s">
        <v>64</v>
      </c>
      <c r="I785" s="1" t="s">
        <v>4408</v>
      </c>
      <c r="J785" s="1" t="s">
        <v>4409</v>
      </c>
      <c r="K785" s="1" t="s">
        <v>57</v>
      </c>
      <c r="L785" s="1" t="s">
        <v>241</v>
      </c>
      <c r="M785" s="1" t="s">
        <v>49</v>
      </c>
      <c r="N785" s="1" t="s">
        <v>4410</v>
      </c>
      <c r="O785" s="1" t="s">
        <v>35</v>
      </c>
      <c r="P785" s="1" t="s">
        <v>4408</v>
      </c>
      <c r="Q785" s="1" t="s">
        <v>944</v>
      </c>
      <c r="R785" s="1" t="s">
        <v>37</v>
      </c>
      <c r="S785" s="1" t="s">
        <v>37</v>
      </c>
      <c r="T785" s="1" t="s">
        <v>37</v>
      </c>
      <c r="U785" s="1" t="s">
        <v>37</v>
      </c>
    </row>
    <row r="786" spans="1:21">
      <c r="A786" s="1" t="s">
        <v>4411</v>
      </c>
      <c r="B786" s="1" t="s">
        <v>39</v>
      </c>
      <c r="C786" s="1" t="s">
        <v>40</v>
      </c>
      <c r="D786" s="1" t="s">
        <v>24</v>
      </c>
      <c r="E786" s="1" t="s">
        <v>25</v>
      </c>
      <c r="F786" s="1" t="s">
        <v>26</v>
      </c>
      <c r="G786" s="1" t="s">
        <v>4412</v>
      </c>
      <c r="H786" s="1" t="s">
        <v>44</v>
      </c>
      <c r="I786" s="1" t="s">
        <v>4413</v>
      </c>
      <c r="J786" s="1" t="s">
        <v>4414</v>
      </c>
      <c r="K786" s="1" t="s">
        <v>102</v>
      </c>
      <c r="L786" s="1" t="s">
        <v>32</v>
      </c>
      <c r="M786" s="1" t="s">
        <v>33</v>
      </c>
      <c r="N786" s="1" t="s">
        <v>4415</v>
      </c>
      <c r="O786" s="1" t="s">
        <v>35</v>
      </c>
      <c r="P786" s="1" t="s">
        <v>4413</v>
      </c>
      <c r="Q786" s="1" t="s">
        <v>87</v>
      </c>
      <c r="R786" s="1" t="s">
        <v>37</v>
      </c>
      <c r="S786" s="1" t="s">
        <v>37</v>
      </c>
      <c r="T786" s="1" t="s">
        <v>37</v>
      </c>
      <c r="U786" s="1" t="s">
        <v>37</v>
      </c>
    </row>
    <row r="787" spans="1:21">
      <c r="A787" s="1" t="s">
        <v>4416</v>
      </c>
      <c r="B787" s="1" t="s">
        <v>22</v>
      </c>
      <c r="C787" s="1" t="s">
        <v>23</v>
      </c>
      <c r="D787" s="1" t="s">
        <v>41</v>
      </c>
      <c r="E787" s="1" t="s">
        <v>992</v>
      </c>
      <c r="F787" s="1" t="s">
        <v>42</v>
      </c>
      <c r="G787" s="1" t="s">
        <v>4417</v>
      </c>
      <c r="H787" s="1" t="s">
        <v>28</v>
      </c>
      <c r="I787" s="1" t="s">
        <v>4418</v>
      </c>
      <c r="J787" s="1" t="s">
        <v>4419</v>
      </c>
      <c r="K787" s="1" t="s">
        <v>2159</v>
      </c>
      <c r="L787" s="1" t="s">
        <v>4420</v>
      </c>
      <c r="M787" s="1" t="s">
        <v>59</v>
      </c>
      <c r="N787" s="1" t="s">
        <v>4421</v>
      </c>
      <c r="O787" s="1" t="s">
        <v>35</v>
      </c>
      <c r="P787" s="1" t="s">
        <v>4418</v>
      </c>
      <c r="Q787" s="1" t="s">
        <v>275</v>
      </c>
      <c r="R787" s="1" t="s">
        <v>37</v>
      </c>
      <c r="S787" s="1" t="s">
        <v>37</v>
      </c>
      <c r="T787" s="1" t="s">
        <v>37</v>
      </c>
      <c r="U787" s="1" t="s">
        <v>37</v>
      </c>
    </row>
    <row r="788" spans="1:21">
      <c r="A788" s="1" t="s">
        <v>4422</v>
      </c>
      <c r="B788" s="1" t="s">
        <v>39</v>
      </c>
      <c r="C788" s="1" t="s">
        <v>40</v>
      </c>
      <c r="D788" s="1" t="s">
        <v>41</v>
      </c>
      <c r="E788" s="1" t="s">
        <v>992</v>
      </c>
      <c r="F788" s="1" t="s">
        <v>42</v>
      </c>
      <c r="G788" s="1" t="s">
        <v>4423</v>
      </c>
      <c r="H788" s="1" t="s">
        <v>64</v>
      </c>
      <c r="I788" s="1" t="s">
        <v>4424</v>
      </c>
      <c r="J788" s="1" t="s">
        <v>4425</v>
      </c>
      <c r="K788" s="1" t="s">
        <v>2260</v>
      </c>
      <c r="L788" s="1" t="s">
        <v>4426</v>
      </c>
      <c r="M788" s="1" t="s">
        <v>33</v>
      </c>
      <c r="N788" s="1" t="s">
        <v>4427</v>
      </c>
      <c r="O788" s="1" t="s">
        <v>35</v>
      </c>
      <c r="P788" s="1" t="s">
        <v>4424</v>
      </c>
      <c r="Q788" s="1" t="s">
        <v>618</v>
      </c>
      <c r="R788" s="1" t="s">
        <v>37</v>
      </c>
      <c r="S788" s="1" t="s">
        <v>37</v>
      </c>
      <c r="T788" s="1" t="s">
        <v>37</v>
      </c>
      <c r="U788" s="1" t="s">
        <v>37</v>
      </c>
    </row>
    <row r="789" spans="1:21">
      <c r="A789" s="1" t="s">
        <v>4428</v>
      </c>
      <c r="B789" s="1" t="s">
        <v>39</v>
      </c>
      <c r="C789" s="1" t="s">
        <v>40</v>
      </c>
      <c r="D789" s="1" t="s">
        <v>41</v>
      </c>
      <c r="E789" s="1" t="s">
        <v>25</v>
      </c>
      <c r="F789" s="1" t="s">
        <v>26</v>
      </c>
      <c r="G789" s="1" t="s">
        <v>4429</v>
      </c>
      <c r="H789" s="1" t="s">
        <v>44</v>
      </c>
      <c r="I789" s="1" t="s">
        <v>4430</v>
      </c>
      <c r="J789" s="1" t="s">
        <v>4431</v>
      </c>
      <c r="K789" s="1" t="s">
        <v>629</v>
      </c>
      <c r="L789" s="1" t="s">
        <v>3532</v>
      </c>
      <c r="M789" s="1" t="s">
        <v>59</v>
      </c>
      <c r="N789" s="1" t="s">
        <v>4432</v>
      </c>
      <c r="O789" s="1" t="s">
        <v>35</v>
      </c>
      <c r="P789" s="1" t="s">
        <v>4430</v>
      </c>
      <c r="Q789" s="1" t="s">
        <v>484</v>
      </c>
      <c r="R789" s="1" t="s">
        <v>37</v>
      </c>
      <c r="S789" s="1" t="s">
        <v>37</v>
      </c>
      <c r="T789" s="1" t="s">
        <v>37</v>
      </c>
      <c r="U789" s="1" t="s">
        <v>37</v>
      </c>
    </row>
    <row r="790" spans="1:21">
      <c r="A790" s="1" t="s">
        <v>4433</v>
      </c>
      <c r="B790" s="1" t="s">
        <v>39</v>
      </c>
      <c r="C790" s="1" t="s">
        <v>40</v>
      </c>
      <c r="D790" s="1" t="s">
        <v>24</v>
      </c>
      <c r="E790" s="1" t="s">
        <v>992</v>
      </c>
      <c r="F790" s="1" t="s">
        <v>26</v>
      </c>
      <c r="G790" s="1" t="s">
        <v>4434</v>
      </c>
      <c r="H790" s="1" t="s">
        <v>119</v>
      </c>
      <c r="I790" s="1" t="s">
        <v>4435</v>
      </c>
      <c r="J790" s="1" t="s">
        <v>4436</v>
      </c>
      <c r="K790" s="1" t="s">
        <v>1350</v>
      </c>
      <c r="L790" s="1" t="s">
        <v>496</v>
      </c>
      <c r="M790" s="1" t="s">
        <v>59</v>
      </c>
      <c r="N790" s="1" t="s">
        <v>4437</v>
      </c>
      <c r="O790" s="1" t="s">
        <v>35</v>
      </c>
      <c r="P790" s="1" t="s">
        <v>4435</v>
      </c>
      <c r="Q790" s="1" t="s">
        <v>366</v>
      </c>
      <c r="R790" s="1" t="s">
        <v>37</v>
      </c>
      <c r="S790" s="1" t="s">
        <v>37</v>
      </c>
      <c r="T790" s="1" t="s">
        <v>37</v>
      </c>
      <c r="U790" s="1" t="s">
        <v>37</v>
      </c>
    </row>
    <row r="791" spans="1:21">
      <c r="A791" s="1" t="s">
        <v>4438</v>
      </c>
      <c r="B791" s="1" t="s">
        <v>22</v>
      </c>
      <c r="C791" s="1" t="s">
        <v>23</v>
      </c>
      <c r="D791" s="1" t="s">
        <v>41</v>
      </c>
      <c r="E791" s="1" t="s">
        <v>992</v>
      </c>
      <c r="F791" s="1" t="s">
        <v>72</v>
      </c>
      <c r="G791" s="1" t="s">
        <v>4439</v>
      </c>
      <c r="H791" s="1" t="s">
        <v>28</v>
      </c>
      <c r="I791" s="1" t="s">
        <v>4440</v>
      </c>
      <c r="J791" s="1" t="s">
        <v>4441</v>
      </c>
      <c r="K791" s="1" t="s">
        <v>349</v>
      </c>
      <c r="L791" s="1" t="s">
        <v>4442</v>
      </c>
      <c r="M791" s="1" t="s">
        <v>33</v>
      </c>
      <c r="N791" s="1" t="s">
        <v>4443</v>
      </c>
      <c r="O791" s="1" t="s">
        <v>35</v>
      </c>
      <c r="P791" s="1" t="s">
        <v>4440</v>
      </c>
      <c r="Q791" s="1" t="s">
        <v>1089</v>
      </c>
      <c r="R791" s="1" t="s">
        <v>37</v>
      </c>
      <c r="S791" s="1" t="s">
        <v>37</v>
      </c>
      <c r="T791" s="1" t="s">
        <v>37</v>
      </c>
      <c r="U791" s="1" t="s">
        <v>37</v>
      </c>
    </row>
    <row r="792" spans="1:21">
      <c r="A792" s="1" t="s">
        <v>4444</v>
      </c>
      <c r="B792" s="1" t="s">
        <v>22</v>
      </c>
      <c r="C792" s="1" t="s">
        <v>23</v>
      </c>
      <c r="D792" s="1" t="s">
        <v>41</v>
      </c>
      <c r="E792" s="1" t="s">
        <v>992</v>
      </c>
      <c r="F792" s="1" t="s">
        <v>127</v>
      </c>
      <c r="G792" s="1" t="s">
        <v>4445</v>
      </c>
      <c r="H792" s="1" t="s">
        <v>253</v>
      </c>
      <c r="I792" s="1" t="s">
        <v>4446</v>
      </c>
      <c r="J792" s="1" t="s">
        <v>4447</v>
      </c>
      <c r="K792" s="1" t="s">
        <v>57</v>
      </c>
      <c r="L792" s="1" t="s">
        <v>4448</v>
      </c>
      <c r="M792" s="1" t="s">
        <v>59</v>
      </c>
      <c r="N792" s="1" t="s">
        <v>4445</v>
      </c>
      <c r="O792" s="1" t="s">
        <v>35</v>
      </c>
      <c r="P792" s="1" t="s">
        <v>4446</v>
      </c>
      <c r="Q792" s="1" t="s">
        <v>129</v>
      </c>
      <c r="R792" s="1" t="s">
        <v>37</v>
      </c>
      <c r="S792" s="1" t="s">
        <v>37</v>
      </c>
      <c r="T792" s="1" t="s">
        <v>37</v>
      </c>
      <c r="U792" s="1" t="s">
        <v>37</v>
      </c>
    </row>
    <row r="793" spans="1:21">
      <c r="A793" s="1" t="s">
        <v>4449</v>
      </c>
      <c r="B793" s="1" t="s">
        <v>39</v>
      </c>
      <c r="C793" s="1" t="s">
        <v>40</v>
      </c>
      <c r="D793" s="1" t="s">
        <v>24</v>
      </c>
      <c r="E793" s="1" t="s">
        <v>992</v>
      </c>
      <c r="F793" s="1" t="s">
        <v>26</v>
      </c>
      <c r="G793" s="1" t="s">
        <v>4450</v>
      </c>
      <c r="H793" s="1" t="s">
        <v>129</v>
      </c>
      <c r="I793" s="1" t="s">
        <v>4451</v>
      </c>
      <c r="J793" s="1" t="s">
        <v>4452</v>
      </c>
      <c r="K793" s="1" t="s">
        <v>489</v>
      </c>
      <c r="L793" s="1" t="s">
        <v>2136</v>
      </c>
      <c r="M793" s="1" t="s">
        <v>59</v>
      </c>
      <c r="N793" s="1" t="s">
        <v>4453</v>
      </c>
      <c r="O793" s="1" t="s">
        <v>35</v>
      </c>
      <c r="P793" s="1" t="s">
        <v>4451</v>
      </c>
      <c r="Q793" s="1" t="s">
        <v>798</v>
      </c>
      <c r="R793" s="1" t="s">
        <v>37</v>
      </c>
      <c r="S793" s="1" t="s">
        <v>37</v>
      </c>
      <c r="T793" s="1" t="s">
        <v>37</v>
      </c>
      <c r="U793" s="1" t="s">
        <v>37</v>
      </c>
    </row>
    <row r="794" spans="1:21">
      <c r="A794" s="1" t="s">
        <v>4454</v>
      </c>
      <c r="B794" s="1" t="s">
        <v>115</v>
      </c>
      <c r="C794" s="1" t="s">
        <v>116</v>
      </c>
      <c r="D794" s="1" t="s">
        <v>41</v>
      </c>
      <c r="E794" s="1" t="s">
        <v>25</v>
      </c>
      <c r="F794" s="1" t="s">
        <v>53</v>
      </c>
      <c r="G794" s="1" t="s">
        <v>4455</v>
      </c>
      <c r="H794" s="1" t="s">
        <v>99</v>
      </c>
      <c r="I794" s="1" t="s">
        <v>4456</v>
      </c>
      <c r="J794" s="1" t="s">
        <v>4457</v>
      </c>
      <c r="K794" s="1" t="s">
        <v>172</v>
      </c>
      <c r="L794" s="1" t="s">
        <v>996</v>
      </c>
      <c r="M794" s="1" t="s">
        <v>59</v>
      </c>
      <c r="N794" s="1" t="s">
        <v>4458</v>
      </c>
      <c r="O794" s="1" t="s">
        <v>35</v>
      </c>
      <c r="P794" s="1" t="s">
        <v>4456</v>
      </c>
      <c r="Q794" s="1" t="s">
        <v>752</v>
      </c>
      <c r="R794" s="1" t="s">
        <v>37</v>
      </c>
      <c r="S794" s="1" t="s">
        <v>37</v>
      </c>
      <c r="T794" s="1" t="s">
        <v>37</v>
      </c>
      <c r="U794" s="1" t="s">
        <v>37</v>
      </c>
    </row>
    <row r="795" spans="1:21">
      <c r="A795" s="1" t="s">
        <v>4459</v>
      </c>
      <c r="B795" s="1" t="s">
        <v>22</v>
      </c>
      <c r="C795" s="1" t="s">
        <v>23</v>
      </c>
      <c r="D795" s="1" t="s">
        <v>24</v>
      </c>
      <c r="E795" s="1" t="s">
        <v>992</v>
      </c>
      <c r="F795" s="1" t="s">
        <v>42</v>
      </c>
      <c r="G795" s="1" t="s">
        <v>4460</v>
      </c>
      <c r="H795" s="1" t="s">
        <v>28</v>
      </c>
      <c r="I795" s="1" t="s">
        <v>4461</v>
      </c>
      <c r="J795" s="1" t="s">
        <v>4462</v>
      </c>
      <c r="K795" s="1" t="s">
        <v>391</v>
      </c>
      <c r="L795" s="1" t="s">
        <v>2318</v>
      </c>
      <c r="M795" s="1" t="s">
        <v>59</v>
      </c>
      <c r="N795" s="1" t="s">
        <v>4463</v>
      </c>
      <c r="O795" s="1" t="s">
        <v>35</v>
      </c>
      <c r="P795" s="1" t="s">
        <v>4461</v>
      </c>
      <c r="Q795" s="1" t="s">
        <v>484</v>
      </c>
      <c r="R795" s="1" t="s">
        <v>37</v>
      </c>
      <c r="S795" s="1" t="s">
        <v>37</v>
      </c>
      <c r="T795" s="1" t="s">
        <v>37</v>
      </c>
      <c r="U795" s="1" t="s">
        <v>37</v>
      </c>
    </row>
    <row r="796" spans="1:21">
      <c r="A796" s="1" t="s">
        <v>4464</v>
      </c>
      <c r="B796" s="1" t="s">
        <v>22</v>
      </c>
      <c r="C796" s="1" t="s">
        <v>23</v>
      </c>
      <c r="D796" s="1" t="s">
        <v>41</v>
      </c>
      <c r="E796" s="1" t="s">
        <v>25</v>
      </c>
      <c r="F796" s="1" t="s">
        <v>42</v>
      </c>
      <c r="G796" s="1" t="s">
        <v>4465</v>
      </c>
      <c r="H796" s="1" t="s">
        <v>107</v>
      </c>
      <c r="I796" s="1" t="s">
        <v>4466</v>
      </c>
      <c r="J796" s="1" t="s">
        <v>4467</v>
      </c>
      <c r="K796" s="1" t="s">
        <v>1500</v>
      </c>
      <c r="L796" s="1" t="s">
        <v>317</v>
      </c>
      <c r="M796" s="1" t="s">
        <v>59</v>
      </c>
      <c r="N796" s="1" t="s">
        <v>3539</v>
      </c>
      <c r="O796" s="1" t="s">
        <v>35</v>
      </c>
      <c r="P796" s="1" t="s">
        <v>4466</v>
      </c>
      <c r="Q796" s="1" t="s">
        <v>468</v>
      </c>
      <c r="R796" s="1" t="s">
        <v>37</v>
      </c>
      <c r="S796" s="1" t="s">
        <v>37</v>
      </c>
      <c r="T796" s="1" t="s">
        <v>37</v>
      </c>
      <c r="U796" s="1" t="s">
        <v>37</v>
      </c>
    </row>
    <row r="797" spans="1:21">
      <c r="A797" s="1" t="s">
        <v>4468</v>
      </c>
      <c r="B797" s="1" t="s">
        <v>115</v>
      </c>
      <c r="C797" s="1" t="s">
        <v>116</v>
      </c>
      <c r="D797" s="1" t="s">
        <v>41</v>
      </c>
      <c r="E797" s="1" t="s">
        <v>992</v>
      </c>
      <c r="F797" s="1" t="s">
        <v>127</v>
      </c>
      <c r="G797" s="1" t="s">
        <v>3105</v>
      </c>
      <c r="H797" s="1" t="s">
        <v>107</v>
      </c>
      <c r="I797" s="1" t="s">
        <v>4469</v>
      </c>
      <c r="J797" s="1" t="s">
        <v>4470</v>
      </c>
      <c r="K797" s="1" t="s">
        <v>225</v>
      </c>
      <c r="L797" s="1" t="s">
        <v>4471</v>
      </c>
      <c r="M797" s="1" t="s">
        <v>33</v>
      </c>
      <c r="N797" s="1" t="s">
        <v>3104</v>
      </c>
      <c r="O797" s="1" t="s">
        <v>35</v>
      </c>
      <c r="P797" s="1" t="s">
        <v>4469</v>
      </c>
      <c r="Q797" s="1" t="s">
        <v>550</v>
      </c>
      <c r="R797" s="1" t="s">
        <v>37</v>
      </c>
      <c r="S797" s="1" t="s">
        <v>37</v>
      </c>
      <c r="T797" s="1" t="s">
        <v>37</v>
      </c>
      <c r="U797" s="1" t="s">
        <v>37</v>
      </c>
    </row>
    <row r="798" spans="1:21">
      <c r="A798" s="1" t="s">
        <v>4472</v>
      </c>
      <c r="B798" s="1" t="s">
        <v>39</v>
      </c>
      <c r="C798" s="1" t="s">
        <v>40</v>
      </c>
      <c r="D798" s="1" t="s">
        <v>24</v>
      </c>
      <c r="E798" s="1" t="s">
        <v>25</v>
      </c>
      <c r="F798" s="1" t="s">
        <v>53</v>
      </c>
      <c r="G798" s="1" t="s">
        <v>3613</v>
      </c>
      <c r="H798" s="1" t="s">
        <v>253</v>
      </c>
      <c r="I798" s="1" t="s">
        <v>4473</v>
      </c>
      <c r="J798" s="1" t="s">
        <v>4474</v>
      </c>
      <c r="K798" s="1" t="s">
        <v>541</v>
      </c>
      <c r="L798" s="1" t="s">
        <v>336</v>
      </c>
      <c r="M798" s="1" t="s">
        <v>49</v>
      </c>
      <c r="N798" s="1" t="s">
        <v>3613</v>
      </c>
      <c r="O798" s="1" t="s">
        <v>35</v>
      </c>
      <c r="P798" s="1" t="s">
        <v>4473</v>
      </c>
      <c r="Q798" s="1" t="s">
        <v>618</v>
      </c>
      <c r="R798" s="1" t="s">
        <v>37</v>
      </c>
      <c r="S798" s="1" t="s">
        <v>37</v>
      </c>
      <c r="T798" s="1" t="s">
        <v>37</v>
      </c>
      <c r="U798" s="1" t="s">
        <v>37</v>
      </c>
    </row>
    <row r="799" spans="1:21">
      <c r="A799" s="1" t="s">
        <v>4475</v>
      </c>
      <c r="B799" s="1" t="s">
        <v>22</v>
      </c>
      <c r="C799" s="1" t="s">
        <v>23</v>
      </c>
      <c r="D799" s="1" t="s">
        <v>24</v>
      </c>
      <c r="E799" s="1" t="s">
        <v>25</v>
      </c>
      <c r="F799" s="1" t="s">
        <v>72</v>
      </c>
      <c r="G799" s="1" t="s">
        <v>4476</v>
      </c>
      <c r="H799" s="1" t="s">
        <v>99</v>
      </c>
      <c r="I799" s="1" t="s">
        <v>4477</v>
      </c>
      <c r="J799" s="1" t="s">
        <v>4478</v>
      </c>
      <c r="K799" s="1" t="s">
        <v>1008</v>
      </c>
      <c r="L799" s="1" t="s">
        <v>4442</v>
      </c>
      <c r="M799" s="1" t="s">
        <v>49</v>
      </c>
      <c r="N799" s="1" t="s">
        <v>4479</v>
      </c>
      <c r="O799" s="1" t="s">
        <v>35</v>
      </c>
      <c r="P799" s="1" t="s">
        <v>4477</v>
      </c>
      <c r="Q799" s="1" t="s">
        <v>407</v>
      </c>
      <c r="R799" s="1" t="s">
        <v>37</v>
      </c>
      <c r="S799" s="1" t="s">
        <v>37</v>
      </c>
      <c r="T799" s="1" t="s">
        <v>37</v>
      </c>
      <c r="U799" s="1" t="s">
        <v>37</v>
      </c>
    </row>
    <row r="800" spans="1:21">
      <c r="A800" s="1" t="s">
        <v>4480</v>
      </c>
      <c r="B800" s="1" t="s">
        <v>115</v>
      </c>
      <c r="C800" s="1" t="s">
        <v>116</v>
      </c>
      <c r="D800" s="1" t="s">
        <v>41</v>
      </c>
      <c r="E800" s="1" t="s">
        <v>992</v>
      </c>
      <c r="F800" s="1" t="s">
        <v>26</v>
      </c>
      <c r="G800" s="1" t="s">
        <v>4481</v>
      </c>
      <c r="H800" s="1" t="s">
        <v>253</v>
      </c>
      <c r="I800" s="1" t="s">
        <v>4482</v>
      </c>
      <c r="J800" s="1" t="s">
        <v>4483</v>
      </c>
      <c r="K800" s="1" t="s">
        <v>225</v>
      </c>
      <c r="L800" s="1" t="s">
        <v>1207</v>
      </c>
      <c r="M800" s="1" t="s">
        <v>59</v>
      </c>
      <c r="N800" s="1" t="s">
        <v>4481</v>
      </c>
      <c r="O800" s="1" t="s">
        <v>35</v>
      </c>
      <c r="P800" s="1" t="s">
        <v>4482</v>
      </c>
      <c r="Q800" s="1" t="s">
        <v>971</v>
      </c>
      <c r="R800" s="1" t="s">
        <v>37</v>
      </c>
      <c r="S800" s="1" t="s">
        <v>37</v>
      </c>
      <c r="T800" s="1" t="s">
        <v>37</v>
      </c>
      <c r="U800" s="1" t="s">
        <v>37</v>
      </c>
    </row>
    <row r="801" spans="1:21">
      <c r="A801" s="1" t="s">
        <v>4484</v>
      </c>
      <c r="B801" s="1" t="s">
        <v>39</v>
      </c>
      <c r="C801" s="1" t="s">
        <v>40</v>
      </c>
      <c r="D801" s="1" t="s">
        <v>24</v>
      </c>
      <c r="E801" s="1" t="s">
        <v>992</v>
      </c>
      <c r="F801" s="1" t="s">
        <v>53</v>
      </c>
      <c r="G801" s="1" t="s">
        <v>4485</v>
      </c>
      <c r="H801" s="1" t="s">
        <v>44</v>
      </c>
      <c r="I801" s="1" t="s">
        <v>4486</v>
      </c>
      <c r="J801" s="1" t="s">
        <v>4487</v>
      </c>
      <c r="K801" s="1" t="s">
        <v>562</v>
      </c>
      <c r="L801" s="1" t="s">
        <v>4488</v>
      </c>
      <c r="M801" s="1" t="s">
        <v>33</v>
      </c>
      <c r="N801" s="1" t="s">
        <v>4489</v>
      </c>
      <c r="O801" s="1" t="s">
        <v>35</v>
      </c>
      <c r="P801" s="1" t="s">
        <v>4486</v>
      </c>
      <c r="Q801" s="1" t="s">
        <v>583</v>
      </c>
      <c r="R801" s="1" t="s">
        <v>37</v>
      </c>
      <c r="S801" s="1" t="s">
        <v>37</v>
      </c>
      <c r="T801" s="1" t="s">
        <v>37</v>
      </c>
      <c r="U801" s="1" t="s">
        <v>37</v>
      </c>
    </row>
    <row r="802" spans="1:21">
      <c r="A802" s="1" t="s">
        <v>4490</v>
      </c>
      <c r="B802" s="1" t="s">
        <v>115</v>
      </c>
      <c r="C802" s="1" t="s">
        <v>116</v>
      </c>
      <c r="D802" s="1" t="s">
        <v>41</v>
      </c>
      <c r="E802" s="1" t="s">
        <v>992</v>
      </c>
      <c r="F802" s="1" t="s">
        <v>72</v>
      </c>
      <c r="G802" s="1" t="s">
        <v>4491</v>
      </c>
      <c r="H802" s="1" t="s">
        <v>90</v>
      </c>
      <c r="I802" s="1" t="s">
        <v>4492</v>
      </c>
      <c r="J802" s="1" t="s">
        <v>4493</v>
      </c>
      <c r="K802" s="1" t="s">
        <v>599</v>
      </c>
      <c r="L802" s="1" t="s">
        <v>4494</v>
      </c>
      <c r="M802" s="1" t="s">
        <v>33</v>
      </c>
      <c r="N802" s="1" t="s">
        <v>4495</v>
      </c>
      <c r="O802" s="1" t="s">
        <v>35</v>
      </c>
      <c r="P802" s="1" t="s">
        <v>4492</v>
      </c>
      <c r="Q802" s="1" t="s">
        <v>351</v>
      </c>
      <c r="R802" s="1" t="s">
        <v>37</v>
      </c>
      <c r="S802" s="1" t="s">
        <v>37</v>
      </c>
      <c r="T802" s="1" t="s">
        <v>37</v>
      </c>
      <c r="U802" s="1" t="s">
        <v>37</v>
      </c>
    </row>
    <row r="803" spans="1:21">
      <c r="A803" s="1" t="s">
        <v>4496</v>
      </c>
      <c r="B803" s="1" t="s">
        <v>39</v>
      </c>
      <c r="C803" s="1" t="s">
        <v>40</v>
      </c>
      <c r="D803" s="1" t="s">
        <v>24</v>
      </c>
      <c r="E803" s="1" t="s">
        <v>25</v>
      </c>
      <c r="F803" s="1" t="s">
        <v>42</v>
      </c>
      <c r="G803" s="1" t="s">
        <v>4497</v>
      </c>
      <c r="H803" s="1" t="s">
        <v>64</v>
      </c>
      <c r="I803" s="1" t="s">
        <v>4498</v>
      </c>
      <c r="J803" s="1" t="s">
        <v>4499</v>
      </c>
      <c r="K803" s="1" t="s">
        <v>57</v>
      </c>
      <c r="L803" s="1" t="s">
        <v>1312</v>
      </c>
      <c r="M803" s="1" t="s">
        <v>33</v>
      </c>
      <c r="N803" s="1" t="s">
        <v>4500</v>
      </c>
      <c r="O803" s="1" t="s">
        <v>35</v>
      </c>
      <c r="P803" s="1" t="s">
        <v>4498</v>
      </c>
      <c r="Q803" s="1" t="s">
        <v>220</v>
      </c>
      <c r="R803" s="1" t="s">
        <v>37</v>
      </c>
      <c r="S803" s="1" t="s">
        <v>37</v>
      </c>
      <c r="T803" s="1" t="s">
        <v>37</v>
      </c>
      <c r="U803" s="1" t="s">
        <v>37</v>
      </c>
    </row>
    <row r="804" spans="1:21">
      <c r="A804" s="1" t="s">
        <v>4501</v>
      </c>
      <c r="B804" s="1" t="s">
        <v>39</v>
      </c>
      <c r="C804" s="1" t="s">
        <v>40</v>
      </c>
      <c r="D804" s="1" t="s">
        <v>24</v>
      </c>
      <c r="E804" s="1" t="s">
        <v>992</v>
      </c>
      <c r="F804" s="1" t="s">
        <v>127</v>
      </c>
      <c r="G804" s="1" t="s">
        <v>4502</v>
      </c>
      <c r="H804" s="1" t="s">
        <v>28</v>
      </c>
      <c r="I804" s="1" t="s">
        <v>4503</v>
      </c>
      <c r="J804" s="1" t="s">
        <v>4504</v>
      </c>
      <c r="K804" s="1" t="s">
        <v>335</v>
      </c>
      <c r="L804" s="1" t="s">
        <v>58</v>
      </c>
      <c r="M804" s="1" t="s">
        <v>33</v>
      </c>
      <c r="N804" s="1" t="s">
        <v>4505</v>
      </c>
      <c r="O804" s="1" t="s">
        <v>35</v>
      </c>
      <c r="P804" s="1" t="s">
        <v>4503</v>
      </c>
      <c r="Q804" s="1" t="s">
        <v>190</v>
      </c>
      <c r="R804" s="1" t="s">
        <v>37</v>
      </c>
      <c r="S804" s="1" t="s">
        <v>37</v>
      </c>
      <c r="T804" s="1" t="s">
        <v>37</v>
      </c>
      <c r="U804" s="1" t="s">
        <v>37</v>
      </c>
    </row>
    <row r="805" spans="1:21">
      <c r="A805" s="1" t="s">
        <v>4506</v>
      </c>
      <c r="B805" s="1" t="s">
        <v>22</v>
      </c>
      <c r="C805" s="1" t="s">
        <v>23</v>
      </c>
      <c r="D805" s="1" t="s">
        <v>24</v>
      </c>
      <c r="E805" s="1" t="s">
        <v>25</v>
      </c>
      <c r="F805" s="1" t="s">
        <v>127</v>
      </c>
      <c r="G805" s="1" t="s">
        <v>4507</v>
      </c>
      <c r="H805" s="1" t="s">
        <v>275</v>
      </c>
      <c r="I805" s="1" t="s">
        <v>4508</v>
      </c>
      <c r="J805" s="1" t="s">
        <v>4509</v>
      </c>
      <c r="K805" s="1" t="s">
        <v>371</v>
      </c>
      <c r="L805" s="1" t="s">
        <v>750</v>
      </c>
      <c r="M805" s="1" t="s">
        <v>49</v>
      </c>
      <c r="N805" s="1" t="s">
        <v>4510</v>
      </c>
      <c r="O805" s="1" t="s">
        <v>35</v>
      </c>
      <c r="P805" s="1" t="s">
        <v>4508</v>
      </c>
      <c r="Q805" s="1" t="s">
        <v>64</v>
      </c>
      <c r="R805" s="1" t="s">
        <v>37</v>
      </c>
      <c r="S805" s="1" t="s">
        <v>37</v>
      </c>
      <c r="T805" s="1" t="s">
        <v>37</v>
      </c>
      <c r="U805" s="1" t="s">
        <v>37</v>
      </c>
    </row>
    <row r="806" spans="1:21">
      <c r="A806" s="1" t="s">
        <v>4511</v>
      </c>
      <c r="B806" s="1" t="s">
        <v>115</v>
      </c>
      <c r="C806" s="1" t="s">
        <v>116</v>
      </c>
      <c r="D806" s="1" t="s">
        <v>24</v>
      </c>
      <c r="E806" s="1" t="s">
        <v>25</v>
      </c>
      <c r="F806" s="1" t="s">
        <v>42</v>
      </c>
      <c r="G806" s="1" t="s">
        <v>4512</v>
      </c>
      <c r="H806" s="1" t="s">
        <v>275</v>
      </c>
      <c r="I806" s="1" t="s">
        <v>4513</v>
      </c>
      <c r="J806" s="1" t="s">
        <v>4514</v>
      </c>
      <c r="K806" s="1" t="s">
        <v>636</v>
      </c>
      <c r="L806" s="1" t="s">
        <v>2236</v>
      </c>
      <c r="M806" s="1" t="s">
        <v>49</v>
      </c>
      <c r="N806" s="1" t="s">
        <v>4515</v>
      </c>
      <c r="O806" s="1" t="s">
        <v>35</v>
      </c>
      <c r="P806" s="1" t="s">
        <v>4513</v>
      </c>
      <c r="Q806" s="1" t="s">
        <v>64</v>
      </c>
      <c r="R806" s="1" t="s">
        <v>37</v>
      </c>
      <c r="S806" s="1" t="s">
        <v>37</v>
      </c>
      <c r="T806" s="1" t="s">
        <v>37</v>
      </c>
      <c r="U806" s="1" t="s">
        <v>37</v>
      </c>
    </row>
    <row r="807" spans="1:21">
      <c r="A807" s="1" t="s">
        <v>4516</v>
      </c>
      <c r="B807" s="1" t="s">
        <v>22</v>
      </c>
      <c r="C807" s="1" t="s">
        <v>23</v>
      </c>
      <c r="D807" s="1" t="s">
        <v>41</v>
      </c>
      <c r="E807" s="1" t="s">
        <v>25</v>
      </c>
      <c r="F807" s="1" t="s">
        <v>53</v>
      </c>
      <c r="G807" s="1" t="s">
        <v>4517</v>
      </c>
      <c r="H807" s="1" t="s">
        <v>129</v>
      </c>
      <c r="I807" s="1" t="s">
        <v>4518</v>
      </c>
      <c r="J807" s="1" t="s">
        <v>4519</v>
      </c>
      <c r="K807" s="1" t="s">
        <v>1636</v>
      </c>
      <c r="L807" s="1" t="s">
        <v>2978</v>
      </c>
      <c r="M807" s="1" t="s">
        <v>49</v>
      </c>
      <c r="N807" s="1" t="s">
        <v>4520</v>
      </c>
      <c r="O807" s="1" t="s">
        <v>35</v>
      </c>
      <c r="P807" s="1" t="s">
        <v>4518</v>
      </c>
      <c r="Q807" s="1" t="s">
        <v>791</v>
      </c>
      <c r="R807" s="1" t="s">
        <v>37</v>
      </c>
      <c r="S807" s="1" t="s">
        <v>37</v>
      </c>
      <c r="T807" s="1" t="s">
        <v>37</v>
      </c>
      <c r="U807" s="1" t="s">
        <v>37</v>
      </c>
    </row>
    <row r="808" spans="1:21">
      <c r="A808" s="1" t="s">
        <v>4521</v>
      </c>
      <c r="B808" s="1" t="s">
        <v>22</v>
      </c>
      <c r="C808" s="1" t="s">
        <v>23</v>
      </c>
      <c r="D808" s="1" t="s">
        <v>41</v>
      </c>
      <c r="E808" s="1" t="s">
        <v>25</v>
      </c>
      <c r="F808" s="1" t="s">
        <v>72</v>
      </c>
      <c r="G808" s="1" t="s">
        <v>4522</v>
      </c>
      <c r="H808" s="1" t="s">
        <v>107</v>
      </c>
      <c r="I808" s="1" t="s">
        <v>4523</v>
      </c>
      <c r="J808" s="1" t="s">
        <v>4524</v>
      </c>
      <c r="K808" s="1" t="s">
        <v>847</v>
      </c>
      <c r="L808" s="1" t="s">
        <v>4525</v>
      </c>
      <c r="M808" s="1" t="s">
        <v>59</v>
      </c>
      <c r="N808" s="1" t="s">
        <v>4526</v>
      </c>
      <c r="O808" s="1" t="s">
        <v>35</v>
      </c>
      <c r="P808" s="1" t="s">
        <v>4523</v>
      </c>
      <c r="Q808" s="1" t="s">
        <v>250</v>
      </c>
      <c r="R808" s="1" t="s">
        <v>37</v>
      </c>
      <c r="S808" s="1" t="s">
        <v>37</v>
      </c>
      <c r="T808" s="1" t="s">
        <v>37</v>
      </c>
      <c r="U808" s="1" t="s">
        <v>37</v>
      </c>
    </row>
    <row r="809" spans="1:21">
      <c r="A809" s="1" t="s">
        <v>4527</v>
      </c>
      <c r="B809" s="1" t="s">
        <v>22</v>
      </c>
      <c r="C809" s="1" t="s">
        <v>23</v>
      </c>
      <c r="D809" s="1" t="s">
        <v>41</v>
      </c>
      <c r="E809" s="1" t="s">
        <v>25</v>
      </c>
      <c r="F809" s="1" t="s">
        <v>42</v>
      </c>
      <c r="G809" s="1" t="s">
        <v>4528</v>
      </c>
      <c r="H809" s="1" t="s">
        <v>129</v>
      </c>
      <c r="I809" s="1" t="s">
        <v>4529</v>
      </c>
      <c r="J809" s="1" t="s">
        <v>4530</v>
      </c>
      <c r="K809" s="1" t="s">
        <v>906</v>
      </c>
      <c r="L809" s="1" t="s">
        <v>4531</v>
      </c>
      <c r="M809" s="1" t="s">
        <v>49</v>
      </c>
      <c r="N809" s="1" t="s">
        <v>4532</v>
      </c>
      <c r="O809" s="1" t="s">
        <v>35</v>
      </c>
      <c r="P809" s="1" t="s">
        <v>4529</v>
      </c>
      <c r="Q809" s="1" t="s">
        <v>275</v>
      </c>
      <c r="R809" s="1" t="s">
        <v>37</v>
      </c>
      <c r="S809" s="1" t="s">
        <v>37</v>
      </c>
      <c r="T809" s="1" t="s">
        <v>37</v>
      </c>
      <c r="U809" s="1" t="s">
        <v>37</v>
      </c>
    </row>
    <row r="810" spans="1:21">
      <c r="A810" s="1" t="s">
        <v>4533</v>
      </c>
      <c r="B810" s="1" t="s">
        <v>115</v>
      </c>
      <c r="C810" s="1" t="s">
        <v>116</v>
      </c>
      <c r="D810" s="1" t="s">
        <v>41</v>
      </c>
      <c r="E810" s="1" t="s">
        <v>25</v>
      </c>
      <c r="F810" s="1" t="s">
        <v>26</v>
      </c>
      <c r="G810" s="1" t="s">
        <v>4534</v>
      </c>
      <c r="H810" s="1" t="s">
        <v>253</v>
      </c>
      <c r="I810" s="1" t="s">
        <v>4535</v>
      </c>
      <c r="J810" s="1" t="s">
        <v>4536</v>
      </c>
      <c r="K810" s="1" t="s">
        <v>1350</v>
      </c>
      <c r="L810" s="1" t="s">
        <v>4159</v>
      </c>
      <c r="M810" s="1" t="s">
        <v>49</v>
      </c>
      <c r="N810" s="1" t="s">
        <v>4534</v>
      </c>
      <c r="O810" s="1" t="s">
        <v>35</v>
      </c>
      <c r="P810" s="1" t="s">
        <v>4535</v>
      </c>
      <c r="Q810" s="1" t="s">
        <v>198</v>
      </c>
      <c r="R810" s="1" t="s">
        <v>37</v>
      </c>
      <c r="S810" s="1" t="s">
        <v>37</v>
      </c>
      <c r="T810" s="1" t="s">
        <v>37</v>
      </c>
      <c r="U810" s="1" t="s">
        <v>37</v>
      </c>
    </row>
    <row r="811" spans="1:21">
      <c r="A811" s="1" t="s">
        <v>4537</v>
      </c>
      <c r="B811" s="1" t="s">
        <v>39</v>
      </c>
      <c r="C811" s="1" t="s">
        <v>40</v>
      </c>
      <c r="D811" s="1" t="s">
        <v>41</v>
      </c>
      <c r="E811" s="1" t="s">
        <v>25</v>
      </c>
      <c r="F811" s="1" t="s">
        <v>127</v>
      </c>
      <c r="G811" s="1" t="s">
        <v>4538</v>
      </c>
      <c r="H811" s="1" t="s">
        <v>99</v>
      </c>
      <c r="I811" s="1" t="s">
        <v>4539</v>
      </c>
      <c r="J811" s="1" t="s">
        <v>4540</v>
      </c>
      <c r="K811" s="1" t="s">
        <v>1452</v>
      </c>
      <c r="L811" s="1" t="s">
        <v>3315</v>
      </c>
      <c r="M811" s="1" t="s">
        <v>33</v>
      </c>
      <c r="N811" s="1" t="s">
        <v>4541</v>
      </c>
      <c r="O811" s="1" t="s">
        <v>35</v>
      </c>
      <c r="P811" s="1" t="s">
        <v>4539</v>
      </c>
      <c r="Q811" s="1" t="s">
        <v>90</v>
      </c>
      <c r="R811" s="1" t="s">
        <v>37</v>
      </c>
      <c r="S811" s="1" t="s">
        <v>37</v>
      </c>
      <c r="T811" s="1" t="s">
        <v>37</v>
      </c>
      <c r="U811" s="1" t="s">
        <v>37</v>
      </c>
    </row>
    <row r="812" spans="1:21">
      <c r="A812" s="1" t="s">
        <v>4542</v>
      </c>
      <c r="B812" s="1" t="s">
        <v>115</v>
      </c>
      <c r="C812" s="1" t="s">
        <v>116</v>
      </c>
      <c r="D812" s="1" t="s">
        <v>41</v>
      </c>
      <c r="E812" s="1" t="s">
        <v>992</v>
      </c>
      <c r="F812" s="1" t="s">
        <v>26</v>
      </c>
      <c r="G812" s="1" t="s">
        <v>4543</v>
      </c>
      <c r="H812" s="1" t="s">
        <v>64</v>
      </c>
      <c r="I812" s="1" t="s">
        <v>550</v>
      </c>
      <c r="J812" s="1" t="s">
        <v>4544</v>
      </c>
      <c r="K812" s="1" t="s">
        <v>225</v>
      </c>
      <c r="L812" s="1" t="s">
        <v>1845</v>
      </c>
      <c r="M812" s="1" t="s">
        <v>33</v>
      </c>
      <c r="N812" s="1" t="s">
        <v>4545</v>
      </c>
      <c r="O812" s="1" t="s">
        <v>35</v>
      </c>
      <c r="P812" s="1" t="s">
        <v>550</v>
      </c>
      <c r="Q812" s="1" t="s">
        <v>957</v>
      </c>
      <c r="R812" s="1" t="s">
        <v>37</v>
      </c>
      <c r="S812" s="1" t="s">
        <v>37</v>
      </c>
      <c r="T812" s="1" t="s">
        <v>37</v>
      </c>
      <c r="U812" s="1" t="s">
        <v>37</v>
      </c>
    </row>
    <row r="813" spans="1:21">
      <c r="A813" s="1" t="s">
        <v>4546</v>
      </c>
      <c r="B813" s="1" t="s">
        <v>22</v>
      </c>
      <c r="C813" s="1" t="s">
        <v>23</v>
      </c>
      <c r="D813" s="1" t="s">
        <v>41</v>
      </c>
      <c r="E813" s="1" t="s">
        <v>25</v>
      </c>
      <c r="F813" s="1" t="s">
        <v>42</v>
      </c>
      <c r="G813" s="1" t="s">
        <v>4547</v>
      </c>
      <c r="H813" s="1" t="s">
        <v>99</v>
      </c>
      <c r="I813" s="1" t="s">
        <v>4548</v>
      </c>
      <c r="J813" s="1" t="s">
        <v>4549</v>
      </c>
      <c r="K813" s="1" t="s">
        <v>102</v>
      </c>
      <c r="L813" s="1" t="s">
        <v>1465</v>
      </c>
      <c r="M813" s="1" t="s">
        <v>59</v>
      </c>
      <c r="N813" s="1" t="s">
        <v>4550</v>
      </c>
      <c r="O813" s="1" t="s">
        <v>35</v>
      </c>
      <c r="P813" s="1" t="s">
        <v>4548</v>
      </c>
      <c r="Q813" s="1" t="s">
        <v>44</v>
      </c>
      <c r="R813" s="1" t="s">
        <v>37</v>
      </c>
      <c r="S813" s="1" t="s">
        <v>37</v>
      </c>
      <c r="T813" s="1" t="s">
        <v>37</v>
      </c>
      <c r="U813" s="1" t="s">
        <v>37</v>
      </c>
    </row>
    <row r="814" spans="1:21">
      <c r="A814" s="1" t="s">
        <v>4551</v>
      </c>
      <c r="B814" s="1" t="s">
        <v>39</v>
      </c>
      <c r="C814" s="1" t="s">
        <v>40</v>
      </c>
      <c r="D814" s="1" t="s">
        <v>24</v>
      </c>
      <c r="E814" s="1" t="s">
        <v>25</v>
      </c>
      <c r="F814" s="1" t="s">
        <v>72</v>
      </c>
      <c r="G814" s="1" t="s">
        <v>4552</v>
      </c>
      <c r="H814" s="1" t="s">
        <v>44</v>
      </c>
      <c r="I814" s="1" t="s">
        <v>4553</v>
      </c>
      <c r="J814" s="1" t="s">
        <v>4554</v>
      </c>
      <c r="K814" s="1" t="s">
        <v>76</v>
      </c>
      <c r="L814" s="1" t="s">
        <v>2318</v>
      </c>
      <c r="M814" s="1" t="s">
        <v>59</v>
      </c>
      <c r="N814" s="1" t="s">
        <v>4555</v>
      </c>
      <c r="O814" s="1" t="s">
        <v>35</v>
      </c>
      <c r="P814" s="1" t="s">
        <v>4553</v>
      </c>
      <c r="Q814" s="1" t="s">
        <v>434</v>
      </c>
      <c r="R814" s="1" t="s">
        <v>37</v>
      </c>
      <c r="S814" s="1" t="s">
        <v>37</v>
      </c>
      <c r="T814" s="1" t="s">
        <v>37</v>
      </c>
      <c r="U814" s="1" t="s">
        <v>37</v>
      </c>
    </row>
    <row r="815" spans="1:21">
      <c r="A815" s="1" t="s">
        <v>4556</v>
      </c>
      <c r="B815" s="1" t="s">
        <v>22</v>
      </c>
      <c r="C815" s="1" t="s">
        <v>23</v>
      </c>
      <c r="D815" s="1" t="s">
        <v>41</v>
      </c>
      <c r="E815" s="1" t="s">
        <v>992</v>
      </c>
      <c r="F815" s="1" t="s">
        <v>42</v>
      </c>
      <c r="G815" s="1" t="s">
        <v>4557</v>
      </c>
      <c r="H815" s="1" t="s">
        <v>253</v>
      </c>
      <c r="I815" s="1" t="s">
        <v>4558</v>
      </c>
      <c r="J815" s="1" t="s">
        <v>4559</v>
      </c>
      <c r="K815" s="1" t="s">
        <v>247</v>
      </c>
      <c r="L815" s="1" t="s">
        <v>4560</v>
      </c>
      <c r="M815" s="1" t="s">
        <v>49</v>
      </c>
      <c r="N815" s="1" t="s">
        <v>4557</v>
      </c>
      <c r="O815" s="1" t="s">
        <v>35</v>
      </c>
      <c r="P815" s="1" t="s">
        <v>4558</v>
      </c>
      <c r="Q815" s="1" t="s">
        <v>90</v>
      </c>
      <c r="R815" s="1" t="s">
        <v>37</v>
      </c>
      <c r="S815" s="1" t="s">
        <v>37</v>
      </c>
      <c r="T815" s="1" t="s">
        <v>37</v>
      </c>
      <c r="U815" s="1" t="s">
        <v>37</v>
      </c>
    </row>
    <row r="816" spans="1:21">
      <c r="A816" s="1" t="s">
        <v>4561</v>
      </c>
      <c r="B816" s="1" t="s">
        <v>22</v>
      </c>
      <c r="C816" s="1" t="s">
        <v>23</v>
      </c>
      <c r="D816" s="1" t="s">
        <v>24</v>
      </c>
      <c r="E816" s="1" t="s">
        <v>25</v>
      </c>
      <c r="F816" s="1" t="s">
        <v>42</v>
      </c>
      <c r="G816" s="1" t="s">
        <v>4562</v>
      </c>
      <c r="H816" s="1" t="s">
        <v>64</v>
      </c>
      <c r="I816" s="1" t="s">
        <v>4563</v>
      </c>
      <c r="J816" s="1" t="s">
        <v>4564</v>
      </c>
      <c r="K816" s="1" t="s">
        <v>541</v>
      </c>
      <c r="L816" s="1" t="s">
        <v>2537</v>
      </c>
      <c r="M816" s="1" t="s">
        <v>49</v>
      </c>
      <c r="N816" s="1" t="s">
        <v>4565</v>
      </c>
      <c r="O816" s="1" t="s">
        <v>35</v>
      </c>
      <c r="P816" s="1" t="s">
        <v>4563</v>
      </c>
      <c r="Q816" s="1" t="s">
        <v>44</v>
      </c>
      <c r="R816" s="1" t="s">
        <v>37</v>
      </c>
      <c r="S816" s="1" t="s">
        <v>37</v>
      </c>
      <c r="T816" s="1" t="s">
        <v>37</v>
      </c>
      <c r="U816" s="1" t="s">
        <v>37</v>
      </c>
    </row>
    <row r="817" spans="1:21">
      <c r="A817" s="1" t="s">
        <v>4566</v>
      </c>
      <c r="B817" s="1" t="s">
        <v>115</v>
      </c>
      <c r="C817" s="1" t="s">
        <v>116</v>
      </c>
      <c r="D817" s="1" t="s">
        <v>41</v>
      </c>
      <c r="E817" s="1" t="s">
        <v>25</v>
      </c>
      <c r="F817" s="1" t="s">
        <v>117</v>
      </c>
      <c r="G817" s="1" t="s">
        <v>4567</v>
      </c>
      <c r="H817" s="1" t="s">
        <v>64</v>
      </c>
      <c r="I817" s="1" t="s">
        <v>4568</v>
      </c>
      <c r="J817" s="1" t="s">
        <v>4569</v>
      </c>
      <c r="K817" s="1" t="s">
        <v>1718</v>
      </c>
      <c r="L817" s="1" t="s">
        <v>4494</v>
      </c>
      <c r="M817" s="1" t="s">
        <v>33</v>
      </c>
      <c r="N817" s="1" t="s">
        <v>4570</v>
      </c>
      <c r="O817" s="1" t="s">
        <v>35</v>
      </c>
      <c r="P817" s="1" t="s">
        <v>4568</v>
      </c>
      <c r="Q817" s="1" t="s">
        <v>44</v>
      </c>
      <c r="R817" s="1" t="s">
        <v>37</v>
      </c>
      <c r="S817" s="1" t="s">
        <v>37</v>
      </c>
      <c r="T817" s="1" t="s">
        <v>37</v>
      </c>
      <c r="U817" s="1" t="s">
        <v>37</v>
      </c>
    </row>
    <row r="818" spans="1:21">
      <c r="A818" s="1" t="s">
        <v>4571</v>
      </c>
      <c r="B818" s="1" t="s">
        <v>39</v>
      </c>
      <c r="C818" s="1" t="s">
        <v>40</v>
      </c>
      <c r="D818" s="1" t="s">
        <v>41</v>
      </c>
      <c r="E818" s="1" t="s">
        <v>25</v>
      </c>
      <c r="F818" s="1" t="s">
        <v>127</v>
      </c>
      <c r="G818" s="1" t="s">
        <v>4572</v>
      </c>
      <c r="H818" s="1" t="s">
        <v>28</v>
      </c>
      <c r="I818" s="1" t="s">
        <v>4573</v>
      </c>
      <c r="J818" s="1" t="s">
        <v>4574</v>
      </c>
      <c r="K818" s="1" t="s">
        <v>629</v>
      </c>
      <c r="L818" s="1" t="s">
        <v>233</v>
      </c>
      <c r="M818" s="1" t="s">
        <v>49</v>
      </c>
      <c r="N818" s="1" t="s">
        <v>4575</v>
      </c>
      <c r="O818" s="1" t="s">
        <v>35</v>
      </c>
      <c r="P818" s="1" t="s">
        <v>4573</v>
      </c>
      <c r="Q818" s="1" t="s">
        <v>798</v>
      </c>
      <c r="R818" s="1" t="s">
        <v>37</v>
      </c>
      <c r="S818" s="1" t="s">
        <v>37</v>
      </c>
      <c r="T818" s="1" t="s">
        <v>37</v>
      </c>
      <c r="U818" s="1" t="s">
        <v>37</v>
      </c>
    </row>
    <row r="819" spans="1:21">
      <c r="A819" s="1" t="s">
        <v>4576</v>
      </c>
      <c r="B819" s="1" t="s">
        <v>22</v>
      </c>
      <c r="C819" s="1" t="s">
        <v>23</v>
      </c>
      <c r="D819" s="1" t="s">
        <v>41</v>
      </c>
      <c r="E819" s="1" t="s">
        <v>992</v>
      </c>
      <c r="F819" s="1" t="s">
        <v>117</v>
      </c>
      <c r="G819" s="1" t="s">
        <v>4577</v>
      </c>
      <c r="H819" s="1" t="s">
        <v>64</v>
      </c>
      <c r="I819" s="1" t="s">
        <v>4578</v>
      </c>
      <c r="J819" s="1" t="s">
        <v>4579</v>
      </c>
      <c r="K819" s="1" t="s">
        <v>823</v>
      </c>
      <c r="L819" s="1" t="s">
        <v>1862</v>
      </c>
      <c r="M819" s="1" t="s">
        <v>33</v>
      </c>
      <c r="N819" s="1" t="s">
        <v>4580</v>
      </c>
      <c r="O819" s="1" t="s">
        <v>35</v>
      </c>
      <c r="P819" s="1" t="s">
        <v>4578</v>
      </c>
      <c r="Q819" s="1" t="s">
        <v>51</v>
      </c>
      <c r="R819" s="1" t="s">
        <v>37</v>
      </c>
      <c r="S819" s="1" t="s">
        <v>37</v>
      </c>
      <c r="T819" s="1" t="s">
        <v>37</v>
      </c>
      <c r="U819" s="1" t="s">
        <v>37</v>
      </c>
    </row>
    <row r="820" spans="1:21">
      <c r="A820" s="1" t="s">
        <v>4581</v>
      </c>
      <c r="B820" s="1" t="s">
        <v>115</v>
      </c>
      <c r="C820" s="1" t="s">
        <v>116</v>
      </c>
      <c r="D820" s="1" t="s">
        <v>24</v>
      </c>
      <c r="E820" s="1" t="s">
        <v>992</v>
      </c>
      <c r="F820" s="1" t="s">
        <v>26</v>
      </c>
      <c r="G820" s="1" t="s">
        <v>4582</v>
      </c>
      <c r="H820" s="1" t="s">
        <v>129</v>
      </c>
      <c r="I820" s="1" t="s">
        <v>4583</v>
      </c>
      <c r="J820" s="1" t="s">
        <v>4584</v>
      </c>
      <c r="K820" s="1" t="s">
        <v>67</v>
      </c>
      <c r="L820" s="1" t="s">
        <v>3096</v>
      </c>
      <c r="M820" s="1" t="s">
        <v>59</v>
      </c>
      <c r="N820" s="1" t="s">
        <v>4585</v>
      </c>
      <c r="O820" s="1" t="s">
        <v>35</v>
      </c>
      <c r="P820" s="1" t="s">
        <v>4583</v>
      </c>
      <c r="Q820" s="1" t="s">
        <v>70</v>
      </c>
      <c r="R820" s="1" t="s">
        <v>37</v>
      </c>
      <c r="S820" s="1" t="s">
        <v>37</v>
      </c>
      <c r="T820" s="1" t="s">
        <v>37</v>
      </c>
      <c r="U820" s="1" t="s">
        <v>37</v>
      </c>
    </row>
    <row r="821" spans="1:21">
      <c r="A821" s="1" t="s">
        <v>4586</v>
      </c>
      <c r="B821" s="1" t="s">
        <v>115</v>
      </c>
      <c r="C821" s="1" t="s">
        <v>116</v>
      </c>
      <c r="D821" s="1" t="s">
        <v>24</v>
      </c>
      <c r="E821" s="1" t="s">
        <v>992</v>
      </c>
      <c r="F821" s="1" t="s">
        <v>117</v>
      </c>
      <c r="G821" s="1" t="s">
        <v>4587</v>
      </c>
      <c r="H821" s="1" t="s">
        <v>44</v>
      </c>
      <c r="I821" s="1" t="s">
        <v>4588</v>
      </c>
      <c r="J821" s="1" t="s">
        <v>4589</v>
      </c>
      <c r="K821" s="1" t="s">
        <v>419</v>
      </c>
      <c r="L821" s="1" t="s">
        <v>516</v>
      </c>
      <c r="M821" s="1" t="s">
        <v>59</v>
      </c>
      <c r="N821" s="1" t="s">
        <v>4590</v>
      </c>
      <c r="O821" s="1" t="s">
        <v>35</v>
      </c>
      <c r="P821" s="1" t="s">
        <v>4588</v>
      </c>
      <c r="Q821" s="1" t="s">
        <v>90</v>
      </c>
      <c r="R821" s="1" t="s">
        <v>37</v>
      </c>
      <c r="S821" s="1" t="s">
        <v>37</v>
      </c>
      <c r="T821" s="1" t="s">
        <v>37</v>
      </c>
      <c r="U821" s="1" t="s">
        <v>37</v>
      </c>
    </row>
    <row r="822" spans="1:21">
      <c r="A822" s="1" t="s">
        <v>4591</v>
      </c>
      <c r="B822" s="1" t="s">
        <v>115</v>
      </c>
      <c r="C822" s="1" t="s">
        <v>116</v>
      </c>
      <c r="D822" s="1" t="s">
        <v>41</v>
      </c>
      <c r="E822" s="1" t="s">
        <v>992</v>
      </c>
      <c r="F822" s="1" t="s">
        <v>42</v>
      </c>
      <c r="G822" s="1" t="s">
        <v>1179</v>
      </c>
      <c r="H822" s="1" t="s">
        <v>129</v>
      </c>
      <c r="I822" s="1" t="s">
        <v>4592</v>
      </c>
      <c r="J822" s="1" t="s">
        <v>4593</v>
      </c>
      <c r="K822" s="1" t="s">
        <v>84</v>
      </c>
      <c r="L822" s="1" t="s">
        <v>4594</v>
      </c>
      <c r="M822" s="1" t="s">
        <v>33</v>
      </c>
      <c r="N822" s="1" t="s">
        <v>4595</v>
      </c>
      <c r="O822" s="1" t="s">
        <v>35</v>
      </c>
      <c r="P822" s="1" t="s">
        <v>4592</v>
      </c>
      <c r="Q822" s="1" t="s">
        <v>257</v>
      </c>
      <c r="R822" s="1" t="s">
        <v>37</v>
      </c>
      <c r="S822" s="1" t="s">
        <v>37</v>
      </c>
      <c r="T822" s="1" t="s">
        <v>37</v>
      </c>
      <c r="U822" s="1" t="s">
        <v>37</v>
      </c>
    </row>
    <row r="823" spans="1:21">
      <c r="A823" s="1" t="s">
        <v>4596</v>
      </c>
      <c r="B823" s="1" t="s">
        <v>22</v>
      </c>
      <c r="C823" s="1" t="s">
        <v>23</v>
      </c>
      <c r="D823" s="1" t="s">
        <v>24</v>
      </c>
      <c r="E823" s="1" t="s">
        <v>25</v>
      </c>
      <c r="F823" s="1" t="s">
        <v>53</v>
      </c>
      <c r="G823" s="1" t="s">
        <v>4597</v>
      </c>
      <c r="H823" s="1" t="s">
        <v>107</v>
      </c>
      <c r="I823" s="1" t="s">
        <v>4598</v>
      </c>
      <c r="J823" s="1" t="s">
        <v>4599</v>
      </c>
      <c r="K823" s="1" t="s">
        <v>102</v>
      </c>
      <c r="L823" s="1" t="s">
        <v>4600</v>
      </c>
      <c r="M823" s="1" t="s">
        <v>59</v>
      </c>
      <c r="N823" s="1" t="s">
        <v>4601</v>
      </c>
      <c r="O823" s="1" t="s">
        <v>35</v>
      </c>
      <c r="P823" s="1" t="s">
        <v>4598</v>
      </c>
      <c r="Q823" s="1" t="s">
        <v>87</v>
      </c>
      <c r="R823" s="1" t="s">
        <v>37</v>
      </c>
      <c r="S823" s="1" t="s">
        <v>37</v>
      </c>
      <c r="T823" s="1" t="s">
        <v>37</v>
      </c>
      <c r="U823" s="1" t="s">
        <v>37</v>
      </c>
    </row>
    <row r="824" spans="1:21">
      <c r="A824" s="1" t="s">
        <v>4602</v>
      </c>
      <c r="B824" s="1" t="s">
        <v>39</v>
      </c>
      <c r="C824" s="1" t="s">
        <v>40</v>
      </c>
      <c r="D824" s="1" t="s">
        <v>24</v>
      </c>
      <c r="E824" s="1" t="s">
        <v>992</v>
      </c>
      <c r="F824" s="1" t="s">
        <v>72</v>
      </c>
      <c r="G824" s="1" t="s">
        <v>4603</v>
      </c>
      <c r="H824" s="1" t="s">
        <v>253</v>
      </c>
      <c r="I824" s="1" t="s">
        <v>4604</v>
      </c>
      <c r="J824" s="1" t="s">
        <v>4605</v>
      </c>
      <c r="K824" s="1" t="s">
        <v>156</v>
      </c>
      <c r="L824" s="1" t="s">
        <v>2737</v>
      </c>
      <c r="M824" s="1" t="s">
        <v>49</v>
      </c>
      <c r="N824" s="1" t="s">
        <v>4603</v>
      </c>
      <c r="O824" s="1" t="s">
        <v>35</v>
      </c>
      <c r="P824" s="1" t="s">
        <v>4604</v>
      </c>
      <c r="Q824" s="1" t="s">
        <v>125</v>
      </c>
      <c r="R824" s="1" t="s">
        <v>37</v>
      </c>
      <c r="S824" s="1" t="s">
        <v>37</v>
      </c>
      <c r="T824" s="1" t="s">
        <v>37</v>
      </c>
      <c r="U824" s="1" t="s">
        <v>37</v>
      </c>
    </row>
    <row r="825" spans="1:21">
      <c r="A825" s="1" t="s">
        <v>4606</v>
      </c>
      <c r="B825" s="1" t="s">
        <v>22</v>
      </c>
      <c r="C825" s="1" t="s">
        <v>23</v>
      </c>
      <c r="D825" s="1" t="s">
        <v>41</v>
      </c>
      <c r="E825" s="1" t="s">
        <v>25</v>
      </c>
      <c r="F825" s="1" t="s">
        <v>26</v>
      </c>
      <c r="G825" s="1" t="s">
        <v>2483</v>
      </c>
      <c r="H825" s="1" t="s">
        <v>119</v>
      </c>
      <c r="I825" s="1" t="s">
        <v>4607</v>
      </c>
      <c r="J825" s="1" t="s">
        <v>4608</v>
      </c>
      <c r="K825" s="1" t="s">
        <v>371</v>
      </c>
      <c r="L825" s="1" t="s">
        <v>4609</v>
      </c>
      <c r="M825" s="1" t="s">
        <v>49</v>
      </c>
      <c r="N825" s="1" t="s">
        <v>4610</v>
      </c>
      <c r="O825" s="1" t="s">
        <v>35</v>
      </c>
      <c r="P825" s="1" t="s">
        <v>4607</v>
      </c>
      <c r="Q825" s="1" t="s">
        <v>576</v>
      </c>
      <c r="R825" s="1" t="s">
        <v>37</v>
      </c>
      <c r="S825" s="1" t="s">
        <v>37</v>
      </c>
      <c r="T825" s="1" t="s">
        <v>37</v>
      </c>
      <c r="U825" s="1" t="s">
        <v>37</v>
      </c>
    </row>
    <row r="826" spans="1:21">
      <c r="A826" s="1" t="s">
        <v>4611</v>
      </c>
      <c r="B826" s="1" t="s">
        <v>115</v>
      </c>
      <c r="C826" s="1" t="s">
        <v>116</v>
      </c>
      <c r="D826" s="1" t="s">
        <v>24</v>
      </c>
      <c r="E826" s="1" t="s">
        <v>25</v>
      </c>
      <c r="F826" s="1" t="s">
        <v>72</v>
      </c>
      <c r="G826" s="1" t="s">
        <v>4612</v>
      </c>
      <c r="H826" s="1" t="s">
        <v>28</v>
      </c>
      <c r="I826" s="1" t="s">
        <v>4613</v>
      </c>
      <c r="J826" s="1" t="s">
        <v>4614</v>
      </c>
      <c r="K826" s="1" t="s">
        <v>515</v>
      </c>
      <c r="L826" s="1" t="s">
        <v>1165</v>
      </c>
      <c r="M826" s="1" t="s">
        <v>59</v>
      </c>
      <c r="N826" s="1" t="s">
        <v>4615</v>
      </c>
      <c r="O826" s="1" t="s">
        <v>35</v>
      </c>
      <c r="P826" s="1" t="s">
        <v>4613</v>
      </c>
      <c r="Q826" s="1" t="s">
        <v>135</v>
      </c>
      <c r="R826" s="1" t="s">
        <v>37</v>
      </c>
      <c r="S826" s="1" t="s">
        <v>37</v>
      </c>
      <c r="T826" s="1" t="s">
        <v>37</v>
      </c>
      <c r="U826" s="1" t="s">
        <v>37</v>
      </c>
    </row>
    <row r="827" spans="1:21">
      <c r="A827" s="1" t="s">
        <v>4616</v>
      </c>
      <c r="B827" s="1" t="s">
        <v>22</v>
      </c>
      <c r="C827" s="1" t="s">
        <v>23</v>
      </c>
      <c r="D827" s="1" t="s">
        <v>24</v>
      </c>
      <c r="E827" s="1" t="s">
        <v>25</v>
      </c>
      <c r="F827" s="1" t="s">
        <v>72</v>
      </c>
      <c r="G827" s="1" t="s">
        <v>1791</v>
      </c>
      <c r="H827" s="1" t="s">
        <v>129</v>
      </c>
      <c r="I827" s="1" t="s">
        <v>4617</v>
      </c>
      <c r="J827" s="1" t="s">
        <v>4618</v>
      </c>
      <c r="K827" s="1" t="s">
        <v>1057</v>
      </c>
      <c r="L827" s="1" t="s">
        <v>4619</v>
      </c>
      <c r="M827" s="1" t="s">
        <v>59</v>
      </c>
      <c r="N827" s="1" t="s">
        <v>4620</v>
      </c>
      <c r="O827" s="1" t="s">
        <v>35</v>
      </c>
      <c r="P827" s="1" t="s">
        <v>4617</v>
      </c>
      <c r="Q827" s="1" t="s">
        <v>468</v>
      </c>
      <c r="R827" s="1" t="s">
        <v>37</v>
      </c>
      <c r="S827" s="1" t="s">
        <v>37</v>
      </c>
      <c r="T827" s="1" t="s">
        <v>37</v>
      </c>
      <c r="U827" s="1" t="s">
        <v>37</v>
      </c>
    </row>
    <row r="828" spans="1:21">
      <c r="A828" s="1" t="s">
        <v>4621</v>
      </c>
      <c r="B828" s="1" t="s">
        <v>115</v>
      </c>
      <c r="C828" s="1" t="s">
        <v>116</v>
      </c>
      <c r="D828" s="1" t="s">
        <v>24</v>
      </c>
      <c r="E828" s="1" t="s">
        <v>25</v>
      </c>
      <c r="F828" s="1" t="s">
        <v>26</v>
      </c>
      <c r="G828" s="1" t="s">
        <v>4622</v>
      </c>
      <c r="H828" s="1" t="s">
        <v>275</v>
      </c>
      <c r="I828" s="1" t="s">
        <v>4623</v>
      </c>
      <c r="J828" s="1" t="s">
        <v>4624</v>
      </c>
      <c r="K828" s="1" t="s">
        <v>290</v>
      </c>
      <c r="L828" s="1" t="s">
        <v>2588</v>
      </c>
      <c r="M828" s="1" t="s">
        <v>59</v>
      </c>
      <c r="N828" s="1" t="s">
        <v>4625</v>
      </c>
      <c r="O828" s="1" t="s">
        <v>35</v>
      </c>
      <c r="P828" s="1" t="s">
        <v>4623</v>
      </c>
      <c r="Q828" s="1" t="s">
        <v>265</v>
      </c>
      <c r="R828" s="1" t="s">
        <v>37</v>
      </c>
      <c r="S828" s="1" t="s">
        <v>37</v>
      </c>
      <c r="T828" s="1" t="s">
        <v>37</v>
      </c>
      <c r="U828" s="1" t="s">
        <v>37</v>
      </c>
    </row>
    <row r="829" spans="1:21">
      <c r="A829" s="1" t="s">
        <v>4626</v>
      </c>
      <c r="B829" s="1" t="s">
        <v>22</v>
      </c>
      <c r="C829" s="1" t="s">
        <v>23</v>
      </c>
      <c r="D829" s="1" t="s">
        <v>24</v>
      </c>
      <c r="E829" s="1" t="s">
        <v>992</v>
      </c>
      <c r="F829" s="1" t="s">
        <v>127</v>
      </c>
      <c r="G829" s="1" t="s">
        <v>4627</v>
      </c>
      <c r="H829" s="1" t="s">
        <v>119</v>
      </c>
      <c r="I829" s="1" t="s">
        <v>4628</v>
      </c>
      <c r="J829" s="1" t="s">
        <v>4629</v>
      </c>
      <c r="K829" s="1" t="s">
        <v>737</v>
      </c>
      <c r="L829" s="1" t="s">
        <v>630</v>
      </c>
      <c r="M829" s="1" t="s">
        <v>59</v>
      </c>
      <c r="N829" s="1" t="s">
        <v>4630</v>
      </c>
      <c r="O829" s="1" t="s">
        <v>35</v>
      </c>
      <c r="P829" s="1" t="s">
        <v>4628</v>
      </c>
      <c r="Q829" s="1" t="s">
        <v>250</v>
      </c>
      <c r="R829" s="1" t="s">
        <v>37</v>
      </c>
      <c r="S829" s="1" t="s">
        <v>37</v>
      </c>
      <c r="T829" s="1" t="s">
        <v>37</v>
      </c>
      <c r="U829" s="1" t="s">
        <v>37</v>
      </c>
    </row>
    <row r="830" spans="1:21">
      <c r="A830" s="1" t="s">
        <v>4631</v>
      </c>
      <c r="B830" s="1" t="s">
        <v>39</v>
      </c>
      <c r="C830" s="1" t="s">
        <v>40</v>
      </c>
      <c r="D830" s="1" t="s">
        <v>41</v>
      </c>
      <c r="E830" s="1" t="s">
        <v>992</v>
      </c>
      <c r="F830" s="1" t="s">
        <v>42</v>
      </c>
      <c r="G830" s="1" t="s">
        <v>4632</v>
      </c>
      <c r="H830" s="1" t="s">
        <v>99</v>
      </c>
      <c r="I830" s="1" t="s">
        <v>4633</v>
      </c>
      <c r="J830" s="1" t="s">
        <v>4634</v>
      </c>
      <c r="K830" s="1" t="s">
        <v>788</v>
      </c>
      <c r="L830" s="1" t="s">
        <v>1427</v>
      </c>
      <c r="M830" s="1" t="s">
        <v>49</v>
      </c>
      <c r="N830" s="1" t="s">
        <v>4635</v>
      </c>
      <c r="O830" s="1" t="s">
        <v>35</v>
      </c>
      <c r="P830" s="1" t="s">
        <v>4633</v>
      </c>
      <c r="Q830" s="1" t="s">
        <v>849</v>
      </c>
      <c r="R830" s="1" t="s">
        <v>37</v>
      </c>
      <c r="S830" s="1" t="s">
        <v>37</v>
      </c>
      <c r="T830" s="1" t="s">
        <v>37</v>
      </c>
      <c r="U830" s="1" t="s">
        <v>37</v>
      </c>
    </row>
    <row r="831" spans="1:21">
      <c r="A831" s="1" t="s">
        <v>4636</v>
      </c>
      <c r="B831" s="1" t="s">
        <v>22</v>
      </c>
      <c r="C831" s="1" t="s">
        <v>23</v>
      </c>
      <c r="D831" s="1" t="s">
        <v>24</v>
      </c>
      <c r="E831" s="1" t="s">
        <v>25</v>
      </c>
      <c r="F831" s="1" t="s">
        <v>42</v>
      </c>
      <c r="G831" s="1" t="s">
        <v>491</v>
      </c>
      <c r="H831" s="1" t="s">
        <v>99</v>
      </c>
      <c r="I831" s="1" t="s">
        <v>4637</v>
      </c>
      <c r="J831" s="1" t="s">
        <v>4638</v>
      </c>
      <c r="K831" s="1" t="s">
        <v>187</v>
      </c>
      <c r="L831" s="1" t="s">
        <v>432</v>
      </c>
      <c r="M831" s="1" t="s">
        <v>59</v>
      </c>
      <c r="N831" s="1" t="s">
        <v>4639</v>
      </c>
      <c r="O831" s="1" t="s">
        <v>35</v>
      </c>
      <c r="P831" s="1" t="s">
        <v>4637</v>
      </c>
      <c r="Q831" s="1" t="s">
        <v>550</v>
      </c>
      <c r="R831" s="1" t="s">
        <v>37</v>
      </c>
      <c r="S831" s="1" t="s">
        <v>37</v>
      </c>
      <c r="T831" s="1" t="s">
        <v>37</v>
      </c>
      <c r="U831" s="1" t="s">
        <v>37</v>
      </c>
    </row>
    <row r="832" spans="1:21">
      <c r="A832" s="1" t="s">
        <v>4640</v>
      </c>
      <c r="B832" s="1" t="s">
        <v>22</v>
      </c>
      <c r="C832" s="1" t="s">
        <v>23</v>
      </c>
      <c r="D832" s="1" t="s">
        <v>41</v>
      </c>
      <c r="E832" s="1" t="s">
        <v>992</v>
      </c>
      <c r="F832" s="1" t="s">
        <v>42</v>
      </c>
      <c r="G832" s="1" t="s">
        <v>4641</v>
      </c>
      <c r="H832" s="1" t="s">
        <v>64</v>
      </c>
      <c r="I832" s="1" t="s">
        <v>4642</v>
      </c>
      <c r="J832" s="1" t="s">
        <v>4643</v>
      </c>
      <c r="K832" s="1" t="s">
        <v>541</v>
      </c>
      <c r="L832" s="1" t="s">
        <v>1953</v>
      </c>
      <c r="M832" s="1" t="s">
        <v>49</v>
      </c>
      <c r="N832" s="1" t="s">
        <v>4644</v>
      </c>
      <c r="O832" s="1" t="s">
        <v>35</v>
      </c>
      <c r="P832" s="1" t="s">
        <v>4642</v>
      </c>
      <c r="Q832" s="1" t="s">
        <v>338</v>
      </c>
      <c r="R832" s="1" t="s">
        <v>37</v>
      </c>
      <c r="S832" s="1" t="s">
        <v>37</v>
      </c>
      <c r="T832" s="1" t="s">
        <v>37</v>
      </c>
      <c r="U832" s="1" t="s">
        <v>37</v>
      </c>
    </row>
    <row r="833" spans="1:21">
      <c r="A833" s="1" t="s">
        <v>4645</v>
      </c>
      <c r="B833" s="1" t="s">
        <v>115</v>
      </c>
      <c r="C833" s="1" t="s">
        <v>116</v>
      </c>
      <c r="D833" s="1" t="s">
        <v>41</v>
      </c>
      <c r="E833" s="1" t="s">
        <v>992</v>
      </c>
      <c r="F833" s="1" t="s">
        <v>26</v>
      </c>
      <c r="G833" s="1" t="s">
        <v>4646</v>
      </c>
      <c r="H833" s="1" t="s">
        <v>129</v>
      </c>
      <c r="I833" s="1" t="s">
        <v>4647</v>
      </c>
      <c r="J833" s="1" t="s">
        <v>4648</v>
      </c>
      <c r="K833" s="1" t="s">
        <v>93</v>
      </c>
      <c r="L833" s="1" t="s">
        <v>630</v>
      </c>
      <c r="M833" s="1" t="s">
        <v>49</v>
      </c>
      <c r="N833" s="1" t="s">
        <v>4649</v>
      </c>
      <c r="O833" s="1" t="s">
        <v>35</v>
      </c>
      <c r="P833" s="1" t="s">
        <v>4647</v>
      </c>
      <c r="Q833" s="1" t="s">
        <v>386</v>
      </c>
      <c r="R833" s="1" t="s">
        <v>37</v>
      </c>
      <c r="S833" s="1" t="s">
        <v>37</v>
      </c>
      <c r="T833" s="1" t="s">
        <v>37</v>
      </c>
      <c r="U833" s="1" t="s">
        <v>37</v>
      </c>
    </row>
    <row r="834" spans="1:21">
      <c r="A834" s="1" t="s">
        <v>4650</v>
      </c>
      <c r="B834" s="1" t="s">
        <v>115</v>
      </c>
      <c r="C834" s="1" t="s">
        <v>116</v>
      </c>
      <c r="D834" s="1" t="s">
        <v>24</v>
      </c>
      <c r="E834" s="1" t="s">
        <v>25</v>
      </c>
      <c r="F834" s="1" t="s">
        <v>72</v>
      </c>
      <c r="G834" s="1" t="s">
        <v>4651</v>
      </c>
      <c r="H834" s="1" t="s">
        <v>64</v>
      </c>
      <c r="I834" s="1" t="s">
        <v>4652</v>
      </c>
      <c r="J834" s="1" t="s">
        <v>4653</v>
      </c>
      <c r="K834" s="1" t="s">
        <v>595</v>
      </c>
      <c r="L834" s="1" t="s">
        <v>3843</v>
      </c>
      <c r="M834" s="1" t="s">
        <v>49</v>
      </c>
      <c r="N834" s="1" t="s">
        <v>4654</v>
      </c>
      <c r="O834" s="1" t="s">
        <v>35</v>
      </c>
      <c r="P834" s="1" t="s">
        <v>4652</v>
      </c>
      <c r="Q834" s="1" t="s">
        <v>87</v>
      </c>
      <c r="R834" s="1" t="s">
        <v>37</v>
      </c>
      <c r="S834" s="1" t="s">
        <v>37</v>
      </c>
      <c r="T834" s="1" t="s">
        <v>37</v>
      </c>
      <c r="U834" s="1" t="s">
        <v>37</v>
      </c>
    </row>
    <row r="835" spans="1:21">
      <c r="A835" s="1" t="s">
        <v>4655</v>
      </c>
      <c r="B835" s="1" t="s">
        <v>22</v>
      </c>
      <c r="C835" s="1" t="s">
        <v>23</v>
      </c>
      <c r="D835" s="1" t="s">
        <v>24</v>
      </c>
      <c r="E835" s="1" t="s">
        <v>992</v>
      </c>
      <c r="F835" s="1" t="s">
        <v>26</v>
      </c>
      <c r="G835" s="1" t="s">
        <v>4656</v>
      </c>
      <c r="H835" s="1" t="s">
        <v>253</v>
      </c>
      <c r="I835" s="1" t="s">
        <v>4657</v>
      </c>
      <c r="J835" s="1" t="s">
        <v>4658</v>
      </c>
      <c r="K835" s="1" t="s">
        <v>515</v>
      </c>
      <c r="L835" s="1" t="s">
        <v>432</v>
      </c>
      <c r="M835" s="1" t="s">
        <v>33</v>
      </c>
      <c r="N835" s="1" t="s">
        <v>4656</v>
      </c>
      <c r="O835" s="1" t="s">
        <v>35</v>
      </c>
      <c r="P835" s="1" t="s">
        <v>4657</v>
      </c>
      <c r="Q835" s="1" t="s">
        <v>798</v>
      </c>
      <c r="R835" s="1" t="s">
        <v>37</v>
      </c>
      <c r="S835" s="1" t="s">
        <v>37</v>
      </c>
      <c r="T835" s="1" t="s">
        <v>37</v>
      </c>
      <c r="U835" s="1" t="s">
        <v>37</v>
      </c>
    </row>
    <row r="836" spans="1:21">
      <c r="A836" s="1" t="s">
        <v>4659</v>
      </c>
      <c r="B836" s="1" t="s">
        <v>115</v>
      </c>
      <c r="C836" s="1" t="s">
        <v>116</v>
      </c>
      <c r="D836" s="1" t="s">
        <v>24</v>
      </c>
      <c r="E836" s="1" t="s">
        <v>25</v>
      </c>
      <c r="F836" s="1" t="s">
        <v>53</v>
      </c>
      <c r="G836" s="1" t="s">
        <v>4660</v>
      </c>
      <c r="H836" s="1" t="s">
        <v>28</v>
      </c>
      <c r="I836" s="1" t="s">
        <v>4661</v>
      </c>
      <c r="J836" s="1" t="s">
        <v>4662</v>
      </c>
      <c r="K836" s="1" t="s">
        <v>481</v>
      </c>
      <c r="L836" s="1" t="s">
        <v>4663</v>
      </c>
      <c r="M836" s="1" t="s">
        <v>33</v>
      </c>
      <c r="N836" s="1" t="s">
        <v>4664</v>
      </c>
      <c r="O836" s="1" t="s">
        <v>35</v>
      </c>
      <c r="P836" s="1" t="s">
        <v>4661</v>
      </c>
      <c r="Q836" s="1" t="s">
        <v>476</v>
      </c>
      <c r="R836" s="1" t="s">
        <v>37</v>
      </c>
      <c r="S836" s="1" t="s">
        <v>37</v>
      </c>
      <c r="T836" s="1" t="s">
        <v>37</v>
      </c>
      <c r="U836" s="1" t="s">
        <v>37</v>
      </c>
    </row>
    <row r="837" spans="1:21">
      <c r="A837" s="1" t="s">
        <v>4665</v>
      </c>
      <c r="B837" s="1" t="s">
        <v>22</v>
      </c>
      <c r="C837" s="1" t="s">
        <v>23</v>
      </c>
      <c r="D837" s="1" t="s">
        <v>41</v>
      </c>
      <c r="E837" s="1" t="s">
        <v>992</v>
      </c>
      <c r="F837" s="1" t="s">
        <v>127</v>
      </c>
      <c r="G837" s="1" t="s">
        <v>4666</v>
      </c>
      <c r="H837" s="1" t="s">
        <v>253</v>
      </c>
      <c r="I837" s="1" t="s">
        <v>4667</v>
      </c>
      <c r="J837" s="1" t="s">
        <v>4668</v>
      </c>
      <c r="K837" s="1" t="s">
        <v>737</v>
      </c>
      <c r="L837" s="1" t="s">
        <v>1117</v>
      </c>
      <c r="M837" s="1" t="s">
        <v>49</v>
      </c>
      <c r="N837" s="1" t="s">
        <v>4666</v>
      </c>
      <c r="O837" s="1" t="s">
        <v>35</v>
      </c>
      <c r="P837" s="1" t="s">
        <v>4667</v>
      </c>
      <c r="Q837" s="1" t="s">
        <v>96</v>
      </c>
      <c r="R837" s="1" t="s">
        <v>37</v>
      </c>
      <c r="S837" s="1" t="s">
        <v>37</v>
      </c>
      <c r="T837" s="1" t="s">
        <v>37</v>
      </c>
      <c r="U837" s="1" t="s">
        <v>37</v>
      </c>
    </row>
    <row r="838" spans="1:21">
      <c r="A838" s="1" t="s">
        <v>4669</v>
      </c>
      <c r="B838" s="1" t="s">
        <v>22</v>
      </c>
      <c r="C838" s="1" t="s">
        <v>23</v>
      </c>
      <c r="D838" s="1" t="s">
        <v>24</v>
      </c>
      <c r="E838" s="1" t="s">
        <v>992</v>
      </c>
      <c r="F838" s="1" t="s">
        <v>127</v>
      </c>
      <c r="G838" s="1" t="s">
        <v>4670</v>
      </c>
      <c r="H838" s="1" t="s">
        <v>44</v>
      </c>
      <c r="I838" s="1" t="s">
        <v>4671</v>
      </c>
      <c r="J838" s="1" t="s">
        <v>4672</v>
      </c>
      <c r="K838" s="1" t="s">
        <v>595</v>
      </c>
      <c r="L838" s="1" t="s">
        <v>1736</v>
      </c>
      <c r="M838" s="1" t="s">
        <v>33</v>
      </c>
      <c r="N838" s="1" t="s">
        <v>4673</v>
      </c>
      <c r="O838" s="1" t="s">
        <v>35</v>
      </c>
      <c r="P838" s="1" t="s">
        <v>4671</v>
      </c>
      <c r="Q838" s="1" t="s">
        <v>366</v>
      </c>
      <c r="R838" s="1" t="s">
        <v>37</v>
      </c>
      <c r="S838" s="1" t="s">
        <v>37</v>
      </c>
      <c r="T838" s="1" t="s">
        <v>37</v>
      </c>
      <c r="U838" s="1" t="s">
        <v>37</v>
      </c>
    </row>
    <row r="839" spans="1:21">
      <c r="A839" s="1" t="s">
        <v>4674</v>
      </c>
      <c r="B839" s="1" t="s">
        <v>115</v>
      </c>
      <c r="C839" s="1" t="s">
        <v>116</v>
      </c>
      <c r="D839" s="1" t="s">
        <v>41</v>
      </c>
      <c r="E839" s="1" t="s">
        <v>992</v>
      </c>
      <c r="F839" s="1" t="s">
        <v>72</v>
      </c>
      <c r="G839" s="1" t="s">
        <v>4675</v>
      </c>
      <c r="H839" s="1" t="s">
        <v>90</v>
      </c>
      <c r="I839" s="1" t="s">
        <v>4676</v>
      </c>
      <c r="J839" s="1" t="s">
        <v>4677</v>
      </c>
      <c r="K839" s="1" t="s">
        <v>668</v>
      </c>
      <c r="L839" s="1" t="s">
        <v>3502</v>
      </c>
      <c r="M839" s="1" t="s">
        <v>59</v>
      </c>
      <c r="N839" s="1" t="s">
        <v>4678</v>
      </c>
      <c r="O839" s="1" t="s">
        <v>35</v>
      </c>
      <c r="P839" s="1" t="s">
        <v>4676</v>
      </c>
      <c r="Q839" s="1" t="s">
        <v>220</v>
      </c>
      <c r="R839" s="1" t="s">
        <v>37</v>
      </c>
      <c r="S839" s="1" t="s">
        <v>37</v>
      </c>
      <c r="T839" s="1" t="s">
        <v>37</v>
      </c>
      <c r="U839" s="1" t="s">
        <v>37</v>
      </c>
    </row>
    <row r="840" spans="1:21">
      <c r="A840" s="1" t="s">
        <v>4679</v>
      </c>
      <c r="B840" s="1" t="s">
        <v>39</v>
      </c>
      <c r="C840" s="1" t="s">
        <v>40</v>
      </c>
      <c r="D840" s="1" t="s">
        <v>41</v>
      </c>
      <c r="E840" s="1" t="s">
        <v>992</v>
      </c>
      <c r="F840" s="1" t="s">
        <v>42</v>
      </c>
      <c r="G840" s="1" t="s">
        <v>4680</v>
      </c>
      <c r="H840" s="1" t="s">
        <v>99</v>
      </c>
      <c r="I840" s="1" t="s">
        <v>4681</v>
      </c>
      <c r="J840" s="1" t="s">
        <v>4682</v>
      </c>
      <c r="K840" s="1" t="s">
        <v>172</v>
      </c>
      <c r="L840" s="1" t="s">
        <v>535</v>
      </c>
      <c r="M840" s="1" t="s">
        <v>49</v>
      </c>
      <c r="N840" s="1" t="s">
        <v>4683</v>
      </c>
      <c r="O840" s="1" t="s">
        <v>35</v>
      </c>
      <c r="P840" s="1" t="s">
        <v>4681</v>
      </c>
      <c r="Q840" s="1" t="s">
        <v>96</v>
      </c>
      <c r="R840" s="1" t="s">
        <v>37</v>
      </c>
      <c r="S840" s="1" t="s">
        <v>37</v>
      </c>
      <c r="T840" s="1" t="s">
        <v>37</v>
      </c>
      <c r="U840" s="1" t="s">
        <v>37</v>
      </c>
    </row>
    <row r="841" spans="1:21">
      <c r="A841" s="1" t="s">
        <v>4684</v>
      </c>
      <c r="B841" s="1" t="s">
        <v>39</v>
      </c>
      <c r="C841" s="1" t="s">
        <v>40</v>
      </c>
      <c r="D841" s="1" t="s">
        <v>24</v>
      </c>
      <c r="E841" s="1" t="s">
        <v>25</v>
      </c>
      <c r="F841" s="1" t="s">
        <v>72</v>
      </c>
      <c r="G841" s="1" t="s">
        <v>4685</v>
      </c>
      <c r="H841" s="1" t="s">
        <v>90</v>
      </c>
      <c r="I841" s="1" t="s">
        <v>4686</v>
      </c>
      <c r="J841" s="1" t="s">
        <v>4687</v>
      </c>
      <c r="K841" s="1" t="s">
        <v>187</v>
      </c>
      <c r="L841" s="1" t="s">
        <v>2812</v>
      </c>
      <c r="M841" s="1" t="s">
        <v>33</v>
      </c>
      <c r="N841" s="1" t="s">
        <v>4688</v>
      </c>
      <c r="O841" s="1" t="s">
        <v>35</v>
      </c>
      <c r="P841" s="1" t="s">
        <v>4686</v>
      </c>
      <c r="Q841" s="1" t="s">
        <v>44</v>
      </c>
      <c r="R841" s="1" t="s">
        <v>37</v>
      </c>
      <c r="S841" s="1" t="s">
        <v>37</v>
      </c>
      <c r="T841" s="1" t="s">
        <v>37</v>
      </c>
      <c r="U841" s="1" t="s">
        <v>37</v>
      </c>
    </row>
    <row r="842" spans="1:21">
      <c r="A842" s="1" t="s">
        <v>4689</v>
      </c>
      <c r="B842" s="1" t="s">
        <v>22</v>
      </c>
      <c r="C842" s="1" t="s">
        <v>23</v>
      </c>
      <c r="D842" s="1" t="s">
        <v>41</v>
      </c>
      <c r="E842" s="1" t="s">
        <v>992</v>
      </c>
      <c r="F842" s="1" t="s">
        <v>127</v>
      </c>
      <c r="G842" s="1" t="s">
        <v>1534</v>
      </c>
      <c r="H842" s="1" t="s">
        <v>119</v>
      </c>
      <c r="I842" s="1" t="s">
        <v>4690</v>
      </c>
      <c r="J842" s="1" t="s">
        <v>4691</v>
      </c>
      <c r="K842" s="1" t="s">
        <v>489</v>
      </c>
      <c r="L842" s="1" t="s">
        <v>4692</v>
      </c>
      <c r="M842" s="1" t="s">
        <v>49</v>
      </c>
      <c r="N842" s="1" t="s">
        <v>4693</v>
      </c>
      <c r="O842" s="1" t="s">
        <v>35</v>
      </c>
      <c r="P842" s="1" t="s">
        <v>4690</v>
      </c>
      <c r="Q842" s="1" t="s">
        <v>351</v>
      </c>
      <c r="R842" s="1" t="s">
        <v>37</v>
      </c>
      <c r="S842" s="1" t="s">
        <v>37</v>
      </c>
      <c r="T842" s="1" t="s">
        <v>37</v>
      </c>
      <c r="U842" s="1" t="s">
        <v>37</v>
      </c>
    </row>
    <row r="843" spans="1:21">
      <c r="A843" s="1" t="s">
        <v>4694</v>
      </c>
      <c r="B843" s="1" t="s">
        <v>115</v>
      </c>
      <c r="C843" s="1" t="s">
        <v>116</v>
      </c>
      <c r="D843" s="1" t="s">
        <v>41</v>
      </c>
      <c r="E843" s="1" t="s">
        <v>992</v>
      </c>
      <c r="F843" s="1" t="s">
        <v>42</v>
      </c>
      <c r="G843" s="1" t="s">
        <v>3354</v>
      </c>
      <c r="H843" s="1" t="s">
        <v>253</v>
      </c>
      <c r="I843" s="1" t="s">
        <v>4695</v>
      </c>
      <c r="J843" s="1" t="s">
        <v>4696</v>
      </c>
      <c r="K843" s="1" t="s">
        <v>452</v>
      </c>
      <c r="L843" s="1" t="s">
        <v>1380</v>
      </c>
      <c r="M843" s="1" t="s">
        <v>49</v>
      </c>
      <c r="N843" s="1" t="s">
        <v>3354</v>
      </c>
      <c r="O843" s="1" t="s">
        <v>35</v>
      </c>
      <c r="P843" s="1" t="s">
        <v>4695</v>
      </c>
      <c r="Q843" s="1" t="s">
        <v>90</v>
      </c>
      <c r="R843" s="1" t="s">
        <v>37</v>
      </c>
      <c r="S843" s="1" t="s">
        <v>37</v>
      </c>
      <c r="T843" s="1" t="s">
        <v>37</v>
      </c>
      <c r="U843" s="1" t="s">
        <v>37</v>
      </c>
    </row>
    <row r="844" spans="1:21">
      <c r="A844" s="1" t="s">
        <v>4697</v>
      </c>
      <c r="B844" s="1" t="s">
        <v>22</v>
      </c>
      <c r="C844" s="1" t="s">
        <v>23</v>
      </c>
      <c r="D844" s="1" t="s">
        <v>24</v>
      </c>
      <c r="E844" s="1" t="s">
        <v>25</v>
      </c>
      <c r="F844" s="1" t="s">
        <v>72</v>
      </c>
      <c r="G844" s="1" t="s">
        <v>4698</v>
      </c>
      <c r="H844" s="1" t="s">
        <v>107</v>
      </c>
      <c r="I844" s="1" t="s">
        <v>4699</v>
      </c>
      <c r="J844" s="1" t="s">
        <v>4700</v>
      </c>
      <c r="K844" s="1" t="s">
        <v>240</v>
      </c>
      <c r="L844" s="1" t="s">
        <v>4701</v>
      </c>
      <c r="M844" s="1" t="s">
        <v>59</v>
      </c>
      <c r="N844" s="1" t="s">
        <v>4702</v>
      </c>
      <c r="O844" s="1" t="s">
        <v>35</v>
      </c>
      <c r="P844" s="1" t="s">
        <v>4699</v>
      </c>
      <c r="Q844" s="1" t="s">
        <v>44</v>
      </c>
      <c r="R844" s="1" t="s">
        <v>37</v>
      </c>
      <c r="S844" s="1" t="s">
        <v>37</v>
      </c>
      <c r="T844" s="1" t="s">
        <v>37</v>
      </c>
      <c r="U844" s="1" t="s">
        <v>37</v>
      </c>
    </row>
    <row r="845" spans="1:21">
      <c r="A845" s="1" t="s">
        <v>4703</v>
      </c>
      <c r="B845" s="1" t="s">
        <v>39</v>
      </c>
      <c r="C845" s="1" t="s">
        <v>40</v>
      </c>
      <c r="D845" s="1" t="s">
        <v>24</v>
      </c>
      <c r="E845" s="1" t="s">
        <v>25</v>
      </c>
      <c r="F845" s="1" t="s">
        <v>117</v>
      </c>
      <c r="G845" s="1" t="s">
        <v>4704</v>
      </c>
      <c r="H845" s="1" t="s">
        <v>107</v>
      </c>
      <c r="I845" s="1" t="s">
        <v>4705</v>
      </c>
      <c r="J845" s="1" t="s">
        <v>4706</v>
      </c>
      <c r="K845" s="1" t="s">
        <v>1206</v>
      </c>
      <c r="L845" s="1" t="s">
        <v>4619</v>
      </c>
      <c r="M845" s="1" t="s">
        <v>59</v>
      </c>
      <c r="N845" s="1" t="s">
        <v>4707</v>
      </c>
      <c r="O845" s="1" t="s">
        <v>35</v>
      </c>
      <c r="P845" s="1" t="s">
        <v>4705</v>
      </c>
      <c r="Q845" s="1" t="s">
        <v>1655</v>
      </c>
      <c r="R845" s="1" t="s">
        <v>37</v>
      </c>
      <c r="S845" s="1" t="s">
        <v>37</v>
      </c>
      <c r="T845" s="1" t="s">
        <v>37</v>
      </c>
      <c r="U845" s="1" t="s">
        <v>37</v>
      </c>
    </row>
    <row r="846" spans="1:21">
      <c r="A846" s="1" t="s">
        <v>4708</v>
      </c>
      <c r="B846" s="1" t="s">
        <v>22</v>
      </c>
      <c r="C846" s="1" t="s">
        <v>23</v>
      </c>
      <c r="D846" s="1" t="s">
        <v>41</v>
      </c>
      <c r="E846" s="1" t="s">
        <v>992</v>
      </c>
      <c r="F846" s="1" t="s">
        <v>127</v>
      </c>
      <c r="G846" s="1" t="s">
        <v>4709</v>
      </c>
      <c r="H846" s="1" t="s">
        <v>253</v>
      </c>
      <c r="I846" s="1" t="s">
        <v>4710</v>
      </c>
      <c r="J846" s="1" t="s">
        <v>4711</v>
      </c>
      <c r="K846" s="1" t="s">
        <v>623</v>
      </c>
      <c r="L846" s="1" t="s">
        <v>291</v>
      </c>
      <c r="M846" s="1" t="s">
        <v>49</v>
      </c>
      <c r="N846" s="1" t="s">
        <v>4709</v>
      </c>
      <c r="O846" s="1" t="s">
        <v>35</v>
      </c>
      <c r="P846" s="1" t="s">
        <v>4710</v>
      </c>
      <c r="Q846" s="1" t="s">
        <v>125</v>
      </c>
      <c r="R846" s="1" t="s">
        <v>37</v>
      </c>
      <c r="S846" s="1" t="s">
        <v>37</v>
      </c>
      <c r="T846" s="1" t="s">
        <v>37</v>
      </c>
      <c r="U846" s="1" t="s">
        <v>37</v>
      </c>
    </row>
    <row r="847" spans="1:21">
      <c r="A847" s="1" t="s">
        <v>4712</v>
      </c>
      <c r="B847" s="1" t="s">
        <v>22</v>
      </c>
      <c r="C847" s="1" t="s">
        <v>23</v>
      </c>
      <c r="D847" s="1" t="s">
        <v>24</v>
      </c>
      <c r="E847" s="1" t="s">
        <v>992</v>
      </c>
      <c r="F847" s="1" t="s">
        <v>42</v>
      </c>
      <c r="G847" s="1" t="s">
        <v>4713</v>
      </c>
      <c r="H847" s="1" t="s">
        <v>119</v>
      </c>
      <c r="I847" s="1" t="s">
        <v>4714</v>
      </c>
      <c r="J847" s="1" t="s">
        <v>4715</v>
      </c>
      <c r="K847" s="1" t="s">
        <v>1122</v>
      </c>
      <c r="L847" s="1" t="s">
        <v>804</v>
      </c>
      <c r="M847" s="1" t="s">
        <v>59</v>
      </c>
      <c r="N847" s="1" t="s">
        <v>4716</v>
      </c>
      <c r="O847" s="1" t="s">
        <v>35</v>
      </c>
      <c r="P847" s="1" t="s">
        <v>4714</v>
      </c>
      <c r="Q847" s="1" t="s">
        <v>125</v>
      </c>
      <c r="R847" s="1" t="s">
        <v>37</v>
      </c>
      <c r="S847" s="1" t="s">
        <v>37</v>
      </c>
      <c r="T847" s="1" t="s">
        <v>37</v>
      </c>
      <c r="U847" s="1" t="s">
        <v>37</v>
      </c>
    </row>
    <row r="848" spans="1:21">
      <c r="A848" s="1" t="s">
        <v>4717</v>
      </c>
      <c r="B848" s="1" t="s">
        <v>22</v>
      </c>
      <c r="C848" s="1" t="s">
        <v>23</v>
      </c>
      <c r="D848" s="1" t="s">
        <v>24</v>
      </c>
      <c r="E848" s="1" t="s">
        <v>992</v>
      </c>
      <c r="F848" s="1" t="s">
        <v>42</v>
      </c>
      <c r="G848" s="1" t="s">
        <v>4718</v>
      </c>
      <c r="H848" s="1" t="s">
        <v>253</v>
      </c>
      <c r="I848" s="1" t="s">
        <v>4719</v>
      </c>
      <c r="J848" s="1" t="s">
        <v>4720</v>
      </c>
      <c r="K848" s="1" t="s">
        <v>67</v>
      </c>
      <c r="L848" s="1" t="s">
        <v>1402</v>
      </c>
      <c r="M848" s="1" t="s">
        <v>33</v>
      </c>
      <c r="N848" s="1" t="s">
        <v>4718</v>
      </c>
      <c r="O848" s="1" t="s">
        <v>35</v>
      </c>
      <c r="P848" s="1" t="s">
        <v>4719</v>
      </c>
      <c r="Q848" s="1" t="s">
        <v>1089</v>
      </c>
      <c r="R848" s="1" t="s">
        <v>37</v>
      </c>
      <c r="S848" s="1" t="s">
        <v>37</v>
      </c>
      <c r="T848" s="1" t="s">
        <v>37</v>
      </c>
      <c r="U848" s="1" t="s">
        <v>37</v>
      </c>
    </row>
    <row r="849" spans="1:21">
      <c r="A849" s="1" t="s">
        <v>4721</v>
      </c>
      <c r="B849" s="1" t="s">
        <v>39</v>
      </c>
      <c r="C849" s="1" t="s">
        <v>40</v>
      </c>
      <c r="D849" s="1" t="s">
        <v>41</v>
      </c>
      <c r="E849" s="1" t="s">
        <v>25</v>
      </c>
      <c r="F849" s="1" t="s">
        <v>72</v>
      </c>
      <c r="G849" s="1" t="s">
        <v>4722</v>
      </c>
      <c r="H849" s="1" t="s">
        <v>253</v>
      </c>
      <c r="I849" s="1" t="s">
        <v>4723</v>
      </c>
      <c r="J849" s="1" t="s">
        <v>4724</v>
      </c>
      <c r="K849" s="1" t="s">
        <v>1122</v>
      </c>
      <c r="L849" s="1" t="s">
        <v>413</v>
      </c>
      <c r="M849" s="1" t="s">
        <v>59</v>
      </c>
      <c r="N849" s="1" t="s">
        <v>4722</v>
      </c>
      <c r="O849" s="1" t="s">
        <v>35</v>
      </c>
      <c r="P849" s="1" t="s">
        <v>4723</v>
      </c>
      <c r="Q849" s="1" t="s">
        <v>198</v>
      </c>
      <c r="R849" s="1" t="s">
        <v>37</v>
      </c>
      <c r="S849" s="1" t="s">
        <v>37</v>
      </c>
      <c r="T849" s="1" t="s">
        <v>37</v>
      </c>
      <c r="U849" s="1" t="s">
        <v>37</v>
      </c>
    </row>
    <row r="850" spans="1:21">
      <c r="A850" s="1" t="s">
        <v>4725</v>
      </c>
      <c r="B850" s="1" t="s">
        <v>39</v>
      </c>
      <c r="C850" s="1" t="s">
        <v>40</v>
      </c>
      <c r="D850" s="1" t="s">
        <v>24</v>
      </c>
      <c r="E850" s="1" t="s">
        <v>25</v>
      </c>
      <c r="F850" s="1" t="s">
        <v>117</v>
      </c>
      <c r="G850" s="1" t="s">
        <v>3926</v>
      </c>
      <c r="H850" s="1" t="s">
        <v>275</v>
      </c>
      <c r="I850" s="1" t="s">
        <v>4726</v>
      </c>
      <c r="J850" s="1" t="s">
        <v>4727</v>
      </c>
      <c r="K850" s="1" t="s">
        <v>906</v>
      </c>
      <c r="L850" s="1" t="s">
        <v>3255</v>
      </c>
      <c r="M850" s="1" t="s">
        <v>49</v>
      </c>
      <c r="N850" s="1" t="s">
        <v>4728</v>
      </c>
      <c r="O850" s="1" t="s">
        <v>35</v>
      </c>
      <c r="P850" s="1" t="s">
        <v>4726</v>
      </c>
      <c r="Q850" s="1" t="s">
        <v>129</v>
      </c>
      <c r="R850" s="1" t="s">
        <v>37</v>
      </c>
      <c r="S850" s="1" t="s">
        <v>37</v>
      </c>
      <c r="T850" s="1" t="s">
        <v>37</v>
      </c>
      <c r="U850" s="1" t="s">
        <v>37</v>
      </c>
    </row>
    <row r="851" spans="1:21">
      <c r="A851" s="1" t="s">
        <v>4729</v>
      </c>
      <c r="B851" s="1" t="s">
        <v>22</v>
      </c>
      <c r="C851" s="1" t="s">
        <v>23</v>
      </c>
      <c r="D851" s="1" t="s">
        <v>41</v>
      </c>
      <c r="E851" s="1" t="s">
        <v>25</v>
      </c>
      <c r="F851" s="1" t="s">
        <v>127</v>
      </c>
      <c r="G851" s="1" t="s">
        <v>4730</v>
      </c>
      <c r="H851" s="1" t="s">
        <v>90</v>
      </c>
      <c r="I851" s="1" t="s">
        <v>4731</v>
      </c>
      <c r="J851" s="1" t="s">
        <v>1490</v>
      </c>
      <c r="K851" s="1" t="s">
        <v>823</v>
      </c>
      <c r="L851" s="1" t="s">
        <v>719</v>
      </c>
      <c r="M851" s="1" t="s">
        <v>49</v>
      </c>
      <c r="N851" s="1" t="s">
        <v>4732</v>
      </c>
      <c r="O851" s="1" t="s">
        <v>35</v>
      </c>
      <c r="P851" s="1" t="s">
        <v>4731</v>
      </c>
      <c r="Q851" s="1" t="s">
        <v>791</v>
      </c>
      <c r="R851" s="1" t="s">
        <v>37</v>
      </c>
      <c r="S851" s="1" t="s">
        <v>37</v>
      </c>
      <c r="T851" s="1" t="s">
        <v>37</v>
      </c>
      <c r="U851" s="1" t="s">
        <v>37</v>
      </c>
    </row>
    <row r="852" spans="1:21">
      <c r="A852" s="1" t="s">
        <v>4733</v>
      </c>
      <c r="B852" s="1" t="s">
        <v>22</v>
      </c>
      <c r="C852" s="1" t="s">
        <v>23</v>
      </c>
      <c r="D852" s="1" t="s">
        <v>41</v>
      </c>
      <c r="E852" s="1" t="s">
        <v>992</v>
      </c>
      <c r="F852" s="1" t="s">
        <v>127</v>
      </c>
      <c r="G852" s="1" t="s">
        <v>4734</v>
      </c>
      <c r="H852" s="1" t="s">
        <v>253</v>
      </c>
      <c r="I852" s="1" t="s">
        <v>4735</v>
      </c>
      <c r="J852" s="1" t="s">
        <v>4736</v>
      </c>
      <c r="K852" s="1" t="s">
        <v>270</v>
      </c>
      <c r="L852" s="1" t="s">
        <v>4737</v>
      </c>
      <c r="M852" s="1" t="s">
        <v>49</v>
      </c>
      <c r="N852" s="1" t="s">
        <v>4734</v>
      </c>
      <c r="O852" s="1" t="s">
        <v>35</v>
      </c>
      <c r="P852" s="1" t="s">
        <v>4735</v>
      </c>
      <c r="Q852" s="1" t="s">
        <v>798</v>
      </c>
      <c r="R852" s="1" t="s">
        <v>37</v>
      </c>
      <c r="S852" s="1" t="s">
        <v>37</v>
      </c>
      <c r="T852" s="1" t="s">
        <v>37</v>
      </c>
      <c r="U852" s="1" t="s">
        <v>37</v>
      </c>
    </row>
    <row r="853" spans="1:21">
      <c r="A853" s="1" t="s">
        <v>4738</v>
      </c>
      <c r="B853" s="1" t="s">
        <v>22</v>
      </c>
      <c r="C853" s="1" t="s">
        <v>23</v>
      </c>
      <c r="D853" s="1" t="s">
        <v>41</v>
      </c>
      <c r="E853" s="1" t="s">
        <v>25</v>
      </c>
      <c r="F853" s="1" t="s">
        <v>127</v>
      </c>
      <c r="G853" s="1" t="s">
        <v>4739</v>
      </c>
      <c r="H853" s="1" t="s">
        <v>107</v>
      </c>
      <c r="I853" s="1" t="s">
        <v>4740</v>
      </c>
      <c r="J853" s="1" t="s">
        <v>4741</v>
      </c>
      <c r="K853" s="1" t="s">
        <v>2260</v>
      </c>
      <c r="L853" s="1" t="s">
        <v>303</v>
      </c>
      <c r="M853" s="1" t="s">
        <v>33</v>
      </c>
      <c r="N853" s="1" t="s">
        <v>4742</v>
      </c>
      <c r="O853" s="1" t="s">
        <v>35</v>
      </c>
      <c r="P853" s="1" t="s">
        <v>4740</v>
      </c>
      <c r="Q853" s="1" t="s">
        <v>798</v>
      </c>
      <c r="R853" s="1" t="s">
        <v>37</v>
      </c>
      <c r="S853" s="1" t="s">
        <v>37</v>
      </c>
      <c r="T853" s="1" t="s">
        <v>37</v>
      </c>
      <c r="U853" s="1" t="s">
        <v>37</v>
      </c>
    </row>
    <row r="854" spans="1:21">
      <c r="A854" s="1" t="s">
        <v>4743</v>
      </c>
      <c r="B854" s="1" t="s">
        <v>39</v>
      </c>
      <c r="C854" s="1" t="s">
        <v>40</v>
      </c>
      <c r="D854" s="1" t="s">
        <v>41</v>
      </c>
      <c r="E854" s="1" t="s">
        <v>992</v>
      </c>
      <c r="F854" s="1" t="s">
        <v>26</v>
      </c>
      <c r="G854" s="1" t="s">
        <v>4744</v>
      </c>
      <c r="H854" s="1" t="s">
        <v>28</v>
      </c>
      <c r="I854" s="1" t="s">
        <v>4745</v>
      </c>
      <c r="J854" s="1" t="s">
        <v>4746</v>
      </c>
      <c r="K854" s="1" t="s">
        <v>1350</v>
      </c>
      <c r="L854" s="1" t="s">
        <v>2667</v>
      </c>
      <c r="M854" s="1" t="s">
        <v>33</v>
      </c>
      <c r="N854" s="1" t="s">
        <v>4747</v>
      </c>
      <c r="O854" s="1" t="s">
        <v>35</v>
      </c>
      <c r="P854" s="1" t="s">
        <v>4745</v>
      </c>
      <c r="Q854" s="1" t="s">
        <v>44</v>
      </c>
      <c r="R854" s="1" t="s">
        <v>37</v>
      </c>
      <c r="S854" s="1" t="s">
        <v>37</v>
      </c>
      <c r="T854" s="1" t="s">
        <v>37</v>
      </c>
      <c r="U854" s="1" t="s">
        <v>37</v>
      </c>
    </row>
    <row r="855" spans="1:21">
      <c r="A855" s="1" t="s">
        <v>4748</v>
      </c>
      <c r="B855" s="1" t="s">
        <v>115</v>
      </c>
      <c r="C855" s="1" t="s">
        <v>116</v>
      </c>
      <c r="D855" s="1" t="s">
        <v>41</v>
      </c>
      <c r="E855" s="1" t="s">
        <v>25</v>
      </c>
      <c r="F855" s="1" t="s">
        <v>42</v>
      </c>
      <c r="G855" s="1" t="s">
        <v>4749</v>
      </c>
      <c r="H855" s="1" t="s">
        <v>99</v>
      </c>
      <c r="I855" s="1" t="s">
        <v>4750</v>
      </c>
      <c r="J855" s="1" t="s">
        <v>4751</v>
      </c>
      <c r="K855" s="1" t="s">
        <v>93</v>
      </c>
      <c r="L855" s="1" t="s">
        <v>4345</v>
      </c>
      <c r="M855" s="1" t="s">
        <v>33</v>
      </c>
      <c r="N855" s="1" t="s">
        <v>4752</v>
      </c>
      <c r="O855" s="1" t="s">
        <v>35</v>
      </c>
      <c r="P855" s="1" t="s">
        <v>4750</v>
      </c>
      <c r="Q855" s="1" t="s">
        <v>99</v>
      </c>
      <c r="R855" s="1" t="s">
        <v>37</v>
      </c>
      <c r="S855" s="1" t="s">
        <v>37</v>
      </c>
      <c r="T855" s="1" t="s">
        <v>37</v>
      </c>
      <c r="U855" s="1" t="s">
        <v>37</v>
      </c>
    </row>
    <row r="856" spans="1:21">
      <c r="A856" s="1" t="s">
        <v>4753</v>
      </c>
      <c r="B856" s="1" t="s">
        <v>22</v>
      </c>
      <c r="C856" s="1" t="s">
        <v>23</v>
      </c>
      <c r="D856" s="1" t="s">
        <v>24</v>
      </c>
      <c r="E856" s="1" t="s">
        <v>25</v>
      </c>
      <c r="F856" s="1" t="s">
        <v>26</v>
      </c>
      <c r="G856" s="1" t="s">
        <v>4754</v>
      </c>
      <c r="H856" s="1" t="s">
        <v>44</v>
      </c>
      <c r="I856" s="1" t="s">
        <v>4755</v>
      </c>
      <c r="J856" s="1" t="s">
        <v>4756</v>
      </c>
      <c r="K856" s="1" t="s">
        <v>629</v>
      </c>
      <c r="L856" s="1" t="s">
        <v>1819</v>
      </c>
      <c r="M856" s="1" t="s">
        <v>33</v>
      </c>
      <c r="N856" s="1" t="s">
        <v>4757</v>
      </c>
      <c r="O856" s="1" t="s">
        <v>35</v>
      </c>
      <c r="P856" s="1" t="s">
        <v>4755</v>
      </c>
      <c r="Q856" s="1" t="s">
        <v>944</v>
      </c>
      <c r="R856" s="1" t="s">
        <v>37</v>
      </c>
      <c r="S856" s="1" t="s">
        <v>37</v>
      </c>
      <c r="T856" s="1" t="s">
        <v>37</v>
      </c>
      <c r="U856" s="1" t="s">
        <v>37</v>
      </c>
    </row>
    <row r="857" spans="1:21">
      <c r="A857" s="1" t="s">
        <v>4758</v>
      </c>
      <c r="B857" s="1" t="s">
        <v>115</v>
      </c>
      <c r="C857" s="1" t="s">
        <v>116</v>
      </c>
      <c r="D857" s="1" t="s">
        <v>41</v>
      </c>
      <c r="E857" s="1" t="s">
        <v>25</v>
      </c>
      <c r="F857" s="1" t="s">
        <v>127</v>
      </c>
      <c r="G857" s="1" t="s">
        <v>4759</v>
      </c>
      <c r="H857" s="1" t="s">
        <v>275</v>
      </c>
      <c r="I857" s="1" t="s">
        <v>4760</v>
      </c>
      <c r="J857" s="1" t="s">
        <v>4761</v>
      </c>
      <c r="K857" s="1" t="s">
        <v>976</v>
      </c>
      <c r="L857" s="1" t="s">
        <v>1501</v>
      </c>
      <c r="M857" s="1" t="s">
        <v>49</v>
      </c>
      <c r="N857" s="1" t="s">
        <v>4762</v>
      </c>
      <c r="O857" s="1" t="s">
        <v>35</v>
      </c>
      <c r="P857" s="1" t="s">
        <v>4760</v>
      </c>
      <c r="Q857" s="1" t="s">
        <v>791</v>
      </c>
      <c r="R857" s="1" t="s">
        <v>37</v>
      </c>
      <c r="S857" s="1" t="s">
        <v>37</v>
      </c>
      <c r="T857" s="1" t="s">
        <v>37</v>
      </c>
      <c r="U857" s="1" t="s">
        <v>37</v>
      </c>
    </row>
    <row r="858" spans="1:21">
      <c r="A858" s="1" t="s">
        <v>4763</v>
      </c>
      <c r="B858" s="1" t="s">
        <v>115</v>
      </c>
      <c r="C858" s="1" t="s">
        <v>116</v>
      </c>
      <c r="D858" s="1" t="s">
        <v>41</v>
      </c>
      <c r="E858" s="1" t="s">
        <v>992</v>
      </c>
      <c r="F858" s="1" t="s">
        <v>117</v>
      </c>
      <c r="G858" s="1" t="s">
        <v>1745</v>
      </c>
      <c r="H858" s="1" t="s">
        <v>64</v>
      </c>
      <c r="I858" s="1" t="s">
        <v>4764</v>
      </c>
      <c r="J858" s="1" t="s">
        <v>4765</v>
      </c>
      <c r="K858" s="1" t="s">
        <v>187</v>
      </c>
      <c r="L858" s="1" t="s">
        <v>4766</v>
      </c>
      <c r="M858" s="1" t="s">
        <v>49</v>
      </c>
      <c r="N858" s="1" t="s">
        <v>4767</v>
      </c>
      <c r="O858" s="1" t="s">
        <v>35</v>
      </c>
      <c r="P858" s="1" t="s">
        <v>4764</v>
      </c>
      <c r="Q858" s="1" t="s">
        <v>359</v>
      </c>
      <c r="R858" s="1" t="s">
        <v>37</v>
      </c>
      <c r="S858" s="1" t="s">
        <v>37</v>
      </c>
      <c r="T858" s="1" t="s">
        <v>37</v>
      </c>
      <c r="U858" s="1" t="s">
        <v>37</v>
      </c>
    </row>
    <row r="859" spans="1:21">
      <c r="A859" s="1" t="s">
        <v>4768</v>
      </c>
      <c r="B859" s="1" t="s">
        <v>22</v>
      </c>
      <c r="C859" s="1" t="s">
        <v>23</v>
      </c>
      <c r="D859" s="1" t="s">
        <v>24</v>
      </c>
      <c r="E859" s="1" t="s">
        <v>25</v>
      </c>
      <c r="F859" s="1" t="s">
        <v>53</v>
      </c>
      <c r="G859" s="1" t="s">
        <v>4769</v>
      </c>
      <c r="H859" s="1" t="s">
        <v>129</v>
      </c>
      <c r="I859" s="1" t="s">
        <v>4770</v>
      </c>
      <c r="J859" s="1" t="s">
        <v>4771</v>
      </c>
      <c r="K859" s="1" t="s">
        <v>445</v>
      </c>
      <c r="L859" s="1" t="s">
        <v>4772</v>
      </c>
      <c r="M859" s="1" t="s">
        <v>49</v>
      </c>
      <c r="N859" s="1" t="s">
        <v>4773</v>
      </c>
      <c r="O859" s="1" t="s">
        <v>35</v>
      </c>
      <c r="P859" s="1" t="s">
        <v>4770</v>
      </c>
      <c r="Q859" s="1" t="s">
        <v>159</v>
      </c>
      <c r="R859" s="1" t="s">
        <v>37</v>
      </c>
      <c r="S859" s="1" t="s">
        <v>37</v>
      </c>
      <c r="T859" s="1" t="s">
        <v>37</v>
      </c>
      <c r="U859" s="1" t="s">
        <v>37</v>
      </c>
    </row>
    <row r="860" spans="1:21">
      <c r="A860" s="1" t="s">
        <v>4774</v>
      </c>
      <c r="B860" s="1" t="s">
        <v>115</v>
      </c>
      <c r="C860" s="1" t="s">
        <v>116</v>
      </c>
      <c r="D860" s="1" t="s">
        <v>41</v>
      </c>
      <c r="E860" s="1" t="s">
        <v>992</v>
      </c>
      <c r="F860" s="1" t="s">
        <v>26</v>
      </c>
      <c r="G860" s="1" t="s">
        <v>4775</v>
      </c>
      <c r="H860" s="1" t="s">
        <v>90</v>
      </c>
      <c r="I860" s="1" t="s">
        <v>4776</v>
      </c>
      <c r="J860" s="1" t="s">
        <v>4777</v>
      </c>
      <c r="K860" s="1" t="s">
        <v>489</v>
      </c>
      <c r="L860" s="1" t="s">
        <v>4778</v>
      </c>
      <c r="M860" s="1" t="s">
        <v>49</v>
      </c>
      <c r="N860" s="1" t="s">
        <v>4779</v>
      </c>
      <c r="O860" s="1" t="s">
        <v>35</v>
      </c>
      <c r="P860" s="1" t="s">
        <v>4776</v>
      </c>
      <c r="Q860" s="1" t="s">
        <v>220</v>
      </c>
      <c r="R860" s="1" t="s">
        <v>37</v>
      </c>
      <c r="S860" s="1" t="s">
        <v>37</v>
      </c>
      <c r="T860" s="1" t="s">
        <v>37</v>
      </c>
      <c r="U860" s="1" t="s">
        <v>37</v>
      </c>
    </row>
    <row r="861" spans="1:21">
      <c r="A861" s="1" t="s">
        <v>4780</v>
      </c>
      <c r="B861" s="1" t="s">
        <v>22</v>
      </c>
      <c r="C861" s="1" t="s">
        <v>23</v>
      </c>
      <c r="D861" s="1" t="s">
        <v>24</v>
      </c>
      <c r="E861" s="1" t="s">
        <v>25</v>
      </c>
      <c r="F861" s="1" t="s">
        <v>117</v>
      </c>
      <c r="G861" s="1" t="s">
        <v>4781</v>
      </c>
      <c r="H861" s="1" t="s">
        <v>275</v>
      </c>
      <c r="I861" s="1" t="s">
        <v>4782</v>
      </c>
      <c r="J861" s="1" t="s">
        <v>4783</v>
      </c>
      <c r="K861" s="1" t="s">
        <v>629</v>
      </c>
      <c r="L861" s="1" t="s">
        <v>4784</v>
      </c>
      <c r="M861" s="1" t="s">
        <v>49</v>
      </c>
      <c r="N861" s="1" t="s">
        <v>4785</v>
      </c>
      <c r="O861" s="1" t="s">
        <v>35</v>
      </c>
      <c r="P861" s="1" t="s">
        <v>4782</v>
      </c>
      <c r="Q861" s="1" t="s">
        <v>44</v>
      </c>
      <c r="R861" s="1" t="s">
        <v>37</v>
      </c>
      <c r="S861" s="1" t="s">
        <v>37</v>
      </c>
      <c r="T861" s="1" t="s">
        <v>37</v>
      </c>
      <c r="U861" s="1" t="s">
        <v>37</v>
      </c>
    </row>
    <row r="862" spans="1:21">
      <c r="A862" s="1" t="s">
        <v>4786</v>
      </c>
      <c r="B862" s="1" t="s">
        <v>39</v>
      </c>
      <c r="C862" s="1" t="s">
        <v>40</v>
      </c>
      <c r="D862" s="1" t="s">
        <v>24</v>
      </c>
      <c r="E862" s="1" t="s">
        <v>25</v>
      </c>
      <c r="F862" s="1" t="s">
        <v>53</v>
      </c>
      <c r="G862" s="1" t="s">
        <v>4787</v>
      </c>
      <c r="H862" s="1" t="s">
        <v>253</v>
      </c>
      <c r="I862" s="1" t="s">
        <v>4788</v>
      </c>
      <c r="J862" s="1" t="s">
        <v>4789</v>
      </c>
      <c r="K862" s="1" t="s">
        <v>122</v>
      </c>
      <c r="L862" s="1" t="s">
        <v>336</v>
      </c>
      <c r="M862" s="1" t="s">
        <v>33</v>
      </c>
      <c r="N862" s="1" t="s">
        <v>4787</v>
      </c>
      <c r="O862" s="1" t="s">
        <v>35</v>
      </c>
      <c r="P862" s="1" t="s">
        <v>4788</v>
      </c>
      <c r="Q862" s="1" t="s">
        <v>28</v>
      </c>
      <c r="R862" s="1" t="s">
        <v>37</v>
      </c>
      <c r="S862" s="1" t="s">
        <v>37</v>
      </c>
      <c r="T862" s="1" t="s">
        <v>37</v>
      </c>
      <c r="U862" s="1" t="s">
        <v>37</v>
      </c>
    </row>
    <row r="863" spans="1:21">
      <c r="A863" s="1" t="s">
        <v>4790</v>
      </c>
      <c r="B863" s="1" t="s">
        <v>22</v>
      </c>
      <c r="C863" s="1" t="s">
        <v>23</v>
      </c>
      <c r="D863" s="1" t="s">
        <v>24</v>
      </c>
      <c r="E863" s="1" t="s">
        <v>992</v>
      </c>
      <c r="F863" s="1" t="s">
        <v>72</v>
      </c>
      <c r="G863" s="1" t="s">
        <v>4791</v>
      </c>
      <c r="H863" s="1" t="s">
        <v>107</v>
      </c>
      <c r="I863" s="1" t="s">
        <v>4792</v>
      </c>
      <c r="J863" s="1" t="s">
        <v>4793</v>
      </c>
      <c r="K863" s="1" t="s">
        <v>906</v>
      </c>
      <c r="L863" s="1" t="s">
        <v>1465</v>
      </c>
      <c r="M863" s="1" t="s">
        <v>33</v>
      </c>
      <c r="N863" s="1" t="s">
        <v>4794</v>
      </c>
      <c r="O863" s="1" t="s">
        <v>35</v>
      </c>
      <c r="P863" s="1" t="s">
        <v>4792</v>
      </c>
      <c r="Q863" s="1" t="s">
        <v>812</v>
      </c>
      <c r="R863" s="1" t="s">
        <v>37</v>
      </c>
      <c r="S863" s="1" t="s">
        <v>37</v>
      </c>
      <c r="T863" s="1" t="s">
        <v>37</v>
      </c>
      <c r="U863" s="1" t="s">
        <v>37</v>
      </c>
    </row>
    <row r="864" spans="1:21">
      <c r="A864" s="1" t="s">
        <v>4795</v>
      </c>
      <c r="B864" s="1" t="s">
        <v>115</v>
      </c>
      <c r="C864" s="1" t="s">
        <v>116</v>
      </c>
      <c r="D864" s="1" t="s">
        <v>41</v>
      </c>
      <c r="E864" s="1" t="s">
        <v>25</v>
      </c>
      <c r="F864" s="1" t="s">
        <v>53</v>
      </c>
      <c r="G864" s="1" t="s">
        <v>3446</v>
      </c>
      <c r="H864" s="1" t="s">
        <v>275</v>
      </c>
      <c r="I864" s="1" t="s">
        <v>4796</v>
      </c>
      <c r="J864" s="1" t="s">
        <v>4797</v>
      </c>
      <c r="K864" s="1" t="s">
        <v>1636</v>
      </c>
      <c r="L864" s="1" t="s">
        <v>4798</v>
      </c>
      <c r="M864" s="1" t="s">
        <v>59</v>
      </c>
      <c r="N864" s="1" t="s">
        <v>4799</v>
      </c>
      <c r="O864" s="1" t="s">
        <v>35</v>
      </c>
      <c r="P864" s="1" t="s">
        <v>4796</v>
      </c>
      <c r="Q864" s="1" t="s">
        <v>550</v>
      </c>
      <c r="R864" s="1" t="s">
        <v>37</v>
      </c>
      <c r="S864" s="1" t="s">
        <v>37</v>
      </c>
      <c r="T864" s="1" t="s">
        <v>37</v>
      </c>
      <c r="U864" s="1" t="s">
        <v>37</v>
      </c>
    </row>
    <row r="865" spans="1:21">
      <c r="A865" s="1" t="s">
        <v>4800</v>
      </c>
      <c r="B865" s="1" t="s">
        <v>115</v>
      </c>
      <c r="C865" s="1" t="s">
        <v>116</v>
      </c>
      <c r="D865" s="1" t="s">
        <v>41</v>
      </c>
      <c r="E865" s="1" t="s">
        <v>25</v>
      </c>
      <c r="F865" s="1" t="s">
        <v>53</v>
      </c>
      <c r="G865" s="1" t="s">
        <v>4801</v>
      </c>
      <c r="H865" s="1" t="s">
        <v>28</v>
      </c>
      <c r="I865" s="1" t="s">
        <v>4802</v>
      </c>
      <c r="J865" s="1" t="s">
        <v>4803</v>
      </c>
      <c r="K865" s="1" t="s">
        <v>599</v>
      </c>
      <c r="L865" s="1" t="s">
        <v>4124</v>
      </c>
      <c r="M865" s="1" t="s">
        <v>49</v>
      </c>
      <c r="N865" s="1" t="s">
        <v>4804</v>
      </c>
      <c r="O865" s="1" t="s">
        <v>35</v>
      </c>
      <c r="P865" s="1" t="s">
        <v>4802</v>
      </c>
      <c r="Q865" s="1" t="s">
        <v>28</v>
      </c>
      <c r="R865" s="1" t="s">
        <v>37</v>
      </c>
      <c r="S865" s="1" t="s">
        <v>37</v>
      </c>
      <c r="T865" s="1" t="s">
        <v>37</v>
      </c>
      <c r="U865" s="1" t="s">
        <v>37</v>
      </c>
    </row>
    <row r="866" spans="1:21">
      <c r="A866" s="1" t="s">
        <v>4805</v>
      </c>
      <c r="B866" s="1" t="s">
        <v>22</v>
      </c>
      <c r="C866" s="1" t="s">
        <v>23</v>
      </c>
      <c r="D866" s="1" t="s">
        <v>24</v>
      </c>
      <c r="E866" s="1" t="s">
        <v>25</v>
      </c>
      <c r="F866" s="1" t="s">
        <v>42</v>
      </c>
      <c r="G866" s="1" t="s">
        <v>4806</v>
      </c>
      <c r="H866" s="1" t="s">
        <v>119</v>
      </c>
      <c r="I866" s="1" t="s">
        <v>4807</v>
      </c>
      <c r="J866" s="1" t="s">
        <v>4808</v>
      </c>
      <c r="K866" s="1" t="s">
        <v>906</v>
      </c>
      <c r="L866" s="1" t="s">
        <v>796</v>
      </c>
      <c r="M866" s="1" t="s">
        <v>49</v>
      </c>
      <c r="N866" s="1" t="s">
        <v>4809</v>
      </c>
      <c r="O866" s="1" t="s">
        <v>35</v>
      </c>
      <c r="P866" s="1" t="s">
        <v>4807</v>
      </c>
      <c r="Q866" s="1" t="s">
        <v>468</v>
      </c>
      <c r="R866" s="1" t="s">
        <v>37</v>
      </c>
      <c r="S866" s="1" t="s">
        <v>37</v>
      </c>
      <c r="T866" s="1" t="s">
        <v>37</v>
      </c>
      <c r="U866" s="1" t="s">
        <v>37</v>
      </c>
    </row>
    <row r="867" spans="1:21">
      <c r="A867" s="1" t="s">
        <v>4810</v>
      </c>
      <c r="B867" s="1" t="s">
        <v>39</v>
      </c>
      <c r="C867" s="1" t="s">
        <v>40</v>
      </c>
      <c r="D867" s="1" t="s">
        <v>24</v>
      </c>
      <c r="E867" s="1" t="s">
        <v>992</v>
      </c>
      <c r="F867" s="1" t="s">
        <v>26</v>
      </c>
      <c r="G867" s="1" t="s">
        <v>4811</v>
      </c>
      <c r="H867" s="1" t="s">
        <v>119</v>
      </c>
      <c r="I867" s="1" t="s">
        <v>4812</v>
      </c>
      <c r="J867" s="1" t="s">
        <v>4813</v>
      </c>
      <c r="K867" s="1" t="s">
        <v>623</v>
      </c>
      <c r="L867" s="1" t="s">
        <v>4814</v>
      </c>
      <c r="M867" s="1" t="s">
        <v>33</v>
      </c>
      <c r="N867" s="1" t="s">
        <v>4815</v>
      </c>
      <c r="O867" s="1" t="s">
        <v>35</v>
      </c>
      <c r="P867" s="1" t="s">
        <v>4812</v>
      </c>
      <c r="Q867" s="1" t="s">
        <v>663</v>
      </c>
      <c r="R867" s="1" t="s">
        <v>37</v>
      </c>
      <c r="S867" s="1" t="s">
        <v>37</v>
      </c>
      <c r="T867" s="1" t="s">
        <v>37</v>
      </c>
      <c r="U867" s="1" t="s">
        <v>37</v>
      </c>
    </row>
    <row r="868" spans="1:21">
      <c r="A868" s="1" t="s">
        <v>4816</v>
      </c>
      <c r="B868" s="1" t="s">
        <v>115</v>
      </c>
      <c r="C868" s="1" t="s">
        <v>116</v>
      </c>
      <c r="D868" s="1" t="s">
        <v>24</v>
      </c>
      <c r="E868" s="1" t="s">
        <v>992</v>
      </c>
      <c r="F868" s="1" t="s">
        <v>72</v>
      </c>
      <c r="G868" s="1" t="s">
        <v>4817</v>
      </c>
      <c r="H868" s="1" t="s">
        <v>64</v>
      </c>
      <c r="I868" s="1" t="s">
        <v>4818</v>
      </c>
      <c r="J868" s="1" t="s">
        <v>4819</v>
      </c>
      <c r="K868" s="1" t="s">
        <v>225</v>
      </c>
      <c r="L868" s="1" t="s">
        <v>4820</v>
      </c>
      <c r="M868" s="1" t="s">
        <v>59</v>
      </c>
      <c r="N868" s="1" t="s">
        <v>4821</v>
      </c>
      <c r="O868" s="1" t="s">
        <v>35</v>
      </c>
      <c r="P868" s="1" t="s">
        <v>4818</v>
      </c>
      <c r="Q868" s="1" t="s">
        <v>434</v>
      </c>
      <c r="R868" s="1" t="s">
        <v>37</v>
      </c>
      <c r="S868" s="1" t="s">
        <v>37</v>
      </c>
      <c r="T868" s="1" t="s">
        <v>37</v>
      </c>
      <c r="U868" s="1" t="s">
        <v>37</v>
      </c>
    </row>
    <row r="869" spans="1:21">
      <c r="A869" s="1" t="s">
        <v>4822</v>
      </c>
      <c r="B869" s="1" t="s">
        <v>39</v>
      </c>
      <c r="C869" s="1" t="s">
        <v>40</v>
      </c>
      <c r="D869" s="1" t="s">
        <v>24</v>
      </c>
      <c r="E869" s="1" t="s">
        <v>25</v>
      </c>
      <c r="F869" s="1" t="s">
        <v>26</v>
      </c>
      <c r="G869" s="1" t="s">
        <v>4823</v>
      </c>
      <c r="H869" s="1" t="s">
        <v>107</v>
      </c>
      <c r="I869" s="1" t="s">
        <v>4824</v>
      </c>
      <c r="J869" s="1" t="s">
        <v>4825</v>
      </c>
      <c r="K869" s="1" t="s">
        <v>349</v>
      </c>
      <c r="L869" s="1" t="s">
        <v>4826</v>
      </c>
      <c r="M869" s="1" t="s">
        <v>33</v>
      </c>
      <c r="N869" s="1" t="s">
        <v>4827</v>
      </c>
      <c r="O869" s="1" t="s">
        <v>35</v>
      </c>
      <c r="P869" s="1" t="s">
        <v>4824</v>
      </c>
      <c r="Q869" s="1" t="s">
        <v>752</v>
      </c>
      <c r="R869" s="1" t="s">
        <v>37</v>
      </c>
      <c r="S869" s="1" t="s">
        <v>37</v>
      </c>
      <c r="T869" s="1" t="s">
        <v>37</v>
      </c>
      <c r="U869" s="1" t="s">
        <v>37</v>
      </c>
    </row>
    <row r="870" spans="1:21">
      <c r="A870" s="1" t="s">
        <v>4828</v>
      </c>
      <c r="B870" s="1" t="s">
        <v>39</v>
      </c>
      <c r="C870" s="1" t="s">
        <v>40</v>
      </c>
      <c r="D870" s="1" t="s">
        <v>24</v>
      </c>
      <c r="E870" s="1" t="s">
        <v>992</v>
      </c>
      <c r="F870" s="1" t="s">
        <v>117</v>
      </c>
      <c r="G870" s="1" t="s">
        <v>4829</v>
      </c>
      <c r="H870" s="1" t="s">
        <v>119</v>
      </c>
      <c r="I870" s="1" t="s">
        <v>4830</v>
      </c>
      <c r="J870" s="1" t="s">
        <v>4831</v>
      </c>
      <c r="K870" s="1" t="s">
        <v>906</v>
      </c>
      <c r="L870" s="1" t="s">
        <v>2050</v>
      </c>
      <c r="M870" s="1" t="s">
        <v>59</v>
      </c>
      <c r="N870" s="1" t="s">
        <v>4832</v>
      </c>
      <c r="O870" s="1" t="s">
        <v>35</v>
      </c>
      <c r="P870" s="1" t="s">
        <v>4830</v>
      </c>
      <c r="Q870" s="1" t="s">
        <v>550</v>
      </c>
      <c r="R870" s="1" t="s">
        <v>37</v>
      </c>
      <c r="S870" s="1" t="s">
        <v>37</v>
      </c>
      <c r="T870" s="1" t="s">
        <v>37</v>
      </c>
      <c r="U870" s="1" t="s">
        <v>37</v>
      </c>
    </row>
    <row r="871" spans="1:21">
      <c r="A871" s="1" t="s">
        <v>4833</v>
      </c>
      <c r="B871" s="1" t="s">
        <v>22</v>
      </c>
      <c r="C871" s="1" t="s">
        <v>23</v>
      </c>
      <c r="D871" s="1" t="s">
        <v>41</v>
      </c>
      <c r="E871" s="1" t="s">
        <v>992</v>
      </c>
      <c r="F871" s="1" t="s">
        <v>72</v>
      </c>
      <c r="G871" s="1" t="s">
        <v>4834</v>
      </c>
      <c r="H871" s="1" t="s">
        <v>129</v>
      </c>
      <c r="I871" s="1" t="s">
        <v>4835</v>
      </c>
      <c r="J871" s="1" t="s">
        <v>4836</v>
      </c>
      <c r="K871" s="1" t="s">
        <v>555</v>
      </c>
      <c r="L871" s="1" t="s">
        <v>4837</v>
      </c>
      <c r="M871" s="1" t="s">
        <v>33</v>
      </c>
      <c r="N871" s="1" t="s">
        <v>4838</v>
      </c>
      <c r="O871" s="1" t="s">
        <v>35</v>
      </c>
      <c r="P871" s="1" t="s">
        <v>4835</v>
      </c>
      <c r="Q871" s="1" t="s">
        <v>484</v>
      </c>
      <c r="R871" s="1" t="s">
        <v>37</v>
      </c>
      <c r="S871" s="1" t="s">
        <v>37</v>
      </c>
      <c r="T871" s="1" t="s">
        <v>37</v>
      </c>
      <c r="U871" s="1" t="s">
        <v>37</v>
      </c>
    </row>
    <row r="872" spans="1:21">
      <c r="A872" s="1" t="s">
        <v>4839</v>
      </c>
      <c r="B872" s="1" t="s">
        <v>22</v>
      </c>
      <c r="C872" s="1" t="s">
        <v>23</v>
      </c>
      <c r="D872" s="1" t="s">
        <v>24</v>
      </c>
      <c r="E872" s="1" t="s">
        <v>992</v>
      </c>
      <c r="F872" s="1" t="s">
        <v>117</v>
      </c>
      <c r="G872" s="1" t="s">
        <v>4840</v>
      </c>
      <c r="H872" s="1" t="s">
        <v>28</v>
      </c>
      <c r="I872" s="1" t="s">
        <v>4841</v>
      </c>
      <c r="J872" s="1" t="s">
        <v>4842</v>
      </c>
      <c r="K872" s="1" t="s">
        <v>976</v>
      </c>
      <c r="L872" s="1" t="s">
        <v>3315</v>
      </c>
      <c r="M872" s="1" t="s">
        <v>59</v>
      </c>
      <c r="N872" s="1" t="s">
        <v>4843</v>
      </c>
      <c r="O872" s="1" t="s">
        <v>35</v>
      </c>
      <c r="P872" s="1" t="s">
        <v>4841</v>
      </c>
      <c r="Q872" s="1" t="s">
        <v>151</v>
      </c>
      <c r="R872" s="1" t="s">
        <v>37</v>
      </c>
      <c r="S872" s="1" t="s">
        <v>37</v>
      </c>
      <c r="T872" s="1" t="s">
        <v>37</v>
      </c>
      <c r="U872" s="1" t="s">
        <v>37</v>
      </c>
    </row>
    <row r="873" spans="1:21">
      <c r="A873" s="1" t="s">
        <v>4844</v>
      </c>
      <c r="B873" s="1" t="s">
        <v>39</v>
      </c>
      <c r="C873" s="1" t="s">
        <v>40</v>
      </c>
      <c r="D873" s="1" t="s">
        <v>41</v>
      </c>
      <c r="E873" s="1" t="s">
        <v>992</v>
      </c>
      <c r="F873" s="1" t="s">
        <v>127</v>
      </c>
      <c r="G873" s="1" t="s">
        <v>4845</v>
      </c>
      <c r="H873" s="1" t="s">
        <v>253</v>
      </c>
      <c r="I873" s="1" t="s">
        <v>4846</v>
      </c>
      <c r="J873" s="1" t="s">
        <v>4847</v>
      </c>
      <c r="K873" s="1" t="s">
        <v>522</v>
      </c>
      <c r="L873" s="1" t="s">
        <v>4848</v>
      </c>
      <c r="M873" s="1" t="s">
        <v>33</v>
      </c>
      <c r="N873" s="1" t="s">
        <v>4845</v>
      </c>
      <c r="O873" s="1" t="s">
        <v>35</v>
      </c>
      <c r="P873" s="1" t="s">
        <v>4846</v>
      </c>
      <c r="Q873" s="1" t="s">
        <v>51</v>
      </c>
      <c r="R873" s="1" t="s">
        <v>37</v>
      </c>
      <c r="S873" s="1" t="s">
        <v>37</v>
      </c>
      <c r="T873" s="1" t="s">
        <v>37</v>
      </c>
      <c r="U873" s="1" t="s">
        <v>37</v>
      </c>
    </row>
    <row r="874" spans="1:21">
      <c r="A874" s="1" t="s">
        <v>4849</v>
      </c>
      <c r="B874" s="1" t="s">
        <v>115</v>
      </c>
      <c r="C874" s="1" t="s">
        <v>116</v>
      </c>
      <c r="D874" s="1" t="s">
        <v>24</v>
      </c>
      <c r="E874" s="1" t="s">
        <v>25</v>
      </c>
      <c r="F874" s="1" t="s">
        <v>42</v>
      </c>
      <c r="G874" s="1" t="s">
        <v>4850</v>
      </c>
      <c r="H874" s="1" t="s">
        <v>99</v>
      </c>
      <c r="I874" s="1" t="s">
        <v>4851</v>
      </c>
      <c r="J874" s="1" t="s">
        <v>4852</v>
      </c>
      <c r="K874" s="1" t="s">
        <v>290</v>
      </c>
      <c r="L874" s="1" t="s">
        <v>1231</v>
      </c>
      <c r="M874" s="1" t="s">
        <v>49</v>
      </c>
      <c r="N874" s="1" t="s">
        <v>4853</v>
      </c>
      <c r="O874" s="1" t="s">
        <v>35</v>
      </c>
      <c r="P874" s="1" t="s">
        <v>4851</v>
      </c>
      <c r="Q874" s="1" t="s">
        <v>957</v>
      </c>
      <c r="R874" s="1" t="s">
        <v>37</v>
      </c>
      <c r="S874" s="1" t="s">
        <v>37</v>
      </c>
      <c r="T874" s="1" t="s">
        <v>37</v>
      </c>
      <c r="U874" s="1" t="s">
        <v>37</v>
      </c>
    </row>
    <row r="875" spans="1:21">
      <c r="A875" s="1" t="s">
        <v>4854</v>
      </c>
      <c r="B875" s="1" t="s">
        <v>22</v>
      </c>
      <c r="C875" s="1" t="s">
        <v>23</v>
      </c>
      <c r="D875" s="1" t="s">
        <v>24</v>
      </c>
      <c r="E875" s="1" t="s">
        <v>992</v>
      </c>
      <c r="F875" s="1" t="s">
        <v>72</v>
      </c>
      <c r="G875" s="1" t="s">
        <v>4855</v>
      </c>
      <c r="H875" s="1" t="s">
        <v>90</v>
      </c>
      <c r="I875" s="1" t="s">
        <v>4856</v>
      </c>
      <c r="J875" s="1" t="s">
        <v>4857</v>
      </c>
      <c r="K875" s="1" t="s">
        <v>962</v>
      </c>
      <c r="L875" s="1" t="s">
        <v>876</v>
      </c>
      <c r="M875" s="1" t="s">
        <v>49</v>
      </c>
      <c r="N875" s="1" t="s">
        <v>4858</v>
      </c>
      <c r="O875" s="1" t="s">
        <v>35</v>
      </c>
      <c r="P875" s="1" t="s">
        <v>4856</v>
      </c>
      <c r="Q875" s="1" t="s">
        <v>235</v>
      </c>
      <c r="R875" s="1" t="s">
        <v>37</v>
      </c>
      <c r="S875" s="1" t="s">
        <v>37</v>
      </c>
      <c r="T875" s="1" t="s">
        <v>37</v>
      </c>
      <c r="U875" s="1" t="s">
        <v>37</v>
      </c>
    </row>
    <row r="876" spans="1:21">
      <c r="A876" s="1" t="s">
        <v>4859</v>
      </c>
      <c r="B876" s="1" t="s">
        <v>22</v>
      </c>
      <c r="C876" s="1" t="s">
        <v>23</v>
      </c>
      <c r="D876" s="1" t="s">
        <v>24</v>
      </c>
      <c r="E876" s="1" t="s">
        <v>992</v>
      </c>
      <c r="F876" s="1" t="s">
        <v>53</v>
      </c>
      <c r="G876" s="1" t="s">
        <v>4860</v>
      </c>
      <c r="H876" s="1" t="s">
        <v>129</v>
      </c>
      <c r="I876" s="1" t="s">
        <v>4861</v>
      </c>
      <c r="J876" s="1" t="s">
        <v>4862</v>
      </c>
      <c r="K876" s="1" t="s">
        <v>412</v>
      </c>
      <c r="L876" s="1" t="s">
        <v>3741</v>
      </c>
      <c r="M876" s="1" t="s">
        <v>59</v>
      </c>
      <c r="N876" s="1" t="s">
        <v>4863</v>
      </c>
      <c r="O876" s="1" t="s">
        <v>35</v>
      </c>
      <c r="P876" s="1" t="s">
        <v>4861</v>
      </c>
      <c r="Q876" s="1" t="s">
        <v>125</v>
      </c>
      <c r="R876" s="1" t="s">
        <v>37</v>
      </c>
      <c r="S876" s="1" t="s">
        <v>37</v>
      </c>
      <c r="T876" s="1" t="s">
        <v>37</v>
      </c>
      <c r="U876" s="1" t="s">
        <v>37</v>
      </c>
    </row>
    <row r="877" spans="1:21">
      <c r="A877" s="1" t="s">
        <v>4864</v>
      </c>
      <c r="B877" s="1" t="s">
        <v>39</v>
      </c>
      <c r="C877" s="1" t="s">
        <v>40</v>
      </c>
      <c r="D877" s="1" t="s">
        <v>41</v>
      </c>
      <c r="E877" s="1" t="s">
        <v>992</v>
      </c>
      <c r="F877" s="1" t="s">
        <v>53</v>
      </c>
      <c r="G877" s="1" t="s">
        <v>4865</v>
      </c>
      <c r="H877" s="1" t="s">
        <v>64</v>
      </c>
      <c r="I877" s="1" t="s">
        <v>4866</v>
      </c>
      <c r="J877" s="1" t="s">
        <v>4867</v>
      </c>
      <c r="K877" s="1" t="s">
        <v>225</v>
      </c>
      <c r="L877" s="1" t="s">
        <v>1613</v>
      </c>
      <c r="M877" s="1" t="s">
        <v>33</v>
      </c>
      <c r="N877" s="1" t="s">
        <v>4868</v>
      </c>
      <c r="O877" s="1" t="s">
        <v>35</v>
      </c>
      <c r="P877" s="1" t="s">
        <v>4866</v>
      </c>
      <c r="Q877" s="1" t="s">
        <v>359</v>
      </c>
      <c r="R877" s="1" t="s">
        <v>37</v>
      </c>
      <c r="S877" s="1" t="s">
        <v>37</v>
      </c>
      <c r="T877" s="1" t="s">
        <v>37</v>
      </c>
      <c r="U877" s="1" t="s">
        <v>37</v>
      </c>
    </row>
    <row r="878" spans="1:21">
      <c r="A878" s="1" t="s">
        <v>4869</v>
      </c>
      <c r="B878" s="1" t="s">
        <v>39</v>
      </c>
      <c r="C878" s="1" t="s">
        <v>40</v>
      </c>
      <c r="D878" s="1" t="s">
        <v>24</v>
      </c>
      <c r="E878" s="1" t="s">
        <v>992</v>
      </c>
      <c r="F878" s="1" t="s">
        <v>127</v>
      </c>
      <c r="G878" s="1" t="s">
        <v>4870</v>
      </c>
      <c r="H878" s="1" t="s">
        <v>253</v>
      </c>
      <c r="I878" s="1" t="s">
        <v>4871</v>
      </c>
      <c r="J878" s="1" t="s">
        <v>4872</v>
      </c>
      <c r="K878" s="1" t="s">
        <v>148</v>
      </c>
      <c r="L878" s="1" t="s">
        <v>4130</v>
      </c>
      <c r="M878" s="1" t="s">
        <v>49</v>
      </c>
      <c r="N878" s="1" t="s">
        <v>4870</v>
      </c>
      <c r="O878" s="1" t="s">
        <v>35</v>
      </c>
      <c r="P878" s="1" t="s">
        <v>4871</v>
      </c>
      <c r="Q878" s="1" t="s">
        <v>129</v>
      </c>
      <c r="R878" s="1" t="s">
        <v>37</v>
      </c>
      <c r="S878" s="1" t="s">
        <v>37</v>
      </c>
      <c r="T878" s="1" t="s">
        <v>37</v>
      </c>
      <c r="U878" s="1" t="s">
        <v>37</v>
      </c>
    </row>
    <row r="879" spans="1:21">
      <c r="A879" s="1" t="s">
        <v>4873</v>
      </c>
      <c r="B879" s="1" t="s">
        <v>115</v>
      </c>
      <c r="C879" s="1" t="s">
        <v>116</v>
      </c>
      <c r="D879" s="1" t="s">
        <v>24</v>
      </c>
      <c r="E879" s="1" t="s">
        <v>992</v>
      </c>
      <c r="F879" s="1" t="s">
        <v>42</v>
      </c>
      <c r="G879" s="1" t="s">
        <v>2460</v>
      </c>
      <c r="H879" s="1" t="s">
        <v>253</v>
      </c>
      <c r="I879" s="1" t="s">
        <v>4874</v>
      </c>
      <c r="J879" s="1" t="s">
        <v>4875</v>
      </c>
      <c r="K879" s="1" t="s">
        <v>93</v>
      </c>
      <c r="L879" s="1" t="s">
        <v>782</v>
      </c>
      <c r="M879" s="1" t="s">
        <v>49</v>
      </c>
      <c r="N879" s="1" t="s">
        <v>2460</v>
      </c>
      <c r="O879" s="1" t="s">
        <v>35</v>
      </c>
      <c r="P879" s="1" t="s">
        <v>4874</v>
      </c>
      <c r="Q879" s="1" t="s">
        <v>440</v>
      </c>
      <c r="R879" s="1" t="s">
        <v>37</v>
      </c>
      <c r="S879" s="1" t="s">
        <v>37</v>
      </c>
      <c r="T879" s="1" t="s">
        <v>37</v>
      </c>
      <c r="U879" s="1" t="s">
        <v>37</v>
      </c>
    </row>
    <row r="880" spans="1:21">
      <c r="A880" s="1" t="s">
        <v>4876</v>
      </c>
      <c r="B880" s="1" t="s">
        <v>22</v>
      </c>
      <c r="C880" s="1" t="s">
        <v>23</v>
      </c>
      <c r="D880" s="1" t="s">
        <v>41</v>
      </c>
      <c r="E880" s="1" t="s">
        <v>25</v>
      </c>
      <c r="F880" s="1" t="s">
        <v>42</v>
      </c>
      <c r="G880" s="1" t="s">
        <v>4877</v>
      </c>
      <c r="H880" s="1" t="s">
        <v>64</v>
      </c>
      <c r="I880" s="1" t="s">
        <v>4878</v>
      </c>
      <c r="J880" s="1" t="s">
        <v>4879</v>
      </c>
      <c r="K880" s="1" t="s">
        <v>1194</v>
      </c>
      <c r="L880" s="1" t="s">
        <v>3548</v>
      </c>
      <c r="M880" s="1" t="s">
        <v>59</v>
      </c>
      <c r="N880" s="1" t="s">
        <v>4880</v>
      </c>
      <c r="O880" s="1" t="s">
        <v>35</v>
      </c>
      <c r="P880" s="1" t="s">
        <v>4878</v>
      </c>
      <c r="Q880" s="1" t="s">
        <v>135</v>
      </c>
      <c r="R880" s="1" t="s">
        <v>37</v>
      </c>
      <c r="S880" s="1" t="s">
        <v>37</v>
      </c>
      <c r="T880" s="1" t="s">
        <v>37</v>
      </c>
      <c r="U880" s="1" t="s">
        <v>37</v>
      </c>
    </row>
    <row r="881" spans="1:21">
      <c r="A881" s="1" t="s">
        <v>4881</v>
      </c>
      <c r="B881" s="1" t="s">
        <v>115</v>
      </c>
      <c r="C881" s="1" t="s">
        <v>116</v>
      </c>
      <c r="D881" s="1" t="s">
        <v>24</v>
      </c>
      <c r="E881" s="1" t="s">
        <v>25</v>
      </c>
      <c r="F881" s="1" t="s">
        <v>42</v>
      </c>
      <c r="G881" s="1" t="s">
        <v>4882</v>
      </c>
      <c r="H881" s="1" t="s">
        <v>64</v>
      </c>
      <c r="I881" s="1" t="s">
        <v>4883</v>
      </c>
      <c r="J881" s="1" t="s">
        <v>4884</v>
      </c>
      <c r="K881" s="1" t="s">
        <v>823</v>
      </c>
      <c r="L881" s="1" t="s">
        <v>643</v>
      </c>
      <c r="M881" s="1" t="s">
        <v>33</v>
      </c>
      <c r="N881" s="1" t="s">
        <v>3450</v>
      </c>
      <c r="O881" s="1" t="s">
        <v>35</v>
      </c>
      <c r="P881" s="1" t="s">
        <v>4883</v>
      </c>
      <c r="Q881" s="1" t="s">
        <v>198</v>
      </c>
      <c r="R881" s="1" t="s">
        <v>37</v>
      </c>
      <c r="S881" s="1" t="s">
        <v>37</v>
      </c>
      <c r="T881" s="1" t="s">
        <v>37</v>
      </c>
      <c r="U881" s="1" t="s">
        <v>37</v>
      </c>
    </row>
    <row r="882" spans="1:21">
      <c r="A882" s="1" t="s">
        <v>4885</v>
      </c>
      <c r="B882" s="1" t="s">
        <v>115</v>
      </c>
      <c r="C882" s="1" t="s">
        <v>116</v>
      </c>
      <c r="D882" s="1" t="s">
        <v>24</v>
      </c>
      <c r="E882" s="1" t="s">
        <v>25</v>
      </c>
      <c r="F882" s="1" t="s">
        <v>117</v>
      </c>
      <c r="G882" s="1" t="s">
        <v>4886</v>
      </c>
      <c r="H882" s="1" t="s">
        <v>99</v>
      </c>
      <c r="I882" s="1" t="s">
        <v>4887</v>
      </c>
      <c r="J882" s="1" t="s">
        <v>4888</v>
      </c>
      <c r="K882" s="1" t="s">
        <v>906</v>
      </c>
      <c r="L882" s="1" t="s">
        <v>4889</v>
      </c>
      <c r="M882" s="1" t="s">
        <v>33</v>
      </c>
      <c r="N882" s="1" t="s">
        <v>4890</v>
      </c>
      <c r="O882" s="1" t="s">
        <v>35</v>
      </c>
      <c r="P882" s="1" t="s">
        <v>4887</v>
      </c>
      <c r="Q882" s="1" t="s">
        <v>90</v>
      </c>
      <c r="R882" s="1" t="s">
        <v>37</v>
      </c>
      <c r="S882" s="1" t="s">
        <v>37</v>
      </c>
      <c r="T882" s="1" t="s">
        <v>37</v>
      </c>
      <c r="U882" s="1" t="s">
        <v>37</v>
      </c>
    </row>
    <row r="883" spans="1:21">
      <c r="A883" s="1" t="s">
        <v>4891</v>
      </c>
      <c r="B883" s="1" t="s">
        <v>39</v>
      </c>
      <c r="C883" s="1" t="s">
        <v>40</v>
      </c>
      <c r="D883" s="1" t="s">
        <v>24</v>
      </c>
      <c r="E883" s="1" t="s">
        <v>25</v>
      </c>
      <c r="F883" s="1" t="s">
        <v>127</v>
      </c>
      <c r="G883" s="1" t="s">
        <v>4892</v>
      </c>
      <c r="H883" s="1" t="s">
        <v>64</v>
      </c>
      <c r="I883" s="1" t="s">
        <v>4893</v>
      </c>
      <c r="J883" s="1" t="s">
        <v>4894</v>
      </c>
      <c r="K883" s="1" t="s">
        <v>1094</v>
      </c>
      <c r="L883" s="1" t="s">
        <v>3929</v>
      </c>
      <c r="M883" s="1" t="s">
        <v>59</v>
      </c>
      <c r="N883" s="1" t="s">
        <v>4895</v>
      </c>
      <c r="O883" s="1" t="s">
        <v>35</v>
      </c>
      <c r="P883" s="1" t="s">
        <v>4893</v>
      </c>
      <c r="Q883" s="1" t="s">
        <v>386</v>
      </c>
      <c r="R883" s="1" t="s">
        <v>37</v>
      </c>
      <c r="S883" s="1" t="s">
        <v>37</v>
      </c>
      <c r="T883" s="1" t="s">
        <v>37</v>
      </c>
      <c r="U883" s="1" t="s">
        <v>37</v>
      </c>
    </row>
    <row r="884" spans="1:21">
      <c r="A884" s="1" t="s">
        <v>4896</v>
      </c>
      <c r="B884" s="1" t="s">
        <v>115</v>
      </c>
      <c r="C884" s="1" t="s">
        <v>116</v>
      </c>
      <c r="D884" s="1" t="s">
        <v>24</v>
      </c>
      <c r="E884" s="1" t="s">
        <v>992</v>
      </c>
      <c r="F884" s="1" t="s">
        <v>72</v>
      </c>
      <c r="G884" s="1" t="s">
        <v>417</v>
      </c>
      <c r="H884" s="1" t="s">
        <v>99</v>
      </c>
      <c r="I884" s="1" t="s">
        <v>4897</v>
      </c>
      <c r="J884" s="1" t="s">
        <v>4898</v>
      </c>
      <c r="K884" s="1" t="s">
        <v>122</v>
      </c>
      <c r="L884" s="1" t="s">
        <v>4899</v>
      </c>
      <c r="M884" s="1" t="s">
        <v>59</v>
      </c>
      <c r="N884" s="1" t="s">
        <v>4900</v>
      </c>
      <c r="O884" s="1" t="s">
        <v>35</v>
      </c>
      <c r="P884" s="1" t="s">
        <v>4897</v>
      </c>
      <c r="Q884" s="1" t="s">
        <v>235</v>
      </c>
      <c r="R884" s="1" t="s">
        <v>37</v>
      </c>
      <c r="S884" s="1" t="s">
        <v>37</v>
      </c>
      <c r="T884" s="1" t="s">
        <v>37</v>
      </c>
      <c r="U884" s="1" t="s">
        <v>37</v>
      </c>
    </row>
    <row r="885" spans="1:21">
      <c r="A885" s="1" t="s">
        <v>4901</v>
      </c>
      <c r="B885" s="1" t="s">
        <v>22</v>
      </c>
      <c r="C885" s="1" t="s">
        <v>23</v>
      </c>
      <c r="D885" s="1" t="s">
        <v>24</v>
      </c>
      <c r="E885" s="1" t="s">
        <v>25</v>
      </c>
      <c r="F885" s="1" t="s">
        <v>53</v>
      </c>
      <c r="G885" s="1" t="s">
        <v>966</v>
      </c>
      <c r="H885" s="1" t="s">
        <v>90</v>
      </c>
      <c r="I885" s="1" t="s">
        <v>967</v>
      </c>
      <c r="J885" s="1" t="s">
        <v>968</v>
      </c>
      <c r="K885" s="1" t="s">
        <v>1094</v>
      </c>
      <c r="L885" s="1" t="s">
        <v>405</v>
      </c>
      <c r="M885" s="1" t="s">
        <v>33</v>
      </c>
      <c r="N885" s="1" t="s">
        <v>970</v>
      </c>
      <c r="O885" s="1" t="s">
        <v>35</v>
      </c>
      <c r="P885" s="1" t="s">
        <v>967</v>
      </c>
      <c r="Q885" s="1" t="s">
        <v>311</v>
      </c>
      <c r="R885" s="1" t="s">
        <v>37</v>
      </c>
      <c r="S885" s="1" t="s">
        <v>37</v>
      </c>
      <c r="T885" s="1" t="s">
        <v>37</v>
      </c>
      <c r="U885" s="1" t="s">
        <v>37</v>
      </c>
    </row>
    <row r="886" spans="1:21">
      <c r="A886" s="1" t="s">
        <v>4902</v>
      </c>
      <c r="B886" s="1" t="s">
        <v>22</v>
      </c>
      <c r="C886" s="1" t="s">
        <v>23</v>
      </c>
      <c r="D886" s="1" t="s">
        <v>24</v>
      </c>
      <c r="E886" s="1" t="s">
        <v>25</v>
      </c>
      <c r="F886" s="1" t="s">
        <v>117</v>
      </c>
      <c r="G886" s="1" t="s">
        <v>4903</v>
      </c>
      <c r="H886" s="1" t="s">
        <v>107</v>
      </c>
      <c r="I886" s="1" t="s">
        <v>4904</v>
      </c>
      <c r="J886" s="1" t="s">
        <v>4905</v>
      </c>
      <c r="K886" s="1" t="s">
        <v>412</v>
      </c>
      <c r="L886" s="1" t="s">
        <v>2376</v>
      </c>
      <c r="M886" s="1" t="s">
        <v>49</v>
      </c>
      <c r="N886" s="1" t="s">
        <v>4906</v>
      </c>
      <c r="O886" s="1" t="s">
        <v>35</v>
      </c>
      <c r="P886" s="1" t="s">
        <v>4904</v>
      </c>
      <c r="Q886" s="1" t="s">
        <v>338</v>
      </c>
      <c r="R886" s="1" t="s">
        <v>37</v>
      </c>
      <c r="S886" s="1" t="s">
        <v>37</v>
      </c>
      <c r="T886" s="1" t="s">
        <v>37</v>
      </c>
      <c r="U886" s="1" t="s">
        <v>37</v>
      </c>
    </row>
    <row r="887" spans="1:21">
      <c r="A887" s="1" t="s">
        <v>4907</v>
      </c>
      <c r="B887" s="1" t="s">
        <v>22</v>
      </c>
      <c r="C887" s="1" t="s">
        <v>23</v>
      </c>
      <c r="D887" s="1" t="s">
        <v>41</v>
      </c>
      <c r="E887" s="1" t="s">
        <v>992</v>
      </c>
      <c r="F887" s="1" t="s">
        <v>72</v>
      </c>
      <c r="G887" s="1" t="s">
        <v>3440</v>
      </c>
      <c r="H887" s="1" t="s">
        <v>28</v>
      </c>
      <c r="I887" s="1" t="s">
        <v>4908</v>
      </c>
      <c r="J887" s="1" t="s">
        <v>4909</v>
      </c>
      <c r="K887" s="1" t="s">
        <v>588</v>
      </c>
      <c r="L887" s="1" t="s">
        <v>4910</v>
      </c>
      <c r="M887" s="1" t="s">
        <v>49</v>
      </c>
      <c r="N887" s="1" t="s">
        <v>4911</v>
      </c>
      <c r="O887" s="1" t="s">
        <v>35</v>
      </c>
      <c r="P887" s="1" t="s">
        <v>4908</v>
      </c>
      <c r="Q887" s="1" t="s">
        <v>44</v>
      </c>
      <c r="R887" s="1" t="s">
        <v>37</v>
      </c>
      <c r="S887" s="1" t="s">
        <v>37</v>
      </c>
      <c r="T887" s="1" t="s">
        <v>37</v>
      </c>
      <c r="U887" s="1" t="s">
        <v>37</v>
      </c>
    </row>
    <row r="888" spans="1:21">
      <c r="A888" s="1" t="s">
        <v>4912</v>
      </c>
      <c r="B888" s="1" t="s">
        <v>22</v>
      </c>
      <c r="C888" s="1" t="s">
        <v>23</v>
      </c>
      <c r="D888" s="1" t="s">
        <v>24</v>
      </c>
      <c r="E888" s="1" t="s">
        <v>992</v>
      </c>
      <c r="F888" s="1" t="s">
        <v>117</v>
      </c>
      <c r="G888" s="1" t="s">
        <v>4913</v>
      </c>
      <c r="H888" s="1" t="s">
        <v>253</v>
      </c>
      <c r="I888" s="1" t="s">
        <v>4914</v>
      </c>
      <c r="J888" s="1" t="s">
        <v>4915</v>
      </c>
      <c r="K888" s="1" t="s">
        <v>803</v>
      </c>
      <c r="L888" s="1" t="s">
        <v>1123</v>
      </c>
      <c r="M888" s="1" t="s">
        <v>33</v>
      </c>
      <c r="N888" s="1" t="s">
        <v>4913</v>
      </c>
      <c r="O888" s="1" t="s">
        <v>35</v>
      </c>
      <c r="P888" s="1" t="s">
        <v>4914</v>
      </c>
      <c r="Q888" s="1" t="s">
        <v>257</v>
      </c>
      <c r="R888" s="1" t="s">
        <v>37</v>
      </c>
      <c r="S888" s="1" t="s">
        <v>37</v>
      </c>
      <c r="T888" s="1" t="s">
        <v>37</v>
      </c>
      <c r="U888" s="1" t="s">
        <v>37</v>
      </c>
    </row>
    <row r="889" spans="1:21">
      <c r="A889" s="1" t="s">
        <v>4916</v>
      </c>
      <c r="B889" s="1" t="s">
        <v>22</v>
      </c>
      <c r="C889" s="1" t="s">
        <v>23</v>
      </c>
      <c r="D889" s="1" t="s">
        <v>24</v>
      </c>
      <c r="E889" s="1" t="s">
        <v>25</v>
      </c>
      <c r="F889" s="1" t="s">
        <v>42</v>
      </c>
      <c r="G889" s="1" t="s">
        <v>3871</v>
      </c>
      <c r="H889" s="1" t="s">
        <v>99</v>
      </c>
      <c r="I889" s="1" t="s">
        <v>4917</v>
      </c>
      <c r="J889" s="1" t="s">
        <v>4918</v>
      </c>
      <c r="K889" s="1" t="s">
        <v>335</v>
      </c>
      <c r="L889" s="1" t="s">
        <v>4919</v>
      </c>
      <c r="M889" s="1" t="s">
        <v>33</v>
      </c>
      <c r="N889" s="1" t="s">
        <v>4920</v>
      </c>
      <c r="O889" s="1" t="s">
        <v>35</v>
      </c>
      <c r="P889" s="1" t="s">
        <v>4917</v>
      </c>
      <c r="Q889" s="1" t="s">
        <v>386</v>
      </c>
      <c r="R889" s="1" t="s">
        <v>37</v>
      </c>
      <c r="S889" s="1" t="s">
        <v>37</v>
      </c>
      <c r="T889" s="1" t="s">
        <v>37</v>
      </c>
      <c r="U889" s="1" t="s">
        <v>37</v>
      </c>
    </row>
    <row r="890" spans="1:21">
      <c r="A890" s="1" t="s">
        <v>4921</v>
      </c>
      <c r="B890" s="1" t="s">
        <v>39</v>
      </c>
      <c r="C890" s="1" t="s">
        <v>40</v>
      </c>
      <c r="D890" s="1" t="s">
        <v>41</v>
      </c>
      <c r="E890" s="1" t="s">
        <v>25</v>
      </c>
      <c r="F890" s="1" t="s">
        <v>127</v>
      </c>
      <c r="G890" s="1" t="s">
        <v>4922</v>
      </c>
      <c r="H890" s="1" t="s">
        <v>64</v>
      </c>
      <c r="I890" s="1" t="s">
        <v>4923</v>
      </c>
      <c r="J890" s="1" t="s">
        <v>4924</v>
      </c>
      <c r="K890" s="1" t="s">
        <v>522</v>
      </c>
      <c r="L890" s="1" t="s">
        <v>4076</v>
      </c>
      <c r="M890" s="1" t="s">
        <v>33</v>
      </c>
      <c r="N890" s="1" t="s">
        <v>4925</v>
      </c>
      <c r="O890" s="1" t="s">
        <v>35</v>
      </c>
      <c r="P890" s="1" t="s">
        <v>4923</v>
      </c>
      <c r="Q890" s="1" t="s">
        <v>143</v>
      </c>
      <c r="R890" s="1" t="s">
        <v>37</v>
      </c>
      <c r="S890" s="1" t="s">
        <v>37</v>
      </c>
      <c r="T890" s="1" t="s">
        <v>37</v>
      </c>
      <c r="U890" s="1" t="s">
        <v>37</v>
      </c>
    </row>
    <row r="891" spans="1:21">
      <c r="A891" s="1" t="s">
        <v>4926</v>
      </c>
      <c r="B891" s="1" t="s">
        <v>22</v>
      </c>
      <c r="C891" s="1" t="s">
        <v>23</v>
      </c>
      <c r="D891" s="1" t="s">
        <v>24</v>
      </c>
      <c r="E891" s="1" t="s">
        <v>992</v>
      </c>
      <c r="F891" s="1" t="s">
        <v>72</v>
      </c>
      <c r="G891" s="1" t="s">
        <v>4927</v>
      </c>
      <c r="H891" s="1" t="s">
        <v>99</v>
      </c>
      <c r="I891" s="1" t="s">
        <v>4928</v>
      </c>
      <c r="J891" s="1" t="s">
        <v>4929</v>
      </c>
      <c r="K891" s="1" t="s">
        <v>1636</v>
      </c>
      <c r="L891" s="1" t="s">
        <v>2044</v>
      </c>
      <c r="M891" s="1" t="s">
        <v>33</v>
      </c>
      <c r="N891" s="1" t="s">
        <v>4930</v>
      </c>
      <c r="O891" s="1" t="s">
        <v>35</v>
      </c>
      <c r="P891" s="1" t="s">
        <v>4928</v>
      </c>
      <c r="Q891" s="1" t="s">
        <v>366</v>
      </c>
      <c r="R891" s="1" t="s">
        <v>37</v>
      </c>
      <c r="S891" s="1" t="s">
        <v>37</v>
      </c>
      <c r="T891" s="1" t="s">
        <v>37</v>
      </c>
      <c r="U891" s="1" t="s">
        <v>37</v>
      </c>
    </row>
    <row r="892" spans="1:21">
      <c r="A892" s="1" t="s">
        <v>4931</v>
      </c>
      <c r="B892" s="1" t="s">
        <v>39</v>
      </c>
      <c r="C892" s="1" t="s">
        <v>40</v>
      </c>
      <c r="D892" s="1" t="s">
        <v>41</v>
      </c>
      <c r="E892" s="1" t="s">
        <v>25</v>
      </c>
      <c r="F892" s="1" t="s">
        <v>26</v>
      </c>
      <c r="G892" s="1" t="s">
        <v>4932</v>
      </c>
      <c r="H892" s="1" t="s">
        <v>44</v>
      </c>
      <c r="I892" s="1" t="s">
        <v>4933</v>
      </c>
      <c r="J892" s="1" t="s">
        <v>4934</v>
      </c>
      <c r="K892" s="1" t="s">
        <v>1433</v>
      </c>
      <c r="L892" s="1" t="s">
        <v>2430</v>
      </c>
      <c r="M892" s="1" t="s">
        <v>49</v>
      </c>
      <c r="N892" s="1" t="s">
        <v>4935</v>
      </c>
      <c r="O892" s="1" t="s">
        <v>35</v>
      </c>
      <c r="P892" s="1" t="s">
        <v>4933</v>
      </c>
      <c r="Q892" s="1" t="s">
        <v>113</v>
      </c>
      <c r="R892" s="1" t="s">
        <v>37</v>
      </c>
      <c r="S892" s="1" t="s">
        <v>37</v>
      </c>
      <c r="T892" s="1" t="s">
        <v>37</v>
      </c>
      <c r="U892" s="1" t="s">
        <v>37</v>
      </c>
    </row>
    <row r="893" spans="1:21">
      <c r="A893" s="1" t="s">
        <v>4936</v>
      </c>
      <c r="B893" s="1" t="s">
        <v>115</v>
      </c>
      <c r="C893" s="1" t="s">
        <v>116</v>
      </c>
      <c r="D893" s="1" t="s">
        <v>41</v>
      </c>
      <c r="E893" s="1" t="s">
        <v>25</v>
      </c>
      <c r="F893" s="1" t="s">
        <v>42</v>
      </c>
      <c r="G893" s="1" t="s">
        <v>4937</v>
      </c>
      <c r="H893" s="1" t="s">
        <v>64</v>
      </c>
      <c r="I893" s="1" t="s">
        <v>4938</v>
      </c>
      <c r="J893" s="1" t="s">
        <v>4939</v>
      </c>
      <c r="K893" s="1" t="s">
        <v>156</v>
      </c>
      <c r="L893" s="1" t="s">
        <v>3388</v>
      </c>
      <c r="M893" s="1" t="s">
        <v>49</v>
      </c>
      <c r="N893" s="1" t="s">
        <v>4940</v>
      </c>
      <c r="O893" s="1" t="s">
        <v>35</v>
      </c>
      <c r="P893" s="1" t="s">
        <v>4938</v>
      </c>
      <c r="Q893" s="1" t="s">
        <v>407</v>
      </c>
      <c r="R893" s="1" t="s">
        <v>37</v>
      </c>
      <c r="S893" s="1" t="s">
        <v>37</v>
      </c>
      <c r="T893" s="1" t="s">
        <v>37</v>
      </c>
      <c r="U893" s="1" t="s">
        <v>37</v>
      </c>
    </row>
    <row r="894" spans="1:21">
      <c r="A894" s="1" t="s">
        <v>4941</v>
      </c>
      <c r="B894" s="1" t="s">
        <v>39</v>
      </c>
      <c r="C894" s="1" t="s">
        <v>40</v>
      </c>
      <c r="D894" s="1" t="s">
        <v>24</v>
      </c>
      <c r="E894" s="1" t="s">
        <v>25</v>
      </c>
      <c r="F894" s="1" t="s">
        <v>127</v>
      </c>
      <c r="G894" s="1" t="s">
        <v>4942</v>
      </c>
      <c r="H894" s="1" t="s">
        <v>44</v>
      </c>
      <c r="I894" s="1" t="s">
        <v>4943</v>
      </c>
      <c r="J894" s="1" t="s">
        <v>4944</v>
      </c>
      <c r="K894" s="1" t="s">
        <v>240</v>
      </c>
      <c r="L894" s="1" t="s">
        <v>4945</v>
      </c>
      <c r="M894" s="1" t="s">
        <v>59</v>
      </c>
      <c r="N894" s="1" t="s">
        <v>4946</v>
      </c>
      <c r="O894" s="1" t="s">
        <v>35</v>
      </c>
      <c r="P894" s="1" t="s">
        <v>4943</v>
      </c>
      <c r="Q894" s="1" t="s">
        <v>198</v>
      </c>
      <c r="R894" s="1" t="s">
        <v>37</v>
      </c>
      <c r="S894" s="1" t="s">
        <v>37</v>
      </c>
      <c r="T894" s="1" t="s">
        <v>37</v>
      </c>
      <c r="U894" s="1" t="s">
        <v>37</v>
      </c>
    </row>
    <row r="895" spans="1:21">
      <c r="A895" s="1" t="s">
        <v>4947</v>
      </c>
      <c r="B895" s="1" t="s">
        <v>115</v>
      </c>
      <c r="C895" s="1" t="s">
        <v>116</v>
      </c>
      <c r="D895" s="1" t="s">
        <v>41</v>
      </c>
      <c r="E895" s="1" t="s">
        <v>992</v>
      </c>
      <c r="F895" s="1" t="s">
        <v>42</v>
      </c>
      <c r="G895" s="1" t="s">
        <v>4948</v>
      </c>
      <c r="H895" s="1" t="s">
        <v>44</v>
      </c>
      <c r="I895" s="1" t="s">
        <v>4949</v>
      </c>
      <c r="J895" s="1" t="s">
        <v>4950</v>
      </c>
      <c r="K895" s="1" t="s">
        <v>508</v>
      </c>
      <c r="L895" s="1" t="s">
        <v>4951</v>
      </c>
      <c r="M895" s="1" t="s">
        <v>49</v>
      </c>
      <c r="N895" s="1" t="s">
        <v>4952</v>
      </c>
      <c r="O895" s="1" t="s">
        <v>35</v>
      </c>
      <c r="P895" s="1" t="s">
        <v>4949</v>
      </c>
      <c r="Q895" s="1" t="s">
        <v>583</v>
      </c>
      <c r="R895" s="1" t="s">
        <v>37</v>
      </c>
      <c r="S895" s="1" t="s">
        <v>37</v>
      </c>
      <c r="T895" s="1" t="s">
        <v>37</v>
      </c>
      <c r="U895" s="1" t="s">
        <v>37</v>
      </c>
    </row>
    <row r="896" spans="1:21">
      <c r="A896" s="1" t="s">
        <v>4953</v>
      </c>
      <c r="B896" s="1" t="s">
        <v>115</v>
      </c>
      <c r="C896" s="1" t="s">
        <v>116</v>
      </c>
      <c r="D896" s="1" t="s">
        <v>24</v>
      </c>
      <c r="E896" s="1" t="s">
        <v>992</v>
      </c>
      <c r="F896" s="1" t="s">
        <v>42</v>
      </c>
      <c r="G896" s="1" t="s">
        <v>4954</v>
      </c>
      <c r="H896" s="1" t="s">
        <v>90</v>
      </c>
      <c r="I896" s="1" t="s">
        <v>4955</v>
      </c>
      <c r="J896" s="1" t="s">
        <v>4956</v>
      </c>
      <c r="K896" s="1" t="s">
        <v>132</v>
      </c>
      <c r="L896" s="1" t="s">
        <v>1549</v>
      </c>
      <c r="M896" s="1" t="s">
        <v>59</v>
      </c>
      <c r="N896" s="1" t="s">
        <v>4957</v>
      </c>
      <c r="O896" s="1" t="s">
        <v>35</v>
      </c>
      <c r="P896" s="1" t="s">
        <v>4955</v>
      </c>
      <c r="Q896" s="1" t="s">
        <v>1655</v>
      </c>
      <c r="R896" s="1" t="s">
        <v>37</v>
      </c>
      <c r="S896" s="1" t="s">
        <v>37</v>
      </c>
      <c r="T896" s="1" t="s">
        <v>37</v>
      </c>
      <c r="U896" s="1" t="s">
        <v>37</v>
      </c>
    </row>
    <row r="897" spans="1:21">
      <c r="A897" s="1" t="s">
        <v>4958</v>
      </c>
      <c r="B897" s="1" t="s">
        <v>115</v>
      </c>
      <c r="C897" s="1" t="s">
        <v>116</v>
      </c>
      <c r="D897" s="1" t="s">
        <v>41</v>
      </c>
      <c r="E897" s="1" t="s">
        <v>992</v>
      </c>
      <c r="F897" s="1" t="s">
        <v>26</v>
      </c>
      <c r="G897" s="1" t="s">
        <v>4959</v>
      </c>
      <c r="H897" s="1" t="s">
        <v>64</v>
      </c>
      <c r="I897" s="1" t="s">
        <v>4960</v>
      </c>
      <c r="J897" s="1" t="s">
        <v>4961</v>
      </c>
      <c r="K897" s="1" t="s">
        <v>290</v>
      </c>
      <c r="L897" s="1" t="s">
        <v>490</v>
      </c>
      <c r="M897" s="1" t="s">
        <v>59</v>
      </c>
      <c r="N897" s="1" t="s">
        <v>4962</v>
      </c>
      <c r="O897" s="1" t="s">
        <v>35</v>
      </c>
      <c r="P897" s="1" t="s">
        <v>4960</v>
      </c>
      <c r="Q897" s="1" t="s">
        <v>791</v>
      </c>
      <c r="R897" s="1" t="s">
        <v>37</v>
      </c>
      <c r="S897" s="1" t="s">
        <v>37</v>
      </c>
      <c r="T897" s="1" t="s">
        <v>37</v>
      </c>
      <c r="U897" s="1" t="s">
        <v>37</v>
      </c>
    </row>
    <row r="898" spans="1:21">
      <c r="A898" s="1" t="s">
        <v>4963</v>
      </c>
      <c r="B898" s="1" t="s">
        <v>39</v>
      </c>
      <c r="C898" s="1" t="s">
        <v>40</v>
      </c>
      <c r="D898" s="1" t="s">
        <v>41</v>
      </c>
      <c r="E898" s="1" t="s">
        <v>992</v>
      </c>
      <c r="F898" s="1" t="s">
        <v>127</v>
      </c>
      <c r="G898" s="1" t="s">
        <v>4964</v>
      </c>
      <c r="H898" s="1" t="s">
        <v>28</v>
      </c>
      <c r="I898" s="1" t="s">
        <v>4965</v>
      </c>
      <c r="J898" s="1" t="s">
        <v>4966</v>
      </c>
      <c r="K898" s="1" t="s">
        <v>962</v>
      </c>
      <c r="L898" s="1" t="s">
        <v>2261</v>
      </c>
      <c r="M898" s="1" t="s">
        <v>33</v>
      </c>
      <c r="N898" s="1" t="s">
        <v>4967</v>
      </c>
      <c r="O898" s="1" t="s">
        <v>35</v>
      </c>
      <c r="P898" s="1" t="s">
        <v>4965</v>
      </c>
      <c r="Q898" s="1" t="s">
        <v>44</v>
      </c>
      <c r="R898" s="1" t="s">
        <v>37</v>
      </c>
      <c r="S898" s="1" t="s">
        <v>37</v>
      </c>
      <c r="T898" s="1" t="s">
        <v>37</v>
      </c>
      <c r="U898" s="1" t="s">
        <v>37</v>
      </c>
    </row>
    <row r="899" spans="1:21">
      <c r="A899" s="1" t="s">
        <v>4968</v>
      </c>
      <c r="B899" s="1" t="s">
        <v>39</v>
      </c>
      <c r="C899" s="1" t="s">
        <v>40</v>
      </c>
      <c r="D899" s="1" t="s">
        <v>24</v>
      </c>
      <c r="E899" s="1" t="s">
        <v>25</v>
      </c>
      <c r="F899" s="1" t="s">
        <v>117</v>
      </c>
      <c r="G899" s="1" t="s">
        <v>4969</v>
      </c>
      <c r="H899" s="1" t="s">
        <v>90</v>
      </c>
      <c r="I899" s="1" t="s">
        <v>4970</v>
      </c>
      <c r="J899" s="1" t="s">
        <v>4971</v>
      </c>
      <c r="K899" s="1" t="s">
        <v>803</v>
      </c>
      <c r="L899" s="1" t="s">
        <v>643</v>
      </c>
      <c r="M899" s="1" t="s">
        <v>49</v>
      </c>
      <c r="N899" s="1" t="s">
        <v>4972</v>
      </c>
      <c r="O899" s="1" t="s">
        <v>35</v>
      </c>
      <c r="P899" s="1" t="s">
        <v>4970</v>
      </c>
      <c r="Q899" s="1" t="s">
        <v>944</v>
      </c>
      <c r="R899" s="1" t="s">
        <v>37</v>
      </c>
      <c r="S899" s="1" t="s">
        <v>37</v>
      </c>
      <c r="T899" s="1" t="s">
        <v>37</v>
      </c>
      <c r="U899" s="1" t="s">
        <v>37</v>
      </c>
    </row>
    <row r="900" spans="1:21">
      <c r="A900" s="1" t="s">
        <v>4973</v>
      </c>
      <c r="B900" s="1" t="s">
        <v>39</v>
      </c>
      <c r="C900" s="1" t="s">
        <v>40</v>
      </c>
      <c r="D900" s="1" t="s">
        <v>24</v>
      </c>
      <c r="E900" s="1" t="s">
        <v>992</v>
      </c>
      <c r="F900" s="1" t="s">
        <v>26</v>
      </c>
      <c r="G900" s="1" t="s">
        <v>4974</v>
      </c>
      <c r="H900" s="1" t="s">
        <v>28</v>
      </c>
      <c r="I900" s="1" t="s">
        <v>4975</v>
      </c>
      <c r="J900" s="1" t="s">
        <v>4976</v>
      </c>
      <c r="K900" s="1" t="s">
        <v>240</v>
      </c>
      <c r="L900" s="1" t="s">
        <v>4977</v>
      </c>
      <c r="M900" s="1" t="s">
        <v>49</v>
      </c>
      <c r="N900" s="1" t="s">
        <v>4978</v>
      </c>
      <c r="O900" s="1" t="s">
        <v>35</v>
      </c>
      <c r="P900" s="1" t="s">
        <v>4975</v>
      </c>
      <c r="Q900" s="1" t="s">
        <v>79</v>
      </c>
      <c r="R900" s="1" t="s">
        <v>37</v>
      </c>
      <c r="S900" s="1" t="s">
        <v>37</v>
      </c>
      <c r="T900" s="1" t="s">
        <v>37</v>
      </c>
      <c r="U900" s="1" t="s">
        <v>37</v>
      </c>
    </row>
    <row r="901" spans="1:21">
      <c r="A901" s="1" t="s">
        <v>4979</v>
      </c>
      <c r="B901" s="1" t="s">
        <v>22</v>
      </c>
      <c r="C901" s="1" t="s">
        <v>23</v>
      </c>
      <c r="D901" s="1" t="s">
        <v>24</v>
      </c>
      <c r="E901" s="1" t="s">
        <v>992</v>
      </c>
      <c r="F901" s="1" t="s">
        <v>117</v>
      </c>
      <c r="G901" s="1" t="s">
        <v>4980</v>
      </c>
      <c r="H901" s="1" t="s">
        <v>275</v>
      </c>
      <c r="I901" s="1" t="s">
        <v>4981</v>
      </c>
      <c r="J901" s="1" t="s">
        <v>4982</v>
      </c>
      <c r="K901" s="1" t="s">
        <v>718</v>
      </c>
      <c r="L901" s="1" t="s">
        <v>1176</v>
      </c>
      <c r="M901" s="1" t="s">
        <v>33</v>
      </c>
      <c r="N901" s="1" t="s">
        <v>4983</v>
      </c>
      <c r="O901" s="1" t="s">
        <v>35</v>
      </c>
      <c r="P901" s="1" t="s">
        <v>4981</v>
      </c>
      <c r="Q901" s="1" t="s">
        <v>182</v>
      </c>
      <c r="R901" s="1" t="s">
        <v>37</v>
      </c>
      <c r="S901" s="1" t="s">
        <v>37</v>
      </c>
      <c r="T901" s="1" t="s">
        <v>37</v>
      </c>
      <c r="U901" s="1" t="s">
        <v>37</v>
      </c>
    </row>
    <row r="902" spans="1:21">
      <c r="A902" s="1" t="s">
        <v>4984</v>
      </c>
      <c r="B902" s="1" t="s">
        <v>39</v>
      </c>
      <c r="C902" s="1" t="s">
        <v>40</v>
      </c>
      <c r="D902" s="1" t="s">
        <v>24</v>
      </c>
      <c r="E902" s="1" t="s">
        <v>25</v>
      </c>
      <c r="F902" s="1" t="s">
        <v>42</v>
      </c>
      <c r="G902" s="1" t="s">
        <v>4985</v>
      </c>
      <c r="H902" s="1" t="s">
        <v>275</v>
      </c>
      <c r="I902" s="1" t="s">
        <v>4986</v>
      </c>
      <c r="J902" s="1" t="s">
        <v>4987</v>
      </c>
      <c r="K902" s="1" t="s">
        <v>1350</v>
      </c>
      <c r="L902" s="1" t="s">
        <v>4560</v>
      </c>
      <c r="M902" s="1" t="s">
        <v>59</v>
      </c>
      <c r="N902" s="1" t="s">
        <v>4988</v>
      </c>
      <c r="O902" s="1" t="s">
        <v>35</v>
      </c>
      <c r="P902" s="1" t="s">
        <v>4986</v>
      </c>
      <c r="Q902" s="1" t="s">
        <v>311</v>
      </c>
      <c r="R902" s="1" t="s">
        <v>37</v>
      </c>
      <c r="S902" s="1" t="s">
        <v>37</v>
      </c>
      <c r="T902" s="1" t="s">
        <v>37</v>
      </c>
      <c r="U902" s="1" t="s">
        <v>37</v>
      </c>
    </row>
    <row r="903" spans="1:21">
      <c r="A903" s="1" t="s">
        <v>4989</v>
      </c>
      <c r="B903" s="1" t="s">
        <v>115</v>
      </c>
      <c r="C903" s="1" t="s">
        <v>116</v>
      </c>
      <c r="D903" s="1" t="s">
        <v>41</v>
      </c>
      <c r="E903" s="1" t="s">
        <v>992</v>
      </c>
      <c r="F903" s="1" t="s">
        <v>53</v>
      </c>
      <c r="G903" s="1" t="s">
        <v>4990</v>
      </c>
      <c r="H903" s="1" t="s">
        <v>129</v>
      </c>
      <c r="I903" s="1" t="s">
        <v>4991</v>
      </c>
      <c r="J903" s="1" t="s">
        <v>4992</v>
      </c>
      <c r="K903" s="1" t="s">
        <v>718</v>
      </c>
      <c r="L903" s="1" t="s">
        <v>870</v>
      </c>
      <c r="M903" s="1" t="s">
        <v>33</v>
      </c>
      <c r="N903" s="1" t="s">
        <v>4993</v>
      </c>
      <c r="O903" s="1" t="s">
        <v>35</v>
      </c>
      <c r="P903" s="1" t="s">
        <v>4991</v>
      </c>
      <c r="Q903" s="1" t="s">
        <v>220</v>
      </c>
      <c r="R903" s="1" t="s">
        <v>37</v>
      </c>
      <c r="S903" s="1" t="s">
        <v>37</v>
      </c>
      <c r="T903" s="1" t="s">
        <v>37</v>
      </c>
      <c r="U903" s="1" t="s">
        <v>37</v>
      </c>
    </row>
    <row r="904" spans="1:21">
      <c r="A904" s="1" t="s">
        <v>4994</v>
      </c>
      <c r="B904" s="1" t="s">
        <v>22</v>
      </c>
      <c r="C904" s="1" t="s">
        <v>23</v>
      </c>
      <c r="D904" s="1" t="s">
        <v>24</v>
      </c>
      <c r="E904" s="1" t="s">
        <v>25</v>
      </c>
      <c r="F904" s="1" t="s">
        <v>26</v>
      </c>
      <c r="G904" s="1" t="s">
        <v>4995</v>
      </c>
      <c r="H904" s="1" t="s">
        <v>44</v>
      </c>
      <c r="I904" s="1" t="s">
        <v>4996</v>
      </c>
      <c r="J904" s="1" t="s">
        <v>4997</v>
      </c>
      <c r="K904" s="1" t="s">
        <v>737</v>
      </c>
      <c r="L904" s="1" t="s">
        <v>2136</v>
      </c>
      <c r="M904" s="1" t="s">
        <v>59</v>
      </c>
      <c r="N904" s="1" t="s">
        <v>4998</v>
      </c>
      <c r="O904" s="1" t="s">
        <v>35</v>
      </c>
      <c r="P904" s="1" t="s">
        <v>4996</v>
      </c>
      <c r="Q904" s="1" t="s">
        <v>791</v>
      </c>
      <c r="R904" s="1" t="s">
        <v>37</v>
      </c>
      <c r="S904" s="1" t="s">
        <v>37</v>
      </c>
      <c r="T904" s="1" t="s">
        <v>37</v>
      </c>
      <c r="U904" s="1" t="s">
        <v>37</v>
      </c>
    </row>
    <row r="905" spans="1:21">
      <c r="A905" s="1" t="s">
        <v>4999</v>
      </c>
      <c r="B905" s="1" t="s">
        <v>22</v>
      </c>
      <c r="C905" s="1" t="s">
        <v>23</v>
      </c>
      <c r="D905" s="1" t="s">
        <v>41</v>
      </c>
      <c r="E905" s="1" t="s">
        <v>992</v>
      </c>
      <c r="F905" s="1" t="s">
        <v>117</v>
      </c>
      <c r="G905" s="1" t="s">
        <v>5000</v>
      </c>
      <c r="H905" s="1" t="s">
        <v>28</v>
      </c>
      <c r="I905" s="1" t="s">
        <v>5001</v>
      </c>
      <c r="J905" s="1" t="s">
        <v>5002</v>
      </c>
      <c r="K905" s="1" t="s">
        <v>290</v>
      </c>
      <c r="L905" s="1" t="s">
        <v>5003</v>
      </c>
      <c r="M905" s="1" t="s">
        <v>49</v>
      </c>
      <c r="N905" s="1" t="s">
        <v>5004</v>
      </c>
      <c r="O905" s="1" t="s">
        <v>35</v>
      </c>
      <c r="P905" s="1" t="s">
        <v>5001</v>
      </c>
      <c r="Q905" s="1" t="s">
        <v>407</v>
      </c>
      <c r="R905" s="1" t="s">
        <v>37</v>
      </c>
      <c r="S905" s="1" t="s">
        <v>37</v>
      </c>
      <c r="T905" s="1" t="s">
        <v>37</v>
      </c>
      <c r="U905" s="1" t="s">
        <v>37</v>
      </c>
    </row>
    <row r="906" spans="1:21">
      <c r="A906" s="1" t="s">
        <v>5005</v>
      </c>
      <c r="B906" s="1" t="s">
        <v>39</v>
      </c>
      <c r="C906" s="1" t="s">
        <v>40</v>
      </c>
      <c r="D906" s="1" t="s">
        <v>41</v>
      </c>
      <c r="E906" s="1" t="s">
        <v>25</v>
      </c>
      <c r="F906" s="1" t="s">
        <v>26</v>
      </c>
      <c r="G906" s="1" t="s">
        <v>5006</v>
      </c>
      <c r="H906" s="1" t="s">
        <v>107</v>
      </c>
      <c r="I906" s="1" t="s">
        <v>5007</v>
      </c>
      <c r="J906" s="1" t="s">
        <v>5008</v>
      </c>
      <c r="K906" s="1" t="s">
        <v>515</v>
      </c>
      <c r="L906" s="1" t="s">
        <v>1363</v>
      </c>
      <c r="M906" s="1" t="s">
        <v>33</v>
      </c>
      <c r="N906" s="1" t="s">
        <v>5009</v>
      </c>
      <c r="O906" s="1" t="s">
        <v>35</v>
      </c>
      <c r="P906" s="1" t="s">
        <v>5007</v>
      </c>
      <c r="Q906" s="1" t="s">
        <v>90</v>
      </c>
      <c r="R906" s="1" t="s">
        <v>37</v>
      </c>
      <c r="S906" s="1" t="s">
        <v>37</v>
      </c>
      <c r="T906" s="1" t="s">
        <v>37</v>
      </c>
      <c r="U906" s="1" t="s">
        <v>37</v>
      </c>
    </row>
    <row r="907" spans="1:21">
      <c r="A907" s="1" t="s">
        <v>5010</v>
      </c>
      <c r="B907" s="1" t="s">
        <v>39</v>
      </c>
      <c r="C907" s="1" t="s">
        <v>40</v>
      </c>
      <c r="D907" s="1" t="s">
        <v>24</v>
      </c>
      <c r="E907" s="1" t="s">
        <v>25</v>
      </c>
      <c r="F907" s="1" t="s">
        <v>53</v>
      </c>
      <c r="G907" s="1" t="s">
        <v>1887</v>
      </c>
      <c r="H907" s="1" t="s">
        <v>129</v>
      </c>
      <c r="I907" s="1" t="s">
        <v>5011</v>
      </c>
      <c r="J907" s="1" t="s">
        <v>5012</v>
      </c>
      <c r="K907" s="1" t="s">
        <v>788</v>
      </c>
      <c r="L907" s="1" t="s">
        <v>5013</v>
      </c>
      <c r="M907" s="1" t="s">
        <v>49</v>
      </c>
      <c r="N907" s="1" t="s">
        <v>5014</v>
      </c>
      <c r="O907" s="1" t="s">
        <v>35</v>
      </c>
      <c r="P907" s="1" t="s">
        <v>5011</v>
      </c>
      <c r="Q907" s="1" t="s">
        <v>351</v>
      </c>
      <c r="R907" s="1" t="s">
        <v>37</v>
      </c>
      <c r="S907" s="1" t="s">
        <v>37</v>
      </c>
      <c r="T907" s="1" t="s">
        <v>37</v>
      </c>
      <c r="U907" s="1" t="s">
        <v>37</v>
      </c>
    </row>
    <row r="908" spans="1:21">
      <c r="A908" s="1" t="s">
        <v>5015</v>
      </c>
      <c r="B908" s="1" t="s">
        <v>39</v>
      </c>
      <c r="C908" s="1" t="s">
        <v>40</v>
      </c>
      <c r="D908" s="1" t="s">
        <v>41</v>
      </c>
      <c r="E908" s="1" t="s">
        <v>992</v>
      </c>
      <c r="F908" s="1" t="s">
        <v>26</v>
      </c>
      <c r="G908" s="1" t="s">
        <v>5016</v>
      </c>
      <c r="H908" s="1" t="s">
        <v>99</v>
      </c>
      <c r="I908" s="1" t="s">
        <v>5017</v>
      </c>
      <c r="J908" s="1" t="s">
        <v>5018</v>
      </c>
      <c r="K908" s="1" t="s">
        <v>718</v>
      </c>
      <c r="L908" s="1" t="s">
        <v>2005</v>
      </c>
      <c r="M908" s="1" t="s">
        <v>59</v>
      </c>
      <c r="N908" s="1" t="s">
        <v>5019</v>
      </c>
      <c r="O908" s="1" t="s">
        <v>35</v>
      </c>
      <c r="P908" s="1" t="s">
        <v>5017</v>
      </c>
      <c r="Q908" s="1" t="s">
        <v>944</v>
      </c>
      <c r="R908" s="1" t="s">
        <v>37</v>
      </c>
      <c r="S908" s="1" t="s">
        <v>37</v>
      </c>
      <c r="T908" s="1" t="s">
        <v>37</v>
      </c>
      <c r="U908" s="1" t="s">
        <v>37</v>
      </c>
    </row>
    <row r="909" spans="1:21">
      <c r="A909" s="1" t="s">
        <v>5020</v>
      </c>
      <c r="B909" s="1" t="s">
        <v>115</v>
      </c>
      <c r="C909" s="1" t="s">
        <v>116</v>
      </c>
      <c r="D909" s="1" t="s">
        <v>41</v>
      </c>
      <c r="E909" s="1" t="s">
        <v>25</v>
      </c>
      <c r="F909" s="1" t="s">
        <v>26</v>
      </c>
      <c r="G909" s="1" t="s">
        <v>5021</v>
      </c>
      <c r="H909" s="1" t="s">
        <v>44</v>
      </c>
      <c r="I909" s="1" t="s">
        <v>5022</v>
      </c>
      <c r="J909" s="1" t="s">
        <v>5023</v>
      </c>
      <c r="K909" s="1" t="s">
        <v>788</v>
      </c>
      <c r="L909" s="1" t="s">
        <v>3637</v>
      </c>
      <c r="M909" s="1" t="s">
        <v>59</v>
      </c>
      <c r="N909" s="1" t="s">
        <v>5024</v>
      </c>
      <c r="O909" s="1" t="s">
        <v>35</v>
      </c>
      <c r="P909" s="1" t="s">
        <v>5022</v>
      </c>
      <c r="Q909" s="1" t="s">
        <v>468</v>
      </c>
      <c r="R909" s="1" t="s">
        <v>37</v>
      </c>
      <c r="S909" s="1" t="s">
        <v>37</v>
      </c>
      <c r="T909" s="1" t="s">
        <v>37</v>
      </c>
      <c r="U909" s="1" t="s">
        <v>37</v>
      </c>
    </row>
    <row r="910" spans="1:21">
      <c r="A910" s="1" t="s">
        <v>5025</v>
      </c>
      <c r="B910" s="1" t="s">
        <v>22</v>
      </c>
      <c r="C910" s="1" t="s">
        <v>23</v>
      </c>
      <c r="D910" s="1" t="s">
        <v>24</v>
      </c>
      <c r="E910" s="1" t="s">
        <v>25</v>
      </c>
      <c r="F910" s="1" t="s">
        <v>117</v>
      </c>
      <c r="G910" s="1" t="s">
        <v>5026</v>
      </c>
      <c r="H910" s="1" t="s">
        <v>107</v>
      </c>
      <c r="I910" s="1" t="s">
        <v>5027</v>
      </c>
      <c r="J910" s="1" t="s">
        <v>5028</v>
      </c>
      <c r="K910" s="1" t="s">
        <v>459</v>
      </c>
      <c r="L910" s="1" t="s">
        <v>2056</v>
      </c>
      <c r="M910" s="1" t="s">
        <v>33</v>
      </c>
      <c r="N910" s="1" t="s">
        <v>5029</v>
      </c>
      <c r="O910" s="1" t="s">
        <v>35</v>
      </c>
      <c r="P910" s="1" t="s">
        <v>5027</v>
      </c>
      <c r="Q910" s="1" t="s">
        <v>957</v>
      </c>
      <c r="R910" s="1" t="s">
        <v>37</v>
      </c>
      <c r="S910" s="1" t="s">
        <v>37</v>
      </c>
      <c r="T910" s="1" t="s">
        <v>37</v>
      </c>
      <c r="U910" s="1" t="s">
        <v>37</v>
      </c>
    </row>
    <row r="911" spans="1:21">
      <c r="A911" s="1" t="s">
        <v>5030</v>
      </c>
      <c r="B911" s="1" t="s">
        <v>115</v>
      </c>
      <c r="C911" s="1" t="s">
        <v>116</v>
      </c>
      <c r="D911" s="1" t="s">
        <v>41</v>
      </c>
      <c r="E911" s="1" t="s">
        <v>25</v>
      </c>
      <c r="F911" s="1" t="s">
        <v>53</v>
      </c>
      <c r="G911" s="1" t="s">
        <v>5031</v>
      </c>
      <c r="H911" s="1" t="s">
        <v>99</v>
      </c>
      <c r="I911" s="1" t="s">
        <v>5032</v>
      </c>
      <c r="J911" s="1" t="s">
        <v>5033</v>
      </c>
      <c r="K911" s="1" t="s">
        <v>67</v>
      </c>
      <c r="L911" s="1" t="s">
        <v>5034</v>
      </c>
      <c r="M911" s="1" t="s">
        <v>59</v>
      </c>
      <c r="N911" s="1" t="s">
        <v>5035</v>
      </c>
      <c r="O911" s="1" t="s">
        <v>35</v>
      </c>
      <c r="P911" s="1" t="s">
        <v>5032</v>
      </c>
      <c r="Q911" s="1" t="s">
        <v>791</v>
      </c>
      <c r="R911" s="1" t="s">
        <v>37</v>
      </c>
      <c r="S911" s="1" t="s">
        <v>37</v>
      </c>
      <c r="T911" s="1" t="s">
        <v>37</v>
      </c>
      <c r="U911" s="1" t="s">
        <v>37</v>
      </c>
    </row>
    <row r="912" spans="1:21">
      <c r="A912" s="1" t="s">
        <v>5036</v>
      </c>
      <c r="B912" s="1" t="s">
        <v>115</v>
      </c>
      <c r="C912" s="1" t="s">
        <v>116</v>
      </c>
      <c r="D912" s="1" t="s">
        <v>24</v>
      </c>
      <c r="E912" s="1" t="s">
        <v>25</v>
      </c>
      <c r="F912" s="1" t="s">
        <v>117</v>
      </c>
      <c r="G912" s="1" t="s">
        <v>5037</v>
      </c>
      <c r="H912" s="1" t="s">
        <v>119</v>
      </c>
      <c r="I912" s="1" t="s">
        <v>5038</v>
      </c>
      <c r="J912" s="1" t="s">
        <v>5039</v>
      </c>
      <c r="K912" s="1" t="s">
        <v>459</v>
      </c>
      <c r="L912" s="1" t="s">
        <v>1862</v>
      </c>
      <c r="M912" s="1" t="s">
        <v>59</v>
      </c>
      <c r="N912" s="1" t="s">
        <v>939</v>
      </c>
      <c r="O912" s="1" t="s">
        <v>35</v>
      </c>
      <c r="P912" s="1" t="s">
        <v>5038</v>
      </c>
      <c r="Q912" s="1" t="s">
        <v>663</v>
      </c>
      <c r="R912" s="1" t="s">
        <v>37</v>
      </c>
      <c r="S912" s="1" t="s">
        <v>37</v>
      </c>
      <c r="T912" s="1" t="s">
        <v>37</v>
      </c>
      <c r="U912" s="1" t="s">
        <v>37</v>
      </c>
    </row>
    <row r="913" spans="1:21">
      <c r="A913" s="1" t="s">
        <v>5040</v>
      </c>
      <c r="B913" s="1" t="s">
        <v>39</v>
      </c>
      <c r="C913" s="1" t="s">
        <v>40</v>
      </c>
      <c r="D913" s="1" t="s">
        <v>41</v>
      </c>
      <c r="E913" s="1" t="s">
        <v>25</v>
      </c>
      <c r="F913" s="1" t="s">
        <v>42</v>
      </c>
      <c r="G913" s="1" t="s">
        <v>5041</v>
      </c>
      <c r="H913" s="1" t="s">
        <v>129</v>
      </c>
      <c r="I913" s="1" t="s">
        <v>5042</v>
      </c>
      <c r="J913" s="1" t="s">
        <v>5043</v>
      </c>
      <c r="K913" s="1" t="s">
        <v>823</v>
      </c>
      <c r="L913" s="1" t="s">
        <v>3079</v>
      </c>
      <c r="M913" s="1" t="s">
        <v>33</v>
      </c>
      <c r="N913" s="1" t="s">
        <v>5044</v>
      </c>
      <c r="O913" s="1" t="s">
        <v>35</v>
      </c>
      <c r="P913" s="1" t="s">
        <v>5042</v>
      </c>
      <c r="Q913" s="1" t="s">
        <v>198</v>
      </c>
      <c r="R913" s="1" t="s">
        <v>37</v>
      </c>
      <c r="S913" s="1" t="s">
        <v>37</v>
      </c>
      <c r="T913" s="1" t="s">
        <v>37</v>
      </c>
      <c r="U913" s="1" t="s">
        <v>37</v>
      </c>
    </row>
    <row r="914" spans="1:21">
      <c r="A914" s="1" t="s">
        <v>5045</v>
      </c>
      <c r="B914" s="1" t="s">
        <v>22</v>
      </c>
      <c r="C914" s="1" t="s">
        <v>23</v>
      </c>
      <c r="D914" s="1" t="s">
        <v>41</v>
      </c>
      <c r="E914" s="1" t="s">
        <v>25</v>
      </c>
      <c r="F914" s="1" t="s">
        <v>53</v>
      </c>
      <c r="G914" s="1" t="s">
        <v>5046</v>
      </c>
      <c r="H914" s="1" t="s">
        <v>64</v>
      </c>
      <c r="I914" s="1" t="s">
        <v>5047</v>
      </c>
      <c r="J914" s="1" t="s">
        <v>5048</v>
      </c>
      <c r="K914" s="1" t="s">
        <v>156</v>
      </c>
      <c r="L914" s="1" t="s">
        <v>5049</v>
      </c>
      <c r="M914" s="1" t="s">
        <v>49</v>
      </c>
      <c r="N914" s="1" t="s">
        <v>5050</v>
      </c>
      <c r="O914" s="1" t="s">
        <v>35</v>
      </c>
      <c r="P914" s="1" t="s">
        <v>5047</v>
      </c>
      <c r="Q914" s="1" t="s">
        <v>143</v>
      </c>
      <c r="R914" s="1" t="s">
        <v>37</v>
      </c>
      <c r="S914" s="1" t="s">
        <v>37</v>
      </c>
      <c r="T914" s="1" t="s">
        <v>37</v>
      </c>
      <c r="U914" s="1" t="s">
        <v>37</v>
      </c>
    </row>
    <row r="915" spans="1:21">
      <c r="A915" s="1" t="s">
        <v>5051</v>
      </c>
      <c r="B915" s="1" t="s">
        <v>22</v>
      </c>
      <c r="C915" s="1" t="s">
        <v>23</v>
      </c>
      <c r="D915" s="1" t="s">
        <v>24</v>
      </c>
      <c r="E915" s="1" t="s">
        <v>992</v>
      </c>
      <c r="F915" s="1" t="s">
        <v>127</v>
      </c>
      <c r="G915" s="1" t="s">
        <v>2774</v>
      </c>
      <c r="H915" s="1" t="s">
        <v>64</v>
      </c>
      <c r="I915" s="1" t="s">
        <v>5052</v>
      </c>
      <c r="J915" s="1" t="s">
        <v>5053</v>
      </c>
      <c r="K915" s="1" t="s">
        <v>1452</v>
      </c>
      <c r="L915" s="1" t="s">
        <v>1225</v>
      </c>
      <c r="M915" s="1" t="s">
        <v>33</v>
      </c>
      <c r="N915" s="1" t="s">
        <v>5054</v>
      </c>
      <c r="O915" s="1" t="s">
        <v>35</v>
      </c>
      <c r="P915" s="1" t="s">
        <v>5052</v>
      </c>
      <c r="Q915" s="1" t="s">
        <v>338</v>
      </c>
      <c r="R915" s="1" t="s">
        <v>37</v>
      </c>
      <c r="S915" s="1" t="s">
        <v>37</v>
      </c>
      <c r="T915" s="1" t="s">
        <v>37</v>
      </c>
      <c r="U915" s="1" t="s">
        <v>37</v>
      </c>
    </row>
    <row r="916" spans="1:21">
      <c r="A916" s="1" t="s">
        <v>5055</v>
      </c>
      <c r="B916" s="1" t="s">
        <v>22</v>
      </c>
      <c r="C916" s="1" t="s">
        <v>23</v>
      </c>
      <c r="D916" s="1" t="s">
        <v>24</v>
      </c>
      <c r="E916" s="1" t="s">
        <v>25</v>
      </c>
      <c r="F916" s="1" t="s">
        <v>117</v>
      </c>
      <c r="G916" s="1" t="s">
        <v>5056</v>
      </c>
      <c r="H916" s="1" t="s">
        <v>119</v>
      </c>
      <c r="I916" s="1" t="s">
        <v>5057</v>
      </c>
      <c r="J916" s="1" t="s">
        <v>5058</v>
      </c>
      <c r="K916" s="1" t="s">
        <v>93</v>
      </c>
      <c r="L916" s="1" t="s">
        <v>350</v>
      </c>
      <c r="M916" s="1" t="s">
        <v>49</v>
      </c>
      <c r="N916" s="1" t="s">
        <v>5059</v>
      </c>
      <c r="O916" s="1" t="s">
        <v>35</v>
      </c>
      <c r="P916" s="1" t="s">
        <v>5057</v>
      </c>
      <c r="Q916" s="1" t="s">
        <v>96</v>
      </c>
      <c r="R916" s="1" t="s">
        <v>37</v>
      </c>
      <c r="S916" s="1" t="s">
        <v>37</v>
      </c>
      <c r="T916" s="1" t="s">
        <v>37</v>
      </c>
      <c r="U916" s="1" t="s">
        <v>37</v>
      </c>
    </row>
    <row r="917" spans="1:21">
      <c r="A917" s="1" t="s">
        <v>5060</v>
      </c>
      <c r="B917" s="1" t="s">
        <v>39</v>
      </c>
      <c r="C917" s="1" t="s">
        <v>40</v>
      </c>
      <c r="D917" s="1" t="s">
        <v>41</v>
      </c>
      <c r="E917" s="1" t="s">
        <v>25</v>
      </c>
      <c r="F917" s="1" t="s">
        <v>42</v>
      </c>
      <c r="G917" s="1" t="s">
        <v>5061</v>
      </c>
      <c r="H917" s="1" t="s">
        <v>90</v>
      </c>
      <c r="I917" s="1" t="s">
        <v>5062</v>
      </c>
      <c r="J917" s="1" t="s">
        <v>5063</v>
      </c>
      <c r="K917" s="1" t="s">
        <v>356</v>
      </c>
      <c r="L917" s="1" t="s">
        <v>2963</v>
      </c>
      <c r="M917" s="1" t="s">
        <v>49</v>
      </c>
      <c r="N917" s="1" t="s">
        <v>5064</v>
      </c>
      <c r="O917" s="1" t="s">
        <v>35</v>
      </c>
      <c r="P917" s="1" t="s">
        <v>5062</v>
      </c>
      <c r="Q917" s="1" t="s">
        <v>87</v>
      </c>
      <c r="R917" s="1" t="s">
        <v>37</v>
      </c>
      <c r="S917" s="1" t="s">
        <v>37</v>
      </c>
      <c r="T917" s="1" t="s">
        <v>37</v>
      </c>
      <c r="U917" s="1" t="s">
        <v>37</v>
      </c>
    </row>
    <row r="918" spans="1:21">
      <c r="A918" s="1" t="s">
        <v>5065</v>
      </c>
      <c r="B918" s="1" t="s">
        <v>39</v>
      </c>
      <c r="C918" s="1" t="s">
        <v>40</v>
      </c>
      <c r="D918" s="1" t="s">
        <v>24</v>
      </c>
      <c r="E918" s="1" t="s">
        <v>992</v>
      </c>
      <c r="F918" s="1" t="s">
        <v>72</v>
      </c>
      <c r="G918" s="1" t="s">
        <v>5066</v>
      </c>
      <c r="H918" s="1" t="s">
        <v>253</v>
      </c>
      <c r="I918" s="1" t="s">
        <v>5067</v>
      </c>
      <c r="J918" s="1" t="s">
        <v>5068</v>
      </c>
      <c r="K918" s="1" t="s">
        <v>1718</v>
      </c>
      <c r="L918" s="1" t="s">
        <v>278</v>
      </c>
      <c r="M918" s="1" t="s">
        <v>59</v>
      </c>
      <c r="N918" s="1" t="s">
        <v>5066</v>
      </c>
      <c r="O918" s="1" t="s">
        <v>35</v>
      </c>
      <c r="P918" s="1" t="s">
        <v>5067</v>
      </c>
      <c r="Q918" s="1" t="s">
        <v>484</v>
      </c>
      <c r="R918" s="1" t="s">
        <v>37</v>
      </c>
      <c r="S918" s="1" t="s">
        <v>37</v>
      </c>
      <c r="T918" s="1" t="s">
        <v>37</v>
      </c>
      <c r="U918" s="1" t="s">
        <v>37</v>
      </c>
    </row>
    <row r="919" spans="1:21">
      <c r="A919" s="1" t="s">
        <v>5069</v>
      </c>
      <c r="B919" s="1" t="s">
        <v>22</v>
      </c>
      <c r="C919" s="1" t="s">
        <v>23</v>
      </c>
      <c r="D919" s="1" t="s">
        <v>41</v>
      </c>
      <c r="E919" s="1" t="s">
        <v>25</v>
      </c>
      <c r="F919" s="1" t="s">
        <v>127</v>
      </c>
      <c r="G919" s="1" t="s">
        <v>5070</v>
      </c>
      <c r="H919" s="1" t="s">
        <v>129</v>
      </c>
      <c r="I919" s="1" t="s">
        <v>5071</v>
      </c>
      <c r="J919" s="1" t="s">
        <v>5072</v>
      </c>
      <c r="K919" s="1" t="s">
        <v>179</v>
      </c>
      <c r="L919" s="1" t="s">
        <v>1188</v>
      </c>
      <c r="M919" s="1" t="s">
        <v>49</v>
      </c>
      <c r="N919" s="1" t="s">
        <v>5073</v>
      </c>
      <c r="O919" s="1" t="s">
        <v>35</v>
      </c>
      <c r="P919" s="1" t="s">
        <v>5071</v>
      </c>
      <c r="Q919" s="1" t="s">
        <v>143</v>
      </c>
      <c r="R919" s="1" t="s">
        <v>37</v>
      </c>
      <c r="S919" s="1" t="s">
        <v>37</v>
      </c>
      <c r="T919" s="1" t="s">
        <v>37</v>
      </c>
      <c r="U919" s="1" t="s">
        <v>37</v>
      </c>
    </row>
    <row r="920" spans="1:21">
      <c r="A920" s="1" t="s">
        <v>5074</v>
      </c>
      <c r="B920" s="1" t="s">
        <v>115</v>
      </c>
      <c r="C920" s="1" t="s">
        <v>116</v>
      </c>
      <c r="D920" s="1" t="s">
        <v>41</v>
      </c>
      <c r="E920" s="1" t="s">
        <v>992</v>
      </c>
      <c r="F920" s="1" t="s">
        <v>53</v>
      </c>
      <c r="G920" s="1" t="s">
        <v>5075</v>
      </c>
      <c r="H920" s="1" t="s">
        <v>119</v>
      </c>
      <c r="I920" s="1" t="s">
        <v>5076</v>
      </c>
      <c r="J920" s="1" t="s">
        <v>5077</v>
      </c>
      <c r="K920" s="1" t="s">
        <v>1008</v>
      </c>
      <c r="L920" s="1" t="s">
        <v>460</v>
      </c>
      <c r="M920" s="1" t="s">
        <v>33</v>
      </c>
      <c r="N920" s="1" t="s">
        <v>5078</v>
      </c>
      <c r="O920" s="1" t="s">
        <v>35</v>
      </c>
      <c r="P920" s="1" t="s">
        <v>5076</v>
      </c>
      <c r="Q920" s="1" t="s">
        <v>576</v>
      </c>
      <c r="R920" s="1" t="s">
        <v>37</v>
      </c>
      <c r="S920" s="1" t="s">
        <v>37</v>
      </c>
      <c r="T920" s="1" t="s">
        <v>37</v>
      </c>
      <c r="U920" s="1" t="s">
        <v>37</v>
      </c>
    </row>
    <row r="921" spans="1:21">
      <c r="A921" s="1" t="s">
        <v>5079</v>
      </c>
      <c r="B921" s="1" t="s">
        <v>115</v>
      </c>
      <c r="C921" s="1" t="s">
        <v>116</v>
      </c>
      <c r="D921" s="1" t="s">
        <v>24</v>
      </c>
      <c r="E921" s="1" t="s">
        <v>25</v>
      </c>
      <c r="F921" s="1" t="s">
        <v>42</v>
      </c>
      <c r="G921" s="1" t="s">
        <v>2288</v>
      </c>
      <c r="H921" s="1" t="s">
        <v>119</v>
      </c>
      <c r="I921" s="1" t="s">
        <v>5080</v>
      </c>
      <c r="J921" s="1" t="s">
        <v>5081</v>
      </c>
      <c r="K921" s="1" t="s">
        <v>240</v>
      </c>
      <c r="L921" s="1" t="s">
        <v>4826</v>
      </c>
      <c r="M921" s="1" t="s">
        <v>33</v>
      </c>
      <c r="N921" s="1" t="s">
        <v>5082</v>
      </c>
      <c r="O921" s="1" t="s">
        <v>35</v>
      </c>
      <c r="P921" s="1" t="s">
        <v>5080</v>
      </c>
      <c r="Q921" s="1" t="s">
        <v>359</v>
      </c>
      <c r="R921" s="1" t="s">
        <v>37</v>
      </c>
      <c r="S921" s="1" t="s">
        <v>37</v>
      </c>
      <c r="T921" s="1" t="s">
        <v>37</v>
      </c>
      <c r="U921" s="1" t="s">
        <v>37</v>
      </c>
    </row>
    <row r="922" spans="1:21">
      <c r="A922" s="1" t="s">
        <v>5083</v>
      </c>
      <c r="B922" s="1" t="s">
        <v>39</v>
      </c>
      <c r="C922" s="1" t="s">
        <v>40</v>
      </c>
      <c r="D922" s="1" t="s">
        <v>24</v>
      </c>
      <c r="E922" s="1" t="s">
        <v>25</v>
      </c>
      <c r="F922" s="1" t="s">
        <v>53</v>
      </c>
      <c r="G922" s="1" t="s">
        <v>5084</v>
      </c>
      <c r="H922" s="1" t="s">
        <v>275</v>
      </c>
      <c r="I922" s="1" t="s">
        <v>5085</v>
      </c>
      <c r="J922" s="1" t="s">
        <v>5086</v>
      </c>
      <c r="K922" s="1" t="s">
        <v>262</v>
      </c>
      <c r="L922" s="1" t="s">
        <v>3388</v>
      </c>
      <c r="M922" s="1" t="s">
        <v>59</v>
      </c>
      <c r="N922" s="1" t="s">
        <v>5087</v>
      </c>
      <c r="O922" s="1" t="s">
        <v>35</v>
      </c>
      <c r="P922" s="1" t="s">
        <v>5085</v>
      </c>
      <c r="Q922" s="1" t="s">
        <v>220</v>
      </c>
      <c r="R922" s="1" t="s">
        <v>37</v>
      </c>
      <c r="S922" s="1" t="s">
        <v>37</v>
      </c>
      <c r="T922" s="1" t="s">
        <v>37</v>
      </c>
      <c r="U922" s="1" t="s">
        <v>37</v>
      </c>
    </row>
    <row r="923" spans="1:21">
      <c r="A923" s="1" t="s">
        <v>5088</v>
      </c>
      <c r="B923" s="1" t="s">
        <v>115</v>
      </c>
      <c r="C923" s="1" t="s">
        <v>116</v>
      </c>
      <c r="D923" s="1" t="s">
        <v>41</v>
      </c>
      <c r="E923" s="1" t="s">
        <v>25</v>
      </c>
      <c r="F923" s="1" t="s">
        <v>53</v>
      </c>
      <c r="G923" s="1" t="s">
        <v>5089</v>
      </c>
      <c r="H923" s="1" t="s">
        <v>90</v>
      </c>
      <c r="I923" s="1" t="s">
        <v>5090</v>
      </c>
      <c r="J923" s="1" t="s">
        <v>5091</v>
      </c>
      <c r="K923" s="1" t="s">
        <v>76</v>
      </c>
      <c r="L923" s="1" t="s">
        <v>5092</v>
      </c>
      <c r="M923" s="1" t="s">
        <v>49</v>
      </c>
      <c r="N923" s="1" t="s">
        <v>5093</v>
      </c>
      <c r="O923" s="1" t="s">
        <v>35</v>
      </c>
      <c r="P923" s="1" t="s">
        <v>5090</v>
      </c>
      <c r="Q923" s="1" t="s">
        <v>28</v>
      </c>
      <c r="R923" s="1" t="s">
        <v>37</v>
      </c>
      <c r="S923" s="1" t="s">
        <v>37</v>
      </c>
      <c r="T923" s="1" t="s">
        <v>37</v>
      </c>
      <c r="U923" s="1" t="s">
        <v>37</v>
      </c>
    </row>
    <row r="924" spans="1:21">
      <c r="A924" s="1" t="s">
        <v>5094</v>
      </c>
      <c r="B924" s="1" t="s">
        <v>39</v>
      </c>
      <c r="C924" s="1" t="s">
        <v>40</v>
      </c>
      <c r="D924" s="1" t="s">
        <v>24</v>
      </c>
      <c r="E924" s="1" t="s">
        <v>25</v>
      </c>
      <c r="F924" s="1" t="s">
        <v>53</v>
      </c>
      <c r="G924" s="1" t="s">
        <v>5095</v>
      </c>
      <c r="H924" s="1" t="s">
        <v>107</v>
      </c>
      <c r="I924" s="1" t="s">
        <v>5096</v>
      </c>
      <c r="J924" s="1" t="s">
        <v>5097</v>
      </c>
      <c r="K924" s="1" t="s">
        <v>1008</v>
      </c>
      <c r="L924" s="1" t="s">
        <v>2806</v>
      </c>
      <c r="M924" s="1" t="s">
        <v>59</v>
      </c>
      <c r="N924" s="1" t="s">
        <v>5098</v>
      </c>
      <c r="O924" s="1" t="s">
        <v>35</v>
      </c>
      <c r="P924" s="1" t="s">
        <v>5096</v>
      </c>
      <c r="Q924" s="1" t="s">
        <v>849</v>
      </c>
      <c r="R924" s="1" t="s">
        <v>37</v>
      </c>
      <c r="S924" s="1" t="s">
        <v>37</v>
      </c>
      <c r="T924" s="1" t="s">
        <v>37</v>
      </c>
      <c r="U924" s="1" t="s">
        <v>37</v>
      </c>
    </row>
    <row r="925" spans="1:21">
      <c r="A925" s="1" t="s">
        <v>5099</v>
      </c>
      <c r="B925" s="1" t="s">
        <v>39</v>
      </c>
      <c r="C925" s="1" t="s">
        <v>40</v>
      </c>
      <c r="D925" s="1" t="s">
        <v>41</v>
      </c>
      <c r="E925" s="1" t="s">
        <v>25</v>
      </c>
      <c r="F925" s="1" t="s">
        <v>72</v>
      </c>
      <c r="G925" s="1" t="s">
        <v>5100</v>
      </c>
      <c r="H925" s="1" t="s">
        <v>28</v>
      </c>
      <c r="I925" s="1" t="s">
        <v>5101</v>
      </c>
      <c r="J925" s="1" t="s">
        <v>5102</v>
      </c>
      <c r="K925" s="1" t="s">
        <v>110</v>
      </c>
      <c r="L925" s="1" t="s">
        <v>3134</v>
      </c>
      <c r="M925" s="1" t="s">
        <v>59</v>
      </c>
      <c r="N925" s="1" t="s">
        <v>5103</v>
      </c>
      <c r="O925" s="1" t="s">
        <v>35</v>
      </c>
      <c r="P925" s="1" t="s">
        <v>5101</v>
      </c>
      <c r="Q925" s="1" t="s">
        <v>468</v>
      </c>
      <c r="R925" s="1" t="s">
        <v>37</v>
      </c>
      <c r="S925" s="1" t="s">
        <v>37</v>
      </c>
      <c r="T925" s="1" t="s">
        <v>37</v>
      </c>
      <c r="U925" s="1" t="s">
        <v>37</v>
      </c>
    </row>
    <row r="926" spans="1:21">
      <c r="A926" s="1" t="s">
        <v>5104</v>
      </c>
      <c r="B926" s="1" t="s">
        <v>39</v>
      </c>
      <c r="C926" s="1" t="s">
        <v>40</v>
      </c>
      <c r="D926" s="1" t="s">
        <v>24</v>
      </c>
      <c r="E926" s="1" t="s">
        <v>25</v>
      </c>
      <c r="F926" s="1" t="s">
        <v>72</v>
      </c>
      <c r="G926" s="1" t="s">
        <v>5105</v>
      </c>
      <c r="H926" s="1" t="s">
        <v>90</v>
      </c>
      <c r="I926" s="1" t="s">
        <v>5106</v>
      </c>
      <c r="J926" s="1" t="s">
        <v>5107</v>
      </c>
      <c r="K926" s="1" t="s">
        <v>1718</v>
      </c>
      <c r="L926" s="1" t="s">
        <v>5108</v>
      </c>
      <c r="M926" s="1" t="s">
        <v>33</v>
      </c>
      <c r="N926" s="1" t="s">
        <v>5109</v>
      </c>
      <c r="O926" s="1" t="s">
        <v>35</v>
      </c>
      <c r="P926" s="1" t="s">
        <v>5106</v>
      </c>
      <c r="Q926" s="1" t="s">
        <v>434</v>
      </c>
      <c r="R926" s="1" t="s">
        <v>37</v>
      </c>
      <c r="S926" s="1" t="s">
        <v>37</v>
      </c>
      <c r="T926" s="1" t="s">
        <v>37</v>
      </c>
      <c r="U926" s="1" t="s">
        <v>37</v>
      </c>
    </row>
    <row r="927" spans="1:21">
      <c r="A927" s="1" t="s">
        <v>5110</v>
      </c>
      <c r="B927" s="1" t="s">
        <v>115</v>
      </c>
      <c r="C927" s="1" t="s">
        <v>116</v>
      </c>
      <c r="D927" s="1" t="s">
        <v>41</v>
      </c>
      <c r="E927" s="1" t="s">
        <v>25</v>
      </c>
      <c r="F927" s="1" t="s">
        <v>42</v>
      </c>
      <c r="G927" s="1" t="s">
        <v>5111</v>
      </c>
      <c r="H927" s="1" t="s">
        <v>129</v>
      </c>
      <c r="I927" s="1" t="s">
        <v>5112</v>
      </c>
      <c r="J927" s="1" t="s">
        <v>5113</v>
      </c>
      <c r="K927" s="1" t="s">
        <v>110</v>
      </c>
      <c r="L927" s="1" t="s">
        <v>5114</v>
      </c>
      <c r="M927" s="1" t="s">
        <v>33</v>
      </c>
      <c r="N927" s="1" t="s">
        <v>5115</v>
      </c>
      <c r="O927" s="1" t="s">
        <v>35</v>
      </c>
      <c r="P927" s="1" t="s">
        <v>5112</v>
      </c>
      <c r="Q927" s="1" t="s">
        <v>275</v>
      </c>
      <c r="R927" s="1" t="s">
        <v>37</v>
      </c>
      <c r="S927" s="1" t="s">
        <v>37</v>
      </c>
      <c r="T927" s="1" t="s">
        <v>37</v>
      </c>
      <c r="U927" s="1" t="s">
        <v>37</v>
      </c>
    </row>
    <row r="928" spans="1:21">
      <c r="A928" s="1" t="s">
        <v>5116</v>
      </c>
      <c r="B928" s="1" t="s">
        <v>115</v>
      </c>
      <c r="C928" s="1" t="s">
        <v>116</v>
      </c>
      <c r="D928" s="1" t="s">
        <v>24</v>
      </c>
      <c r="E928" s="1" t="s">
        <v>992</v>
      </c>
      <c r="F928" s="1" t="s">
        <v>72</v>
      </c>
      <c r="G928" s="1" t="s">
        <v>5117</v>
      </c>
      <c r="H928" s="1" t="s">
        <v>253</v>
      </c>
      <c r="I928" s="1" t="s">
        <v>5118</v>
      </c>
      <c r="J928" s="1" t="s">
        <v>5119</v>
      </c>
      <c r="K928" s="1" t="s">
        <v>489</v>
      </c>
      <c r="L928" s="1" t="s">
        <v>1380</v>
      </c>
      <c r="M928" s="1" t="s">
        <v>59</v>
      </c>
      <c r="N928" s="1" t="s">
        <v>5117</v>
      </c>
      <c r="O928" s="1" t="s">
        <v>35</v>
      </c>
      <c r="P928" s="1" t="s">
        <v>5118</v>
      </c>
      <c r="Q928" s="1" t="s">
        <v>849</v>
      </c>
      <c r="R928" s="1" t="s">
        <v>37</v>
      </c>
      <c r="S928" s="1" t="s">
        <v>37</v>
      </c>
      <c r="T928" s="1" t="s">
        <v>37</v>
      </c>
      <c r="U928" s="1" t="s">
        <v>37</v>
      </c>
    </row>
    <row r="929" spans="1:21">
      <c r="A929" s="1" t="s">
        <v>5120</v>
      </c>
      <c r="B929" s="1" t="s">
        <v>22</v>
      </c>
      <c r="C929" s="1" t="s">
        <v>23</v>
      </c>
      <c r="D929" s="1" t="s">
        <v>24</v>
      </c>
      <c r="E929" s="1" t="s">
        <v>25</v>
      </c>
      <c r="F929" s="1" t="s">
        <v>26</v>
      </c>
      <c r="G929" s="1" t="s">
        <v>921</v>
      </c>
      <c r="H929" s="1" t="s">
        <v>275</v>
      </c>
      <c r="I929" s="1" t="s">
        <v>5121</v>
      </c>
      <c r="J929" s="1" t="s">
        <v>5122</v>
      </c>
      <c r="K929" s="1" t="s">
        <v>588</v>
      </c>
      <c r="L929" s="1" t="s">
        <v>2301</v>
      </c>
      <c r="M929" s="1" t="s">
        <v>59</v>
      </c>
      <c r="N929" s="1" t="s">
        <v>5123</v>
      </c>
      <c r="O929" s="1" t="s">
        <v>35</v>
      </c>
      <c r="P929" s="1" t="s">
        <v>5121</v>
      </c>
      <c r="Q929" s="1" t="s">
        <v>143</v>
      </c>
      <c r="R929" s="1" t="s">
        <v>37</v>
      </c>
      <c r="S929" s="1" t="s">
        <v>37</v>
      </c>
      <c r="T929" s="1" t="s">
        <v>37</v>
      </c>
      <c r="U929" s="1" t="s">
        <v>37</v>
      </c>
    </row>
    <row r="930" spans="1:21">
      <c r="A930" s="1" t="s">
        <v>5124</v>
      </c>
      <c r="B930" s="1" t="s">
        <v>115</v>
      </c>
      <c r="C930" s="1" t="s">
        <v>116</v>
      </c>
      <c r="D930" s="1" t="s">
        <v>41</v>
      </c>
      <c r="E930" s="1" t="s">
        <v>25</v>
      </c>
      <c r="F930" s="1" t="s">
        <v>42</v>
      </c>
      <c r="G930" s="1" t="s">
        <v>5125</v>
      </c>
      <c r="H930" s="1" t="s">
        <v>275</v>
      </c>
      <c r="I930" s="1" t="s">
        <v>5126</v>
      </c>
      <c r="J930" s="1" t="s">
        <v>5127</v>
      </c>
      <c r="K930" s="1" t="s">
        <v>489</v>
      </c>
      <c r="L930" s="1" t="s">
        <v>1982</v>
      </c>
      <c r="M930" s="1" t="s">
        <v>59</v>
      </c>
      <c r="N930" s="1" t="s">
        <v>5128</v>
      </c>
      <c r="O930" s="1" t="s">
        <v>35</v>
      </c>
      <c r="P930" s="1" t="s">
        <v>5126</v>
      </c>
      <c r="Q930" s="1" t="s">
        <v>338</v>
      </c>
      <c r="R930" s="1" t="s">
        <v>37</v>
      </c>
      <c r="S930" s="1" t="s">
        <v>37</v>
      </c>
      <c r="T930" s="1" t="s">
        <v>37</v>
      </c>
      <c r="U930" s="1" t="s">
        <v>37</v>
      </c>
    </row>
    <row r="931" spans="1:21">
      <c r="A931" s="1" t="s">
        <v>5129</v>
      </c>
      <c r="B931" s="1" t="s">
        <v>115</v>
      </c>
      <c r="C931" s="1" t="s">
        <v>116</v>
      </c>
      <c r="D931" s="1" t="s">
        <v>41</v>
      </c>
      <c r="E931" s="1" t="s">
        <v>992</v>
      </c>
      <c r="F931" s="1" t="s">
        <v>72</v>
      </c>
      <c r="G931" s="1" t="s">
        <v>5130</v>
      </c>
      <c r="H931" s="1" t="s">
        <v>107</v>
      </c>
      <c r="I931" s="1" t="s">
        <v>5131</v>
      </c>
      <c r="J931" s="1" t="s">
        <v>5132</v>
      </c>
      <c r="K931" s="1" t="s">
        <v>240</v>
      </c>
      <c r="L931" s="1" t="s">
        <v>1561</v>
      </c>
      <c r="M931" s="1" t="s">
        <v>33</v>
      </c>
      <c r="N931" s="1" t="s">
        <v>5133</v>
      </c>
      <c r="O931" s="1" t="s">
        <v>35</v>
      </c>
      <c r="P931" s="1" t="s">
        <v>5131</v>
      </c>
      <c r="Q931" s="1" t="s">
        <v>113</v>
      </c>
      <c r="R931" s="1" t="s">
        <v>37</v>
      </c>
      <c r="S931" s="1" t="s">
        <v>37</v>
      </c>
      <c r="T931" s="1" t="s">
        <v>37</v>
      </c>
      <c r="U931" s="1" t="s">
        <v>37</v>
      </c>
    </row>
    <row r="932" spans="1:21">
      <c r="A932" s="1" t="s">
        <v>5134</v>
      </c>
      <c r="B932" s="1" t="s">
        <v>115</v>
      </c>
      <c r="C932" s="1" t="s">
        <v>116</v>
      </c>
      <c r="D932" s="1" t="s">
        <v>41</v>
      </c>
      <c r="E932" s="1" t="s">
        <v>992</v>
      </c>
      <c r="F932" s="1" t="s">
        <v>53</v>
      </c>
      <c r="G932" s="1" t="s">
        <v>5135</v>
      </c>
      <c r="H932" s="1" t="s">
        <v>90</v>
      </c>
      <c r="I932" s="1" t="s">
        <v>5136</v>
      </c>
      <c r="J932" s="1" t="s">
        <v>5137</v>
      </c>
      <c r="K932" s="1" t="s">
        <v>788</v>
      </c>
      <c r="L932" s="1" t="s">
        <v>5138</v>
      </c>
      <c r="M932" s="1" t="s">
        <v>33</v>
      </c>
      <c r="N932" s="1" t="s">
        <v>5139</v>
      </c>
      <c r="O932" s="1" t="s">
        <v>35</v>
      </c>
      <c r="P932" s="1" t="s">
        <v>5136</v>
      </c>
      <c r="Q932" s="1" t="s">
        <v>151</v>
      </c>
      <c r="R932" s="1" t="s">
        <v>37</v>
      </c>
      <c r="S932" s="1" t="s">
        <v>37</v>
      </c>
      <c r="T932" s="1" t="s">
        <v>37</v>
      </c>
      <c r="U932" s="1" t="s">
        <v>37</v>
      </c>
    </row>
    <row r="933" spans="1:21">
      <c r="A933" s="1" t="s">
        <v>5140</v>
      </c>
      <c r="B933" s="1" t="s">
        <v>39</v>
      </c>
      <c r="C933" s="1" t="s">
        <v>40</v>
      </c>
      <c r="D933" s="1" t="s">
        <v>24</v>
      </c>
      <c r="E933" s="1" t="s">
        <v>25</v>
      </c>
      <c r="F933" s="1" t="s">
        <v>127</v>
      </c>
      <c r="G933" s="1" t="s">
        <v>5141</v>
      </c>
      <c r="H933" s="1" t="s">
        <v>107</v>
      </c>
      <c r="I933" s="1" t="s">
        <v>5142</v>
      </c>
      <c r="J933" s="1" t="s">
        <v>5143</v>
      </c>
      <c r="K933" s="1" t="s">
        <v>356</v>
      </c>
      <c r="L933" s="1" t="s">
        <v>5144</v>
      </c>
      <c r="M933" s="1" t="s">
        <v>59</v>
      </c>
      <c r="N933" s="1" t="s">
        <v>5145</v>
      </c>
      <c r="O933" s="1" t="s">
        <v>35</v>
      </c>
      <c r="P933" s="1" t="s">
        <v>5142</v>
      </c>
      <c r="Q933" s="1" t="s">
        <v>386</v>
      </c>
      <c r="R933" s="1" t="s">
        <v>37</v>
      </c>
      <c r="S933" s="1" t="s">
        <v>37</v>
      </c>
      <c r="T933" s="1" t="s">
        <v>37</v>
      </c>
      <c r="U933" s="1" t="s">
        <v>37</v>
      </c>
    </row>
    <row r="934" spans="1:21">
      <c r="A934" s="1" t="s">
        <v>5146</v>
      </c>
      <c r="B934" s="1" t="s">
        <v>22</v>
      </c>
      <c r="C934" s="1" t="s">
        <v>23</v>
      </c>
      <c r="D934" s="1" t="s">
        <v>41</v>
      </c>
      <c r="E934" s="1" t="s">
        <v>25</v>
      </c>
      <c r="F934" s="1" t="s">
        <v>117</v>
      </c>
      <c r="G934" s="1" t="s">
        <v>5147</v>
      </c>
      <c r="H934" s="1" t="s">
        <v>99</v>
      </c>
      <c r="I934" s="1" t="s">
        <v>5148</v>
      </c>
      <c r="J934" s="1" t="s">
        <v>5149</v>
      </c>
      <c r="K934" s="1" t="s">
        <v>391</v>
      </c>
      <c r="L934" s="1" t="s">
        <v>2812</v>
      </c>
      <c r="M934" s="1" t="s">
        <v>33</v>
      </c>
      <c r="N934" s="1" t="s">
        <v>5150</v>
      </c>
      <c r="O934" s="1" t="s">
        <v>35</v>
      </c>
      <c r="P934" s="1" t="s">
        <v>5148</v>
      </c>
      <c r="Q934" s="1" t="s">
        <v>220</v>
      </c>
      <c r="R934" s="1" t="s">
        <v>37</v>
      </c>
      <c r="S934" s="1" t="s">
        <v>37</v>
      </c>
      <c r="T934" s="1" t="s">
        <v>37</v>
      </c>
      <c r="U934" s="1" t="s">
        <v>37</v>
      </c>
    </row>
    <row r="935" spans="1:21">
      <c r="A935" s="1" t="s">
        <v>5151</v>
      </c>
      <c r="B935" s="1" t="s">
        <v>39</v>
      </c>
      <c r="C935" s="1" t="s">
        <v>40</v>
      </c>
      <c r="D935" s="1" t="s">
        <v>41</v>
      </c>
      <c r="E935" s="1" t="s">
        <v>992</v>
      </c>
      <c r="F935" s="1" t="s">
        <v>26</v>
      </c>
      <c r="G935" s="1" t="s">
        <v>3865</v>
      </c>
      <c r="H935" s="1" t="s">
        <v>28</v>
      </c>
      <c r="I935" s="1" t="s">
        <v>3866</v>
      </c>
      <c r="J935" s="1" t="s">
        <v>3867</v>
      </c>
      <c r="K935" s="1" t="s">
        <v>473</v>
      </c>
      <c r="L935" s="1" t="s">
        <v>509</v>
      </c>
      <c r="M935" s="1" t="s">
        <v>33</v>
      </c>
      <c r="N935" s="1" t="s">
        <v>3869</v>
      </c>
      <c r="O935" s="1" t="s">
        <v>35</v>
      </c>
      <c r="P935" s="1" t="s">
        <v>3866</v>
      </c>
      <c r="Q935" s="1" t="s">
        <v>338</v>
      </c>
      <c r="R935" s="1" t="s">
        <v>37</v>
      </c>
      <c r="S935" s="1" t="s">
        <v>37</v>
      </c>
      <c r="T935" s="1" t="s">
        <v>37</v>
      </c>
      <c r="U935" s="1" t="s">
        <v>37</v>
      </c>
    </row>
    <row r="936" spans="1:21">
      <c r="A936" s="1" t="s">
        <v>5152</v>
      </c>
      <c r="B936" s="1" t="s">
        <v>115</v>
      </c>
      <c r="C936" s="1" t="s">
        <v>116</v>
      </c>
      <c r="D936" s="1" t="s">
        <v>41</v>
      </c>
      <c r="E936" s="1" t="s">
        <v>25</v>
      </c>
      <c r="F936" s="1" t="s">
        <v>53</v>
      </c>
      <c r="G936" s="1" t="s">
        <v>5153</v>
      </c>
      <c r="H936" s="1" t="s">
        <v>90</v>
      </c>
      <c r="I936" s="1" t="s">
        <v>5154</v>
      </c>
      <c r="J936" s="1" t="s">
        <v>5155</v>
      </c>
      <c r="K936" s="1" t="s">
        <v>1164</v>
      </c>
      <c r="L936" s="1" t="s">
        <v>1396</v>
      </c>
      <c r="M936" s="1" t="s">
        <v>33</v>
      </c>
      <c r="N936" s="1" t="s">
        <v>5156</v>
      </c>
      <c r="O936" s="1" t="s">
        <v>35</v>
      </c>
      <c r="P936" s="1" t="s">
        <v>5154</v>
      </c>
      <c r="Q936" s="1" t="s">
        <v>971</v>
      </c>
      <c r="R936" s="1" t="s">
        <v>37</v>
      </c>
      <c r="S936" s="1" t="s">
        <v>37</v>
      </c>
      <c r="T936" s="1" t="s">
        <v>37</v>
      </c>
      <c r="U936" s="1" t="s">
        <v>37</v>
      </c>
    </row>
    <row r="937" spans="1:21">
      <c r="A937" s="1" t="s">
        <v>5157</v>
      </c>
      <c r="B937" s="1" t="s">
        <v>39</v>
      </c>
      <c r="C937" s="1" t="s">
        <v>40</v>
      </c>
      <c r="D937" s="1" t="s">
        <v>24</v>
      </c>
      <c r="E937" s="1" t="s">
        <v>992</v>
      </c>
      <c r="F937" s="1" t="s">
        <v>53</v>
      </c>
      <c r="G937" s="1" t="s">
        <v>5158</v>
      </c>
      <c r="H937" s="1" t="s">
        <v>119</v>
      </c>
      <c r="I937" s="1" t="s">
        <v>5159</v>
      </c>
      <c r="J937" s="1" t="s">
        <v>5160</v>
      </c>
      <c r="K937" s="1" t="s">
        <v>541</v>
      </c>
      <c r="L937" s="1" t="s">
        <v>963</v>
      </c>
      <c r="M937" s="1" t="s">
        <v>33</v>
      </c>
      <c r="N937" s="1" t="s">
        <v>5161</v>
      </c>
      <c r="O937" s="1" t="s">
        <v>35</v>
      </c>
      <c r="P937" s="1" t="s">
        <v>5159</v>
      </c>
      <c r="Q937" s="1" t="s">
        <v>220</v>
      </c>
      <c r="R937" s="1" t="s">
        <v>37</v>
      </c>
      <c r="S937" s="1" t="s">
        <v>37</v>
      </c>
      <c r="T937" s="1" t="s">
        <v>37</v>
      </c>
      <c r="U937" s="1" t="s">
        <v>37</v>
      </c>
    </row>
    <row r="938" spans="1:21">
      <c r="A938" s="1" t="s">
        <v>5162</v>
      </c>
      <c r="B938" s="1" t="s">
        <v>39</v>
      </c>
      <c r="C938" s="1" t="s">
        <v>40</v>
      </c>
      <c r="D938" s="1" t="s">
        <v>41</v>
      </c>
      <c r="E938" s="1" t="s">
        <v>25</v>
      </c>
      <c r="F938" s="1" t="s">
        <v>26</v>
      </c>
      <c r="G938" s="1" t="s">
        <v>5163</v>
      </c>
      <c r="H938" s="1" t="s">
        <v>28</v>
      </c>
      <c r="I938" s="1" t="s">
        <v>5164</v>
      </c>
      <c r="J938" s="1" t="s">
        <v>5165</v>
      </c>
      <c r="K938" s="1" t="s">
        <v>31</v>
      </c>
      <c r="L938" s="1" t="s">
        <v>271</v>
      </c>
      <c r="M938" s="1" t="s">
        <v>33</v>
      </c>
      <c r="N938" s="1" t="s">
        <v>5166</v>
      </c>
      <c r="O938" s="1" t="s">
        <v>35</v>
      </c>
      <c r="P938" s="1" t="s">
        <v>5164</v>
      </c>
      <c r="Q938" s="1" t="s">
        <v>311</v>
      </c>
      <c r="R938" s="1" t="s">
        <v>37</v>
      </c>
      <c r="S938" s="1" t="s">
        <v>37</v>
      </c>
      <c r="T938" s="1" t="s">
        <v>37</v>
      </c>
      <c r="U938" s="1" t="s">
        <v>37</v>
      </c>
    </row>
    <row r="939" spans="1:21">
      <c r="A939" s="1" t="s">
        <v>5167</v>
      </c>
      <c r="B939" s="1" t="s">
        <v>22</v>
      </c>
      <c r="C939" s="1" t="s">
        <v>23</v>
      </c>
      <c r="D939" s="1" t="s">
        <v>41</v>
      </c>
      <c r="E939" s="1" t="s">
        <v>25</v>
      </c>
      <c r="F939" s="1" t="s">
        <v>72</v>
      </c>
      <c r="G939" s="1" t="s">
        <v>552</v>
      </c>
      <c r="H939" s="1" t="s">
        <v>44</v>
      </c>
      <c r="I939" s="1" t="s">
        <v>5168</v>
      </c>
      <c r="J939" s="1" t="s">
        <v>5169</v>
      </c>
      <c r="K939" s="1" t="s">
        <v>1094</v>
      </c>
      <c r="L939" s="1" t="s">
        <v>3532</v>
      </c>
      <c r="M939" s="1" t="s">
        <v>49</v>
      </c>
      <c r="N939" s="1" t="s">
        <v>5170</v>
      </c>
      <c r="O939" s="1" t="s">
        <v>35</v>
      </c>
      <c r="P939" s="1" t="s">
        <v>5168</v>
      </c>
      <c r="Q939" s="1" t="s">
        <v>61</v>
      </c>
      <c r="R939" s="1" t="s">
        <v>37</v>
      </c>
      <c r="S939" s="1" t="s">
        <v>37</v>
      </c>
      <c r="T939" s="1" t="s">
        <v>37</v>
      </c>
      <c r="U939" s="1" t="s">
        <v>37</v>
      </c>
    </row>
    <row r="940" spans="1:21">
      <c r="A940" s="1" t="s">
        <v>5171</v>
      </c>
      <c r="B940" s="1" t="s">
        <v>22</v>
      </c>
      <c r="C940" s="1" t="s">
        <v>23</v>
      </c>
      <c r="D940" s="1" t="s">
        <v>24</v>
      </c>
      <c r="E940" s="1" t="s">
        <v>25</v>
      </c>
      <c r="F940" s="1" t="s">
        <v>26</v>
      </c>
      <c r="G940" s="1" t="s">
        <v>5172</v>
      </c>
      <c r="H940" s="1" t="s">
        <v>119</v>
      </c>
      <c r="I940" s="1" t="s">
        <v>5173</v>
      </c>
      <c r="J940" s="1" t="s">
        <v>5174</v>
      </c>
      <c r="K940" s="1" t="s">
        <v>232</v>
      </c>
      <c r="L940" s="1" t="s">
        <v>5175</v>
      </c>
      <c r="M940" s="1" t="s">
        <v>49</v>
      </c>
      <c r="N940" s="1" t="s">
        <v>5176</v>
      </c>
      <c r="O940" s="1" t="s">
        <v>35</v>
      </c>
      <c r="P940" s="1" t="s">
        <v>5173</v>
      </c>
      <c r="Q940" s="1" t="s">
        <v>791</v>
      </c>
      <c r="R940" s="1" t="s">
        <v>37</v>
      </c>
      <c r="S940" s="1" t="s">
        <v>37</v>
      </c>
      <c r="T940" s="1" t="s">
        <v>37</v>
      </c>
      <c r="U940" s="1" t="s">
        <v>37</v>
      </c>
    </row>
    <row r="941" spans="1:21">
      <c r="A941" s="1" t="s">
        <v>5177</v>
      </c>
      <c r="B941" s="1" t="s">
        <v>39</v>
      </c>
      <c r="C941" s="1" t="s">
        <v>40</v>
      </c>
      <c r="D941" s="1" t="s">
        <v>41</v>
      </c>
      <c r="E941" s="1" t="s">
        <v>25</v>
      </c>
      <c r="F941" s="1" t="s">
        <v>117</v>
      </c>
      <c r="G941" s="1" t="s">
        <v>5178</v>
      </c>
      <c r="H941" s="1" t="s">
        <v>90</v>
      </c>
      <c r="I941" s="1" t="s">
        <v>5179</v>
      </c>
      <c r="J941" s="1" t="s">
        <v>5180</v>
      </c>
      <c r="K941" s="1" t="s">
        <v>1194</v>
      </c>
      <c r="L941" s="1" t="s">
        <v>589</v>
      </c>
      <c r="M941" s="1" t="s">
        <v>33</v>
      </c>
      <c r="N941" s="1" t="s">
        <v>5181</v>
      </c>
      <c r="O941" s="1" t="s">
        <v>35</v>
      </c>
      <c r="P941" s="1" t="s">
        <v>5179</v>
      </c>
      <c r="Q941" s="1" t="s">
        <v>125</v>
      </c>
      <c r="R941" s="1" t="s">
        <v>37</v>
      </c>
      <c r="S941" s="1" t="s">
        <v>37</v>
      </c>
      <c r="T941" s="1" t="s">
        <v>37</v>
      </c>
      <c r="U941" s="1" t="s">
        <v>37</v>
      </c>
    </row>
    <row r="942" spans="1:21">
      <c r="A942" s="1" t="s">
        <v>5182</v>
      </c>
      <c r="B942" s="1" t="s">
        <v>22</v>
      </c>
      <c r="C942" s="1" t="s">
        <v>23</v>
      </c>
      <c r="D942" s="1" t="s">
        <v>41</v>
      </c>
      <c r="E942" s="1" t="s">
        <v>992</v>
      </c>
      <c r="F942" s="1" t="s">
        <v>117</v>
      </c>
      <c r="G942" s="1" t="s">
        <v>5183</v>
      </c>
      <c r="H942" s="1" t="s">
        <v>129</v>
      </c>
      <c r="I942" s="1" t="s">
        <v>5184</v>
      </c>
      <c r="J942" s="1" t="s">
        <v>5185</v>
      </c>
      <c r="K942" s="1" t="s">
        <v>240</v>
      </c>
      <c r="L942" s="1" t="s">
        <v>731</v>
      </c>
      <c r="M942" s="1" t="s">
        <v>33</v>
      </c>
      <c r="N942" s="1" t="s">
        <v>5186</v>
      </c>
      <c r="O942" s="1" t="s">
        <v>35</v>
      </c>
      <c r="P942" s="1" t="s">
        <v>5184</v>
      </c>
      <c r="Q942" s="1" t="s">
        <v>190</v>
      </c>
      <c r="R942" s="1" t="s">
        <v>37</v>
      </c>
      <c r="S942" s="1" t="s">
        <v>37</v>
      </c>
      <c r="T942" s="1" t="s">
        <v>37</v>
      </c>
      <c r="U942" s="1" t="s">
        <v>37</v>
      </c>
    </row>
    <row r="943" spans="1:21">
      <c r="A943" s="1" t="s">
        <v>5187</v>
      </c>
      <c r="B943" s="1" t="s">
        <v>39</v>
      </c>
      <c r="C943" s="1" t="s">
        <v>40</v>
      </c>
      <c r="D943" s="1" t="s">
        <v>24</v>
      </c>
      <c r="E943" s="1" t="s">
        <v>992</v>
      </c>
      <c r="F943" s="1" t="s">
        <v>127</v>
      </c>
      <c r="G943" s="1" t="s">
        <v>1904</v>
      </c>
      <c r="H943" s="1" t="s">
        <v>275</v>
      </c>
      <c r="I943" s="1" t="s">
        <v>5188</v>
      </c>
      <c r="J943" s="1" t="s">
        <v>5189</v>
      </c>
      <c r="K943" s="1" t="s">
        <v>459</v>
      </c>
      <c r="L943" s="1" t="s">
        <v>789</v>
      </c>
      <c r="M943" s="1" t="s">
        <v>49</v>
      </c>
      <c r="N943" s="1" t="s">
        <v>5190</v>
      </c>
      <c r="O943" s="1" t="s">
        <v>35</v>
      </c>
      <c r="P943" s="1" t="s">
        <v>5188</v>
      </c>
      <c r="Q943" s="1" t="s">
        <v>468</v>
      </c>
      <c r="R943" s="1" t="s">
        <v>37</v>
      </c>
      <c r="S943" s="1" t="s">
        <v>37</v>
      </c>
      <c r="T943" s="1" t="s">
        <v>37</v>
      </c>
      <c r="U943" s="1" t="s">
        <v>37</v>
      </c>
    </row>
    <row r="944" spans="1:21">
      <c r="A944" s="1" t="s">
        <v>5191</v>
      </c>
      <c r="B944" s="1" t="s">
        <v>22</v>
      </c>
      <c r="C944" s="1" t="s">
        <v>23</v>
      </c>
      <c r="D944" s="1" t="s">
        <v>41</v>
      </c>
      <c r="E944" s="1" t="s">
        <v>25</v>
      </c>
      <c r="F944" s="1" t="s">
        <v>53</v>
      </c>
      <c r="G944" s="1" t="s">
        <v>5192</v>
      </c>
      <c r="H944" s="1" t="s">
        <v>99</v>
      </c>
      <c r="I944" s="1" t="s">
        <v>5193</v>
      </c>
      <c r="J944" s="1" t="s">
        <v>5194</v>
      </c>
      <c r="K944" s="1" t="s">
        <v>823</v>
      </c>
      <c r="L944" s="1" t="s">
        <v>1312</v>
      </c>
      <c r="M944" s="1" t="s">
        <v>33</v>
      </c>
      <c r="N944" s="1" t="s">
        <v>5195</v>
      </c>
      <c r="O944" s="1" t="s">
        <v>35</v>
      </c>
      <c r="P944" s="1" t="s">
        <v>5193</v>
      </c>
      <c r="Q944" s="1" t="s">
        <v>167</v>
      </c>
      <c r="R944" s="1" t="s">
        <v>37</v>
      </c>
      <c r="S944" s="1" t="s">
        <v>37</v>
      </c>
      <c r="T944" s="1" t="s">
        <v>37</v>
      </c>
      <c r="U944" s="1" t="s">
        <v>37</v>
      </c>
    </row>
    <row r="945" spans="1:21">
      <c r="A945" s="1" t="s">
        <v>5196</v>
      </c>
      <c r="B945" s="1" t="s">
        <v>22</v>
      </c>
      <c r="C945" s="1" t="s">
        <v>23</v>
      </c>
      <c r="D945" s="1" t="s">
        <v>41</v>
      </c>
      <c r="E945" s="1" t="s">
        <v>992</v>
      </c>
      <c r="F945" s="1" t="s">
        <v>26</v>
      </c>
      <c r="G945" s="1" t="s">
        <v>5197</v>
      </c>
      <c r="H945" s="1" t="s">
        <v>44</v>
      </c>
      <c r="I945" s="1" t="s">
        <v>5198</v>
      </c>
      <c r="J945" s="1" t="s">
        <v>5199</v>
      </c>
      <c r="K945" s="1" t="s">
        <v>2260</v>
      </c>
      <c r="L945" s="1" t="s">
        <v>1690</v>
      </c>
      <c r="M945" s="1" t="s">
        <v>59</v>
      </c>
      <c r="N945" s="1" t="s">
        <v>5200</v>
      </c>
      <c r="O945" s="1" t="s">
        <v>35</v>
      </c>
      <c r="P945" s="1" t="s">
        <v>5198</v>
      </c>
      <c r="Q945" s="1" t="s">
        <v>79</v>
      </c>
      <c r="R945" s="1" t="s">
        <v>37</v>
      </c>
      <c r="S945" s="1" t="s">
        <v>37</v>
      </c>
      <c r="T945" s="1" t="s">
        <v>37</v>
      </c>
      <c r="U945" s="1" t="s">
        <v>37</v>
      </c>
    </row>
    <row r="946" spans="1:21">
      <c r="A946" s="1" t="s">
        <v>5201</v>
      </c>
      <c r="B946" s="1" t="s">
        <v>22</v>
      </c>
      <c r="C946" s="1" t="s">
        <v>23</v>
      </c>
      <c r="D946" s="1" t="s">
        <v>24</v>
      </c>
      <c r="E946" s="1" t="s">
        <v>992</v>
      </c>
      <c r="F946" s="1" t="s">
        <v>26</v>
      </c>
      <c r="G946" s="1" t="s">
        <v>5202</v>
      </c>
      <c r="H946" s="1" t="s">
        <v>28</v>
      </c>
      <c r="I946" s="1" t="s">
        <v>5203</v>
      </c>
      <c r="J946" s="1" t="s">
        <v>5204</v>
      </c>
      <c r="K946" s="1" t="s">
        <v>757</v>
      </c>
      <c r="L946" s="1" t="s">
        <v>1931</v>
      </c>
      <c r="M946" s="1" t="s">
        <v>49</v>
      </c>
      <c r="N946" s="1" t="s">
        <v>5205</v>
      </c>
      <c r="O946" s="1" t="s">
        <v>35</v>
      </c>
      <c r="P946" s="1" t="s">
        <v>5203</v>
      </c>
      <c r="Q946" s="1" t="s">
        <v>791</v>
      </c>
      <c r="R946" s="1" t="s">
        <v>37</v>
      </c>
      <c r="S946" s="1" t="s">
        <v>37</v>
      </c>
      <c r="T946" s="1" t="s">
        <v>37</v>
      </c>
      <c r="U946" s="1" t="s">
        <v>37</v>
      </c>
    </row>
    <row r="947" spans="1:21">
      <c r="A947" s="1" t="s">
        <v>5206</v>
      </c>
      <c r="B947" s="1" t="s">
        <v>22</v>
      </c>
      <c r="C947" s="1" t="s">
        <v>23</v>
      </c>
      <c r="D947" s="1" t="s">
        <v>41</v>
      </c>
      <c r="E947" s="1" t="s">
        <v>25</v>
      </c>
      <c r="F947" s="1" t="s">
        <v>42</v>
      </c>
      <c r="G947" s="1" t="s">
        <v>5207</v>
      </c>
      <c r="H947" s="1" t="s">
        <v>28</v>
      </c>
      <c r="I947" s="1" t="s">
        <v>5208</v>
      </c>
      <c r="J947" s="1" t="s">
        <v>5209</v>
      </c>
      <c r="K947" s="1" t="s">
        <v>31</v>
      </c>
      <c r="L947" s="1" t="s">
        <v>1231</v>
      </c>
      <c r="M947" s="1" t="s">
        <v>59</v>
      </c>
      <c r="N947" s="1" t="s">
        <v>5210</v>
      </c>
      <c r="O947" s="1" t="s">
        <v>35</v>
      </c>
      <c r="P947" s="1" t="s">
        <v>5208</v>
      </c>
      <c r="Q947" s="1" t="s">
        <v>663</v>
      </c>
      <c r="R947" s="1" t="s">
        <v>37</v>
      </c>
      <c r="S947" s="1" t="s">
        <v>37</v>
      </c>
      <c r="T947" s="1" t="s">
        <v>37</v>
      </c>
      <c r="U947" s="1" t="s">
        <v>37</v>
      </c>
    </row>
    <row r="948" spans="1:21">
      <c r="A948" s="1" t="s">
        <v>5211</v>
      </c>
      <c r="B948" s="1" t="s">
        <v>39</v>
      </c>
      <c r="C948" s="1" t="s">
        <v>40</v>
      </c>
      <c r="D948" s="1" t="s">
        <v>24</v>
      </c>
      <c r="E948" s="1" t="s">
        <v>992</v>
      </c>
      <c r="F948" s="1" t="s">
        <v>42</v>
      </c>
      <c r="G948" s="1" t="s">
        <v>5212</v>
      </c>
      <c r="H948" s="1" t="s">
        <v>107</v>
      </c>
      <c r="I948" s="1" t="s">
        <v>5213</v>
      </c>
      <c r="J948" s="1" t="s">
        <v>5214</v>
      </c>
      <c r="K948" s="1" t="s">
        <v>737</v>
      </c>
      <c r="L948" s="1" t="s">
        <v>3443</v>
      </c>
      <c r="M948" s="1" t="s">
        <v>59</v>
      </c>
      <c r="N948" s="1" t="s">
        <v>5215</v>
      </c>
      <c r="O948" s="1" t="s">
        <v>35</v>
      </c>
      <c r="P948" s="1" t="s">
        <v>5213</v>
      </c>
      <c r="Q948" s="1" t="s">
        <v>79</v>
      </c>
      <c r="R948" s="1" t="s">
        <v>37</v>
      </c>
      <c r="S948" s="1" t="s">
        <v>37</v>
      </c>
      <c r="T948" s="1" t="s">
        <v>37</v>
      </c>
      <c r="U948" s="1" t="s">
        <v>37</v>
      </c>
    </row>
    <row r="949" spans="1:21">
      <c r="A949" s="1" t="s">
        <v>5216</v>
      </c>
      <c r="B949" s="1" t="s">
        <v>115</v>
      </c>
      <c r="C949" s="1" t="s">
        <v>116</v>
      </c>
      <c r="D949" s="1" t="s">
        <v>24</v>
      </c>
      <c r="E949" s="1" t="s">
        <v>992</v>
      </c>
      <c r="F949" s="1" t="s">
        <v>127</v>
      </c>
      <c r="G949" s="1" t="s">
        <v>5217</v>
      </c>
      <c r="H949" s="1" t="s">
        <v>253</v>
      </c>
      <c r="I949" s="1" t="s">
        <v>5218</v>
      </c>
      <c r="J949" s="1" t="s">
        <v>5219</v>
      </c>
      <c r="K949" s="1" t="s">
        <v>419</v>
      </c>
      <c r="L949" s="1" t="s">
        <v>4028</v>
      </c>
      <c r="M949" s="1" t="s">
        <v>33</v>
      </c>
      <c r="N949" s="1" t="s">
        <v>5217</v>
      </c>
      <c r="O949" s="1" t="s">
        <v>35</v>
      </c>
      <c r="P949" s="1" t="s">
        <v>5218</v>
      </c>
      <c r="Q949" s="1" t="s">
        <v>330</v>
      </c>
      <c r="R949" s="1" t="s">
        <v>37</v>
      </c>
      <c r="S949" s="1" t="s">
        <v>37</v>
      </c>
      <c r="T949" s="1" t="s">
        <v>37</v>
      </c>
      <c r="U949" s="1" t="s">
        <v>37</v>
      </c>
    </row>
    <row r="950" spans="1:21">
      <c r="A950" s="1" t="s">
        <v>5220</v>
      </c>
      <c r="B950" s="1" t="s">
        <v>39</v>
      </c>
      <c r="C950" s="1" t="s">
        <v>40</v>
      </c>
      <c r="D950" s="1" t="s">
        <v>24</v>
      </c>
      <c r="E950" s="1" t="s">
        <v>992</v>
      </c>
      <c r="F950" s="1" t="s">
        <v>53</v>
      </c>
      <c r="G950" s="1" t="s">
        <v>5221</v>
      </c>
      <c r="H950" s="1" t="s">
        <v>44</v>
      </c>
      <c r="I950" s="1" t="s">
        <v>5222</v>
      </c>
      <c r="J950" s="1" t="s">
        <v>5223</v>
      </c>
      <c r="K950" s="1" t="s">
        <v>132</v>
      </c>
      <c r="L950" s="1" t="s">
        <v>894</v>
      </c>
      <c r="M950" s="1" t="s">
        <v>33</v>
      </c>
      <c r="N950" s="1" t="s">
        <v>5224</v>
      </c>
      <c r="O950" s="1" t="s">
        <v>35</v>
      </c>
      <c r="P950" s="1" t="s">
        <v>5222</v>
      </c>
      <c r="Q950" s="1" t="s">
        <v>351</v>
      </c>
      <c r="R950" s="1" t="s">
        <v>37</v>
      </c>
      <c r="S950" s="1" t="s">
        <v>37</v>
      </c>
      <c r="T950" s="1" t="s">
        <v>37</v>
      </c>
      <c r="U950" s="1" t="s">
        <v>37</v>
      </c>
    </row>
    <row r="951" spans="1:21">
      <c r="A951" s="1" t="s">
        <v>5225</v>
      </c>
      <c r="B951" s="1" t="s">
        <v>115</v>
      </c>
      <c r="C951" s="1" t="s">
        <v>116</v>
      </c>
      <c r="D951" s="1" t="s">
        <v>41</v>
      </c>
      <c r="E951" s="1" t="s">
        <v>25</v>
      </c>
      <c r="F951" s="1" t="s">
        <v>117</v>
      </c>
      <c r="G951" s="1" t="s">
        <v>5226</v>
      </c>
      <c r="H951" s="1" t="s">
        <v>64</v>
      </c>
      <c r="I951" s="1" t="s">
        <v>5227</v>
      </c>
      <c r="J951" s="1" t="s">
        <v>5228</v>
      </c>
      <c r="K951" s="1" t="s">
        <v>102</v>
      </c>
      <c r="L951" s="1" t="s">
        <v>4180</v>
      </c>
      <c r="M951" s="1" t="s">
        <v>33</v>
      </c>
      <c r="N951" s="1" t="s">
        <v>5229</v>
      </c>
      <c r="O951" s="1" t="s">
        <v>35</v>
      </c>
      <c r="P951" s="1" t="s">
        <v>5227</v>
      </c>
      <c r="Q951" s="1" t="s">
        <v>1655</v>
      </c>
      <c r="R951" s="1" t="s">
        <v>37</v>
      </c>
      <c r="S951" s="1" t="s">
        <v>37</v>
      </c>
      <c r="T951" s="1" t="s">
        <v>37</v>
      </c>
      <c r="U951" s="1" t="s">
        <v>37</v>
      </c>
    </row>
    <row r="952" spans="1:21">
      <c r="A952" s="1" t="s">
        <v>5230</v>
      </c>
      <c r="B952" s="1" t="s">
        <v>115</v>
      </c>
      <c r="C952" s="1" t="s">
        <v>116</v>
      </c>
      <c r="D952" s="1" t="s">
        <v>24</v>
      </c>
      <c r="E952" s="1" t="s">
        <v>992</v>
      </c>
      <c r="F952" s="1" t="s">
        <v>26</v>
      </c>
      <c r="G952" s="1" t="s">
        <v>5231</v>
      </c>
      <c r="H952" s="1" t="s">
        <v>119</v>
      </c>
      <c r="I952" s="1" t="s">
        <v>5232</v>
      </c>
      <c r="J952" s="1" t="s">
        <v>5233</v>
      </c>
      <c r="K952" s="1" t="s">
        <v>1433</v>
      </c>
      <c r="L952" s="1" t="s">
        <v>2963</v>
      </c>
      <c r="M952" s="1" t="s">
        <v>33</v>
      </c>
      <c r="N952" s="1" t="s">
        <v>5234</v>
      </c>
      <c r="O952" s="1" t="s">
        <v>35</v>
      </c>
      <c r="P952" s="1" t="s">
        <v>5232</v>
      </c>
      <c r="Q952" s="1" t="s">
        <v>484</v>
      </c>
      <c r="R952" s="1" t="s">
        <v>37</v>
      </c>
      <c r="S952" s="1" t="s">
        <v>37</v>
      </c>
      <c r="T952" s="1" t="s">
        <v>37</v>
      </c>
      <c r="U952" s="1" t="s">
        <v>37</v>
      </c>
    </row>
    <row r="953" spans="1:21">
      <c r="A953" s="1" t="s">
        <v>5235</v>
      </c>
      <c r="B953" s="1" t="s">
        <v>115</v>
      </c>
      <c r="C953" s="1" t="s">
        <v>116</v>
      </c>
      <c r="D953" s="1" t="s">
        <v>24</v>
      </c>
      <c r="E953" s="1" t="s">
        <v>25</v>
      </c>
      <c r="F953" s="1" t="s">
        <v>53</v>
      </c>
      <c r="G953" s="1" t="s">
        <v>5236</v>
      </c>
      <c r="H953" s="1" t="s">
        <v>119</v>
      </c>
      <c r="I953" s="1" t="s">
        <v>5237</v>
      </c>
      <c r="J953" s="1" t="s">
        <v>5238</v>
      </c>
      <c r="K953" s="1" t="s">
        <v>595</v>
      </c>
      <c r="L953" s="1" t="s">
        <v>3163</v>
      </c>
      <c r="M953" s="1" t="s">
        <v>33</v>
      </c>
      <c r="N953" s="1" t="s">
        <v>5239</v>
      </c>
      <c r="O953" s="1" t="s">
        <v>35</v>
      </c>
      <c r="P953" s="1" t="s">
        <v>5237</v>
      </c>
      <c r="Q953" s="1" t="s">
        <v>330</v>
      </c>
      <c r="R953" s="1" t="s">
        <v>37</v>
      </c>
      <c r="S953" s="1" t="s">
        <v>37</v>
      </c>
      <c r="T953" s="1" t="s">
        <v>37</v>
      </c>
      <c r="U953" s="1" t="s">
        <v>37</v>
      </c>
    </row>
    <row r="954" spans="1:21">
      <c r="A954" s="1" t="s">
        <v>5240</v>
      </c>
      <c r="B954" s="1" t="s">
        <v>115</v>
      </c>
      <c r="C954" s="1" t="s">
        <v>116</v>
      </c>
      <c r="D954" s="1" t="s">
        <v>24</v>
      </c>
      <c r="E954" s="1" t="s">
        <v>25</v>
      </c>
      <c r="F954" s="1" t="s">
        <v>117</v>
      </c>
      <c r="G954" s="1" t="s">
        <v>5241</v>
      </c>
      <c r="H954" s="1" t="s">
        <v>129</v>
      </c>
      <c r="I954" s="1" t="s">
        <v>1085</v>
      </c>
      <c r="J954" s="1" t="s">
        <v>1086</v>
      </c>
      <c r="K954" s="1" t="s">
        <v>93</v>
      </c>
      <c r="L954" s="1" t="s">
        <v>743</v>
      </c>
      <c r="M954" s="1" t="s">
        <v>33</v>
      </c>
      <c r="N954" s="1" t="s">
        <v>1088</v>
      </c>
      <c r="O954" s="1" t="s">
        <v>35</v>
      </c>
      <c r="P954" s="1" t="s">
        <v>1085</v>
      </c>
      <c r="Q954" s="1" t="s">
        <v>576</v>
      </c>
      <c r="R954" s="1" t="s">
        <v>37</v>
      </c>
      <c r="S954" s="1" t="s">
        <v>37</v>
      </c>
      <c r="T954" s="1" t="s">
        <v>37</v>
      </c>
      <c r="U954" s="1" t="s">
        <v>37</v>
      </c>
    </row>
    <row r="955" spans="1:21">
      <c r="A955" s="1" t="s">
        <v>5242</v>
      </c>
      <c r="B955" s="1" t="s">
        <v>39</v>
      </c>
      <c r="C955" s="1" t="s">
        <v>40</v>
      </c>
      <c r="D955" s="1" t="s">
        <v>24</v>
      </c>
      <c r="E955" s="1" t="s">
        <v>25</v>
      </c>
      <c r="F955" s="1" t="s">
        <v>117</v>
      </c>
      <c r="G955" s="1" t="s">
        <v>5243</v>
      </c>
      <c r="H955" s="1" t="s">
        <v>129</v>
      </c>
      <c r="I955" s="1" t="s">
        <v>5244</v>
      </c>
      <c r="J955" s="1" t="s">
        <v>5245</v>
      </c>
      <c r="K955" s="1" t="s">
        <v>588</v>
      </c>
      <c r="L955" s="1" t="s">
        <v>1087</v>
      </c>
      <c r="M955" s="1" t="s">
        <v>49</v>
      </c>
      <c r="N955" s="1" t="s">
        <v>5246</v>
      </c>
      <c r="O955" s="1" t="s">
        <v>35</v>
      </c>
      <c r="P955" s="1" t="s">
        <v>5244</v>
      </c>
      <c r="Q955" s="1" t="s">
        <v>338</v>
      </c>
      <c r="R955" s="1" t="s">
        <v>37</v>
      </c>
      <c r="S955" s="1" t="s">
        <v>37</v>
      </c>
      <c r="T955" s="1" t="s">
        <v>37</v>
      </c>
      <c r="U955" s="1" t="s">
        <v>37</v>
      </c>
    </row>
    <row r="956" spans="1:21">
      <c r="A956" s="1" t="s">
        <v>5247</v>
      </c>
      <c r="B956" s="1" t="s">
        <v>115</v>
      </c>
      <c r="C956" s="1" t="s">
        <v>116</v>
      </c>
      <c r="D956" s="1" t="s">
        <v>24</v>
      </c>
      <c r="E956" s="1" t="s">
        <v>992</v>
      </c>
      <c r="F956" s="1" t="s">
        <v>53</v>
      </c>
      <c r="G956" s="1" t="s">
        <v>5248</v>
      </c>
      <c r="H956" s="1" t="s">
        <v>90</v>
      </c>
      <c r="I956" s="1" t="s">
        <v>5249</v>
      </c>
      <c r="J956" s="1" t="s">
        <v>5250</v>
      </c>
      <c r="K956" s="1" t="s">
        <v>718</v>
      </c>
      <c r="L956" s="1" t="s">
        <v>3542</v>
      </c>
      <c r="M956" s="1" t="s">
        <v>49</v>
      </c>
      <c r="N956" s="1" t="s">
        <v>5251</v>
      </c>
      <c r="O956" s="1" t="s">
        <v>35</v>
      </c>
      <c r="P956" s="1" t="s">
        <v>5249</v>
      </c>
      <c r="Q956" s="1" t="s">
        <v>167</v>
      </c>
      <c r="R956" s="1" t="s">
        <v>37</v>
      </c>
      <c r="S956" s="1" t="s">
        <v>37</v>
      </c>
      <c r="T956" s="1" t="s">
        <v>37</v>
      </c>
      <c r="U956" s="1" t="s">
        <v>37</v>
      </c>
    </row>
    <row r="957" spans="1:21">
      <c r="A957" s="1" t="s">
        <v>5252</v>
      </c>
      <c r="B957" s="1" t="s">
        <v>22</v>
      </c>
      <c r="C957" s="1" t="s">
        <v>23</v>
      </c>
      <c r="D957" s="1" t="s">
        <v>41</v>
      </c>
      <c r="E957" s="1" t="s">
        <v>25</v>
      </c>
      <c r="F957" s="1" t="s">
        <v>127</v>
      </c>
      <c r="G957" s="1" t="s">
        <v>1132</v>
      </c>
      <c r="H957" s="1" t="s">
        <v>28</v>
      </c>
      <c r="I957" s="1" t="s">
        <v>5253</v>
      </c>
      <c r="J957" s="1" t="s">
        <v>5254</v>
      </c>
      <c r="K957" s="1" t="s">
        <v>555</v>
      </c>
      <c r="L957" s="1" t="s">
        <v>1231</v>
      </c>
      <c r="M957" s="1" t="s">
        <v>49</v>
      </c>
      <c r="N957" s="1" t="s">
        <v>5255</v>
      </c>
      <c r="O957" s="1" t="s">
        <v>35</v>
      </c>
      <c r="P957" s="1" t="s">
        <v>5253</v>
      </c>
      <c r="Q957" s="1" t="s">
        <v>143</v>
      </c>
      <c r="R957" s="1" t="s">
        <v>37</v>
      </c>
      <c r="S957" s="1" t="s">
        <v>37</v>
      </c>
      <c r="T957" s="1" t="s">
        <v>37</v>
      </c>
      <c r="U957" s="1" t="s">
        <v>37</v>
      </c>
    </row>
    <row r="958" spans="1:21">
      <c r="A958" s="1" t="s">
        <v>5256</v>
      </c>
      <c r="B958" s="1" t="s">
        <v>39</v>
      </c>
      <c r="C958" s="1" t="s">
        <v>40</v>
      </c>
      <c r="D958" s="1" t="s">
        <v>24</v>
      </c>
      <c r="E958" s="1" t="s">
        <v>992</v>
      </c>
      <c r="F958" s="1" t="s">
        <v>117</v>
      </c>
      <c r="G958" s="1" t="s">
        <v>5257</v>
      </c>
      <c r="H958" s="1" t="s">
        <v>275</v>
      </c>
      <c r="I958" s="1" t="s">
        <v>5258</v>
      </c>
      <c r="J958" s="1" t="s">
        <v>5259</v>
      </c>
      <c r="K958" s="1" t="s">
        <v>110</v>
      </c>
      <c r="L958" s="1" t="s">
        <v>3157</v>
      </c>
      <c r="M958" s="1" t="s">
        <v>49</v>
      </c>
      <c r="N958" s="1" t="s">
        <v>5260</v>
      </c>
      <c r="O958" s="1" t="s">
        <v>35</v>
      </c>
      <c r="P958" s="1" t="s">
        <v>5258</v>
      </c>
      <c r="Q958" s="1" t="s">
        <v>476</v>
      </c>
      <c r="R958" s="1" t="s">
        <v>37</v>
      </c>
      <c r="S958" s="1" t="s">
        <v>37</v>
      </c>
      <c r="T958" s="1" t="s">
        <v>37</v>
      </c>
      <c r="U958" s="1" t="s">
        <v>37</v>
      </c>
    </row>
    <row r="959" spans="1:21">
      <c r="A959" s="1" t="s">
        <v>5261</v>
      </c>
      <c r="B959" s="1" t="s">
        <v>115</v>
      </c>
      <c r="C959" s="1" t="s">
        <v>116</v>
      </c>
      <c r="D959" s="1" t="s">
        <v>41</v>
      </c>
      <c r="E959" s="1" t="s">
        <v>992</v>
      </c>
      <c r="F959" s="1" t="s">
        <v>42</v>
      </c>
      <c r="G959" s="1" t="s">
        <v>5262</v>
      </c>
      <c r="H959" s="1" t="s">
        <v>90</v>
      </c>
      <c r="I959" s="1" t="s">
        <v>5263</v>
      </c>
      <c r="J959" s="1" t="s">
        <v>5264</v>
      </c>
      <c r="K959" s="1" t="s">
        <v>156</v>
      </c>
      <c r="L959" s="1" t="s">
        <v>474</v>
      </c>
      <c r="M959" s="1" t="s">
        <v>49</v>
      </c>
      <c r="N959" s="1" t="s">
        <v>5265</v>
      </c>
      <c r="O959" s="1" t="s">
        <v>35</v>
      </c>
      <c r="P959" s="1" t="s">
        <v>5263</v>
      </c>
      <c r="Q959" s="1" t="s">
        <v>151</v>
      </c>
      <c r="R959" s="1" t="s">
        <v>37</v>
      </c>
      <c r="S959" s="1" t="s">
        <v>37</v>
      </c>
      <c r="T959" s="1" t="s">
        <v>37</v>
      </c>
      <c r="U959" s="1" t="s">
        <v>37</v>
      </c>
    </row>
    <row r="960" spans="1:21">
      <c r="A960" s="1" t="s">
        <v>5266</v>
      </c>
      <c r="B960" s="1" t="s">
        <v>39</v>
      </c>
      <c r="C960" s="1" t="s">
        <v>40</v>
      </c>
      <c r="D960" s="1" t="s">
        <v>41</v>
      </c>
      <c r="E960" s="1" t="s">
        <v>25</v>
      </c>
      <c r="F960" s="1" t="s">
        <v>53</v>
      </c>
      <c r="G960" s="1" t="s">
        <v>5267</v>
      </c>
      <c r="H960" s="1" t="s">
        <v>99</v>
      </c>
      <c r="I960" s="1" t="s">
        <v>351</v>
      </c>
      <c r="J960" s="1" t="s">
        <v>5268</v>
      </c>
      <c r="K960" s="1" t="s">
        <v>595</v>
      </c>
      <c r="L960" s="1" t="s">
        <v>3024</v>
      </c>
      <c r="M960" s="1" t="s">
        <v>49</v>
      </c>
      <c r="N960" s="1" t="s">
        <v>5269</v>
      </c>
      <c r="O960" s="1" t="s">
        <v>35</v>
      </c>
      <c r="P960" s="1" t="s">
        <v>351</v>
      </c>
      <c r="Q960" s="1" t="s">
        <v>812</v>
      </c>
      <c r="R960" s="1" t="s">
        <v>37</v>
      </c>
      <c r="S960" s="1" t="s">
        <v>37</v>
      </c>
      <c r="T960" s="1" t="s">
        <v>37</v>
      </c>
      <c r="U960" s="1" t="s">
        <v>37</v>
      </c>
    </row>
    <row r="961" spans="1:21">
      <c r="A961" s="1" t="s">
        <v>5270</v>
      </c>
      <c r="B961" s="1" t="s">
        <v>22</v>
      </c>
      <c r="C961" s="1" t="s">
        <v>23</v>
      </c>
      <c r="D961" s="1" t="s">
        <v>24</v>
      </c>
      <c r="E961" s="1" t="s">
        <v>25</v>
      </c>
      <c r="F961" s="1" t="s">
        <v>117</v>
      </c>
      <c r="G961" s="1" t="s">
        <v>5271</v>
      </c>
      <c r="H961" s="1" t="s">
        <v>275</v>
      </c>
      <c r="I961" s="1" t="s">
        <v>5272</v>
      </c>
      <c r="J961" s="1" t="s">
        <v>5273</v>
      </c>
      <c r="K961" s="1" t="s">
        <v>2260</v>
      </c>
      <c r="L961" s="1" t="s">
        <v>1036</v>
      </c>
      <c r="M961" s="1" t="s">
        <v>49</v>
      </c>
      <c r="N961" s="1" t="s">
        <v>5274</v>
      </c>
      <c r="O961" s="1" t="s">
        <v>35</v>
      </c>
      <c r="P961" s="1" t="s">
        <v>5272</v>
      </c>
      <c r="Q961" s="1" t="s">
        <v>70</v>
      </c>
      <c r="R961" s="1" t="s">
        <v>37</v>
      </c>
      <c r="S961" s="1" t="s">
        <v>37</v>
      </c>
      <c r="T961" s="1" t="s">
        <v>37</v>
      </c>
      <c r="U961" s="1" t="s">
        <v>37</v>
      </c>
    </row>
    <row r="962" spans="1:21">
      <c r="A962" s="1" t="s">
        <v>5275</v>
      </c>
      <c r="B962" s="1" t="s">
        <v>39</v>
      </c>
      <c r="C962" s="1" t="s">
        <v>40</v>
      </c>
      <c r="D962" s="1" t="s">
        <v>24</v>
      </c>
      <c r="E962" s="1" t="s">
        <v>992</v>
      </c>
      <c r="F962" s="1" t="s">
        <v>127</v>
      </c>
      <c r="G962" s="1" t="s">
        <v>5276</v>
      </c>
      <c r="H962" s="1" t="s">
        <v>253</v>
      </c>
      <c r="I962" s="1" t="s">
        <v>5277</v>
      </c>
      <c r="J962" s="1" t="s">
        <v>5278</v>
      </c>
      <c r="K962" s="1" t="s">
        <v>1379</v>
      </c>
      <c r="L962" s="1" t="s">
        <v>3692</v>
      </c>
      <c r="M962" s="1" t="s">
        <v>49</v>
      </c>
      <c r="N962" s="1" t="s">
        <v>5276</v>
      </c>
      <c r="O962" s="1" t="s">
        <v>35</v>
      </c>
      <c r="P962" s="1" t="s">
        <v>5277</v>
      </c>
      <c r="Q962" s="1" t="s">
        <v>971</v>
      </c>
      <c r="R962" s="1" t="s">
        <v>37</v>
      </c>
      <c r="S962" s="1" t="s">
        <v>37</v>
      </c>
      <c r="T962" s="1" t="s">
        <v>37</v>
      </c>
      <c r="U962" s="1" t="s">
        <v>37</v>
      </c>
    </row>
    <row r="963" spans="1:21">
      <c r="A963" s="1" t="s">
        <v>5279</v>
      </c>
      <c r="B963" s="1" t="s">
        <v>22</v>
      </c>
      <c r="C963" s="1" t="s">
        <v>23</v>
      </c>
      <c r="D963" s="1" t="s">
        <v>24</v>
      </c>
      <c r="E963" s="1" t="s">
        <v>992</v>
      </c>
      <c r="F963" s="1" t="s">
        <v>42</v>
      </c>
      <c r="G963" s="1" t="s">
        <v>5280</v>
      </c>
      <c r="H963" s="1" t="s">
        <v>107</v>
      </c>
      <c r="I963" s="1" t="s">
        <v>5281</v>
      </c>
      <c r="J963" s="1" t="s">
        <v>5282</v>
      </c>
      <c r="K963" s="1" t="s">
        <v>803</v>
      </c>
      <c r="L963" s="1" t="s">
        <v>350</v>
      </c>
      <c r="M963" s="1" t="s">
        <v>49</v>
      </c>
      <c r="N963" s="1" t="s">
        <v>5283</v>
      </c>
      <c r="O963" s="1" t="s">
        <v>35</v>
      </c>
      <c r="P963" s="1" t="s">
        <v>5281</v>
      </c>
      <c r="Q963" s="1" t="s">
        <v>971</v>
      </c>
      <c r="R963" s="1" t="s">
        <v>37</v>
      </c>
      <c r="S963" s="1" t="s">
        <v>37</v>
      </c>
      <c r="T963" s="1" t="s">
        <v>37</v>
      </c>
      <c r="U963" s="1" t="s">
        <v>37</v>
      </c>
    </row>
    <row r="964" spans="1:21">
      <c r="A964" s="1" t="s">
        <v>5284</v>
      </c>
      <c r="B964" s="1" t="s">
        <v>22</v>
      </c>
      <c r="C964" s="1" t="s">
        <v>23</v>
      </c>
      <c r="D964" s="1" t="s">
        <v>41</v>
      </c>
      <c r="E964" s="1" t="s">
        <v>25</v>
      </c>
      <c r="F964" s="1" t="s">
        <v>127</v>
      </c>
      <c r="G964" s="1" t="s">
        <v>1234</v>
      </c>
      <c r="H964" s="1" t="s">
        <v>253</v>
      </c>
      <c r="I964" s="1" t="s">
        <v>5285</v>
      </c>
      <c r="J964" s="1" t="s">
        <v>5286</v>
      </c>
      <c r="K964" s="1" t="s">
        <v>412</v>
      </c>
      <c r="L964" s="1" t="s">
        <v>5287</v>
      </c>
      <c r="M964" s="1" t="s">
        <v>59</v>
      </c>
      <c r="N964" s="1" t="s">
        <v>1234</v>
      </c>
      <c r="O964" s="1" t="s">
        <v>35</v>
      </c>
      <c r="P964" s="1" t="s">
        <v>5285</v>
      </c>
      <c r="Q964" s="1" t="s">
        <v>61</v>
      </c>
      <c r="R964" s="1" t="s">
        <v>37</v>
      </c>
      <c r="S964" s="1" t="s">
        <v>37</v>
      </c>
      <c r="T964" s="1" t="s">
        <v>37</v>
      </c>
      <c r="U964" s="1" t="s">
        <v>37</v>
      </c>
    </row>
    <row r="965" spans="1:21">
      <c r="A965" s="1" t="s">
        <v>5288</v>
      </c>
      <c r="B965" s="1" t="s">
        <v>39</v>
      </c>
      <c r="C965" s="1" t="s">
        <v>40</v>
      </c>
      <c r="D965" s="1" t="s">
        <v>24</v>
      </c>
      <c r="E965" s="1" t="s">
        <v>992</v>
      </c>
      <c r="F965" s="1" t="s">
        <v>42</v>
      </c>
      <c r="G965" s="1" t="s">
        <v>5289</v>
      </c>
      <c r="H965" s="1" t="s">
        <v>119</v>
      </c>
      <c r="I965" s="1" t="s">
        <v>5290</v>
      </c>
      <c r="J965" s="1" t="s">
        <v>5291</v>
      </c>
      <c r="K965" s="1" t="s">
        <v>1094</v>
      </c>
      <c r="L965" s="1" t="s">
        <v>2248</v>
      </c>
      <c r="M965" s="1" t="s">
        <v>49</v>
      </c>
      <c r="N965" s="1" t="s">
        <v>5292</v>
      </c>
      <c r="O965" s="1" t="s">
        <v>35</v>
      </c>
      <c r="P965" s="1" t="s">
        <v>5290</v>
      </c>
      <c r="Q965" s="1" t="s">
        <v>257</v>
      </c>
      <c r="R965" s="1" t="s">
        <v>37</v>
      </c>
      <c r="S965" s="1" t="s">
        <v>37</v>
      </c>
      <c r="T965" s="1" t="s">
        <v>37</v>
      </c>
      <c r="U965" s="1" t="s">
        <v>37</v>
      </c>
    </row>
    <row r="966" spans="1:21">
      <c r="A966" s="1" t="s">
        <v>5293</v>
      </c>
      <c r="B966" s="1" t="s">
        <v>115</v>
      </c>
      <c r="C966" s="1" t="s">
        <v>116</v>
      </c>
      <c r="D966" s="1" t="s">
        <v>41</v>
      </c>
      <c r="E966" s="1" t="s">
        <v>992</v>
      </c>
      <c r="F966" s="1" t="s">
        <v>117</v>
      </c>
      <c r="G966" s="1" t="s">
        <v>5294</v>
      </c>
      <c r="H966" s="1" t="s">
        <v>107</v>
      </c>
      <c r="I966" s="1" t="s">
        <v>5295</v>
      </c>
      <c r="J966" s="1" t="s">
        <v>5296</v>
      </c>
      <c r="K966" s="1" t="s">
        <v>623</v>
      </c>
      <c r="L966" s="1" t="s">
        <v>3621</v>
      </c>
      <c r="M966" s="1" t="s">
        <v>59</v>
      </c>
      <c r="N966" s="1" t="s">
        <v>5297</v>
      </c>
      <c r="O966" s="1" t="s">
        <v>35</v>
      </c>
      <c r="P966" s="1" t="s">
        <v>5295</v>
      </c>
      <c r="Q966" s="1" t="s">
        <v>544</v>
      </c>
      <c r="R966" s="1" t="s">
        <v>37</v>
      </c>
      <c r="S966" s="1" t="s">
        <v>37</v>
      </c>
      <c r="T966" s="1" t="s">
        <v>37</v>
      </c>
      <c r="U966" s="1" t="s">
        <v>37</v>
      </c>
    </row>
    <row r="967" spans="1:21">
      <c r="A967" s="1" t="s">
        <v>5298</v>
      </c>
      <c r="B967" s="1" t="s">
        <v>115</v>
      </c>
      <c r="C967" s="1" t="s">
        <v>116</v>
      </c>
      <c r="D967" s="1" t="s">
        <v>41</v>
      </c>
      <c r="E967" s="1" t="s">
        <v>25</v>
      </c>
      <c r="F967" s="1" t="s">
        <v>42</v>
      </c>
      <c r="G967" s="1" t="s">
        <v>5299</v>
      </c>
      <c r="H967" s="1" t="s">
        <v>107</v>
      </c>
      <c r="I967" s="1" t="s">
        <v>5300</v>
      </c>
      <c r="J967" s="1" t="s">
        <v>5301</v>
      </c>
      <c r="K967" s="1" t="s">
        <v>240</v>
      </c>
      <c r="L967" s="1" t="s">
        <v>5302</v>
      </c>
      <c r="M967" s="1" t="s">
        <v>59</v>
      </c>
      <c r="N967" s="1" t="s">
        <v>5303</v>
      </c>
      <c r="O967" s="1" t="s">
        <v>35</v>
      </c>
      <c r="P967" s="1" t="s">
        <v>5300</v>
      </c>
      <c r="Q967" s="1" t="s">
        <v>96</v>
      </c>
      <c r="R967" s="1" t="s">
        <v>37</v>
      </c>
      <c r="S967" s="1" t="s">
        <v>37</v>
      </c>
      <c r="T967" s="1" t="s">
        <v>37</v>
      </c>
      <c r="U967" s="1" t="s">
        <v>37</v>
      </c>
    </row>
    <row r="968" spans="1:21">
      <c r="A968" s="1" t="s">
        <v>5304</v>
      </c>
      <c r="B968" s="1" t="s">
        <v>22</v>
      </c>
      <c r="C968" s="1" t="s">
        <v>23</v>
      </c>
      <c r="D968" s="1" t="s">
        <v>41</v>
      </c>
      <c r="E968" s="1" t="s">
        <v>25</v>
      </c>
      <c r="F968" s="1" t="s">
        <v>53</v>
      </c>
      <c r="G968" s="1" t="s">
        <v>5305</v>
      </c>
      <c r="H968" s="1" t="s">
        <v>275</v>
      </c>
      <c r="I968" s="1" t="s">
        <v>5306</v>
      </c>
      <c r="J968" s="1" t="s">
        <v>5307</v>
      </c>
      <c r="K968" s="1" t="s">
        <v>371</v>
      </c>
      <c r="L968" s="1" t="s">
        <v>3595</v>
      </c>
      <c r="M968" s="1" t="s">
        <v>33</v>
      </c>
      <c r="N968" s="1" t="s">
        <v>5308</v>
      </c>
      <c r="O968" s="1" t="s">
        <v>35</v>
      </c>
      <c r="P968" s="1" t="s">
        <v>5306</v>
      </c>
      <c r="Q968" s="1" t="s">
        <v>113</v>
      </c>
      <c r="R968" s="1" t="s">
        <v>37</v>
      </c>
      <c r="S968" s="1" t="s">
        <v>37</v>
      </c>
      <c r="T968" s="1" t="s">
        <v>37</v>
      </c>
      <c r="U968" s="1" t="s">
        <v>37</v>
      </c>
    </row>
    <row r="969" spans="1:21">
      <c r="A969" s="1" t="s">
        <v>5309</v>
      </c>
      <c r="B969" s="1" t="s">
        <v>22</v>
      </c>
      <c r="C969" s="1" t="s">
        <v>23</v>
      </c>
      <c r="D969" s="1" t="s">
        <v>24</v>
      </c>
      <c r="E969" s="1" t="s">
        <v>992</v>
      </c>
      <c r="F969" s="1" t="s">
        <v>53</v>
      </c>
      <c r="G969" s="1" t="s">
        <v>5310</v>
      </c>
      <c r="H969" s="1" t="s">
        <v>119</v>
      </c>
      <c r="I969" s="1" t="s">
        <v>5311</v>
      </c>
      <c r="J969" s="1" t="s">
        <v>5312</v>
      </c>
      <c r="K969" s="1" t="s">
        <v>588</v>
      </c>
      <c r="L969" s="1" t="s">
        <v>1507</v>
      </c>
      <c r="M969" s="1" t="s">
        <v>59</v>
      </c>
      <c r="N969" s="1" t="s">
        <v>5313</v>
      </c>
      <c r="O969" s="1" t="s">
        <v>35</v>
      </c>
      <c r="P969" s="1" t="s">
        <v>5311</v>
      </c>
      <c r="Q969" s="1" t="s">
        <v>484</v>
      </c>
      <c r="R969" s="1" t="s">
        <v>37</v>
      </c>
      <c r="S969" s="1" t="s">
        <v>37</v>
      </c>
      <c r="T969" s="1" t="s">
        <v>37</v>
      </c>
      <c r="U969" s="1" t="s">
        <v>37</v>
      </c>
    </row>
    <row r="970" spans="1:21">
      <c r="A970" s="1" t="s">
        <v>5314</v>
      </c>
      <c r="B970" s="1" t="s">
        <v>22</v>
      </c>
      <c r="C970" s="1" t="s">
        <v>23</v>
      </c>
      <c r="D970" s="1" t="s">
        <v>41</v>
      </c>
      <c r="E970" s="1" t="s">
        <v>25</v>
      </c>
      <c r="F970" s="1" t="s">
        <v>26</v>
      </c>
      <c r="G970" s="1" t="s">
        <v>5267</v>
      </c>
      <c r="H970" s="1" t="s">
        <v>119</v>
      </c>
      <c r="I970" s="1" t="s">
        <v>5315</v>
      </c>
      <c r="J970" s="1" t="s">
        <v>5316</v>
      </c>
      <c r="K970" s="1" t="s">
        <v>84</v>
      </c>
      <c r="L970" s="1" t="s">
        <v>4375</v>
      </c>
      <c r="M970" s="1" t="s">
        <v>49</v>
      </c>
      <c r="N970" s="1" t="s">
        <v>5317</v>
      </c>
      <c r="O970" s="1" t="s">
        <v>35</v>
      </c>
      <c r="P970" s="1" t="s">
        <v>5315</v>
      </c>
      <c r="Q970" s="1" t="s">
        <v>386</v>
      </c>
      <c r="R970" s="1" t="s">
        <v>37</v>
      </c>
      <c r="S970" s="1" t="s">
        <v>37</v>
      </c>
      <c r="T970" s="1" t="s">
        <v>37</v>
      </c>
      <c r="U970" s="1" t="s">
        <v>37</v>
      </c>
    </row>
    <row r="971" spans="1:21">
      <c r="A971" s="1" t="s">
        <v>5318</v>
      </c>
      <c r="B971" s="1" t="s">
        <v>115</v>
      </c>
      <c r="C971" s="1" t="s">
        <v>116</v>
      </c>
      <c r="D971" s="1" t="s">
        <v>24</v>
      </c>
      <c r="E971" s="1" t="s">
        <v>25</v>
      </c>
      <c r="F971" s="1" t="s">
        <v>42</v>
      </c>
      <c r="G971" s="1" t="s">
        <v>5319</v>
      </c>
      <c r="H971" s="1" t="s">
        <v>44</v>
      </c>
      <c r="I971" s="1" t="s">
        <v>5320</v>
      </c>
      <c r="J971" s="1" t="s">
        <v>5321</v>
      </c>
      <c r="K971" s="1" t="s">
        <v>179</v>
      </c>
      <c r="L971" s="1" t="s">
        <v>1117</v>
      </c>
      <c r="M971" s="1" t="s">
        <v>59</v>
      </c>
      <c r="N971" s="1" t="s">
        <v>5322</v>
      </c>
      <c r="O971" s="1" t="s">
        <v>35</v>
      </c>
      <c r="P971" s="1" t="s">
        <v>5320</v>
      </c>
      <c r="Q971" s="1" t="s">
        <v>275</v>
      </c>
      <c r="R971" s="1" t="s">
        <v>37</v>
      </c>
      <c r="S971" s="1" t="s">
        <v>37</v>
      </c>
      <c r="T971" s="1" t="s">
        <v>37</v>
      </c>
      <c r="U971" s="1" t="s">
        <v>37</v>
      </c>
    </row>
    <row r="972" spans="1:21">
      <c r="A972" s="1" t="s">
        <v>5323</v>
      </c>
      <c r="B972" s="1" t="s">
        <v>115</v>
      </c>
      <c r="C972" s="1" t="s">
        <v>116</v>
      </c>
      <c r="D972" s="1" t="s">
        <v>24</v>
      </c>
      <c r="E972" s="1" t="s">
        <v>25</v>
      </c>
      <c r="F972" s="1" t="s">
        <v>117</v>
      </c>
      <c r="G972" s="1" t="s">
        <v>202</v>
      </c>
      <c r="H972" s="1" t="s">
        <v>99</v>
      </c>
      <c r="I972" s="1" t="s">
        <v>5324</v>
      </c>
      <c r="J972" s="1" t="s">
        <v>5325</v>
      </c>
      <c r="K972" s="1" t="s">
        <v>187</v>
      </c>
      <c r="L972" s="1" t="s">
        <v>1165</v>
      </c>
      <c r="M972" s="1" t="s">
        <v>59</v>
      </c>
      <c r="N972" s="1" t="s">
        <v>5326</v>
      </c>
      <c r="O972" s="1" t="s">
        <v>35</v>
      </c>
      <c r="P972" s="1" t="s">
        <v>5324</v>
      </c>
      <c r="Q972" s="1" t="s">
        <v>275</v>
      </c>
      <c r="R972" s="1" t="s">
        <v>37</v>
      </c>
      <c r="S972" s="1" t="s">
        <v>37</v>
      </c>
      <c r="T972" s="1" t="s">
        <v>37</v>
      </c>
      <c r="U972" s="1" t="s">
        <v>37</v>
      </c>
    </row>
    <row r="973" spans="1:21">
      <c r="A973" s="1" t="s">
        <v>5327</v>
      </c>
      <c r="B973" s="1" t="s">
        <v>115</v>
      </c>
      <c r="C973" s="1" t="s">
        <v>116</v>
      </c>
      <c r="D973" s="1" t="s">
        <v>24</v>
      </c>
      <c r="E973" s="1" t="s">
        <v>992</v>
      </c>
      <c r="F973" s="1" t="s">
        <v>53</v>
      </c>
      <c r="G973" s="1" t="s">
        <v>5328</v>
      </c>
      <c r="H973" s="1" t="s">
        <v>28</v>
      </c>
      <c r="I973" s="1" t="s">
        <v>5329</v>
      </c>
      <c r="J973" s="1" t="s">
        <v>5330</v>
      </c>
      <c r="K973" s="1" t="s">
        <v>404</v>
      </c>
      <c r="L973" s="1" t="s">
        <v>4778</v>
      </c>
      <c r="M973" s="1" t="s">
        <v>33</v>
      </c>
      <c r="N973" s="1" t="s">
        <v>5331</v>
      </c>
      <c r="O973" s="1" t="s">
        <v>35</v>
      </c>
      <c r="P973" s="1" t="s">
        <v>5329</v>
      </c>
      <c r="Q973" s="1" t="s">
        <v>257</v>
      </c>
      <c r="R973" s="1" t="s">
        <v>37</v>
      </c>
      <c r="S973" s="1" t="s">
        <v>37</v>
      </c>
      <c r="T973" s="1" t="s">
        <v>37</v>
      </c>
      <c r="U973" s="1" t="s">
        <v>37</v>
      </c>
    </row>
    <row r="974" spans="1:21">
      <c r="A974" s="1" t="s">
        <v>5332</v>
      </c>
      <c r="B974" s="1" t="s">
        <v>115</v>
      </c>
      <c r="C974" s="1" t="s">
        <v>116</v>
      </c>
      <c r="D974" s="1" t="s">
        <v>41</v>
      </c>
      <c r="E974" s="1" t="s">
        <v>992</v>
      </c>
      <c r="F974" s="1" t="s">
        <v>42</v>
      </c>
      <c r="G974" s="1" t="s">
        <v>5333</v>
      </c>
      <c r="H974" s="1" t="s">
        <v>28</v>
      </c>
      <c r="I974" s="1" t="s">
        <v>5334</v>
      </c>
      <c r="J974" s="1" t="s">
        <v>5335</v>
      </c>
      <c r="K974" s="1" t="s">
        <v>623</v>
      </c>
      <c r="L974" s="1" t="s">
        <v>5336</v>
      </c>
      <c r="M974" s="1" t="s">
        <v>49</v>
      </c>
      <c r="N974" s="1" t="s">
        <v>5337</v>
      </c>
      <c r="O974" s="1" t="s">
        <v>35</v>
      </c>
      <c r="P974" s="1" t="s">
        <v>5334</v>
      </c>
      <c r="Q974" s="1" t="s">
        <v>618</v>
      </c>
      <c r="R974" s="1" t="s">
        <v>37</v>
      </c>
      <c r="S974" s="1" t="s">
        <v>37</v>
      </c>
      <c r="T974" s="1" t="s">
        <v>37</v>
      </c>
      <c r="U974" s="1" t="s">
        <v>37</v>
      </c>
    </row>
    <row r="975" spans="1:21">
      <c r="A975" s="1" t="s">
        <v>5338</v>
      </c>
      <c r="B975" s="1" t="s">
        <v>22</v>
      </c>
      <c r="C975" s="1" t="s">
        <v>23</v>
      </c>
      <c r="D975" s="1" t="s">
        <v>41</v>
      </c>
      <c r="E975" s="1" t="s">
        <v>992</v>
      </c>
      <c r="F975" s="1" t="s">
        <v>53</v>
      </c>
      <c r="G975" s="1" t="s">
        <v>5339</v>
      </c>
      <c r="H975" s="1" t="s">
        <v>119</v>
      </c>
      <c r="I975" s="1" t="s">
        <v>5340</v>
      </c>
      <c r="J975" s="1" t="s">
        <v>5341</v>
      </c>
      <c r="K975" s="1" t="s">
        <v>562</v>
      </c>
      <c r="L975" s="1" t="s">
        <v>3692</v>
      </c>
      <c r="M975" s="1" t="s">
        <v>49</v>
      </c>
      <c r="N975" s="1" t="s">
        <v>5342</v>
      </c>
      <c r="O975" s="1" t="s">
        <v>35</v>
      </c>
      <c r="P975" s="1" t="s">
        <v>5340</v>
      </c>
      <c r="Q975" s="1" t="s">
        <v>476</v>
      </c>
      <c r="R975" s="1" t="s">
        <v>37</v>
      </c>
      <c r="S975" s="1" t="s">
        <v>37</v>
      </c>
      <c r="T975" s="1" t="s">
        <v>37</v>
      </c>
      <c r="U975" s="1" t="s">
        <v>37</v>
      </c>
    </row>
    <row r="976" spans="1:21">
      <c r="A976" s="1" t="s">
        <v>5343</v>
      </c>
      <c r="B976" s="1" t="s">
        <v>39</v>
      </c>
      <c r="C976" s="1" t="s">
        <v>40</v>
      </c>
      <c r="D976" s="1" t="s">
        <v>41</v>
      </c>
      <c r="E976" s="1" t="s">
        <v>992</v>
      </c>
      <c r="F976" s="1" t="s">
        <v>127</v>
      </c>
      <c r="G976" s="1" t="s">
        <v>5344</v>
      </c>
      <c r="H976" s="1" t="s">
        <v>107</v>
      </c>
      <c r="I976" s="1" t="s">
        <v>5345</v>
      </c>
      <c r="J976" s="1" t="s">
        <v>5346</v>
      </c>
      <c r="K976" s="1" t="s">
        <v>156</v>
      </c>
      <c r="L976" s="1" t="s">
        <v>3923</v>
      </c>
      <c r="M976" s="1" t="s">
        <v>49</v>
      </c>
      <c r="N976" s="1" t="s">
        <v>5347</v>
      </c>
      <c r="O976" s="1" t="s">
        <v>35</v>
      </c>
      <c r="P976" s="1" t="s">
        <v>5345</v>
      </c>
      <c r="Q976" s="1" t="s">
        <v>159</v>
      </c>
      <c r="R976" s="1" t="s">
        <v>37</v>
      </c>
      <c r="S976" s="1" t="s">
        <v>37</v>
      </c>
      <c r="T976" s="1" t="s">
        <v>37</v>
      </c>
      <c r="U976" s="1" t="s">
        <v>37</v>
      </c>
    </row>
    <row r="977" spans="1:21">
      <c r="A977" s="1" t="s">
        <v>5348</v>
      </c>
      <c r="B977" s="1" t="s">
        <v>115</v>
      </c>
      <c r="C977" s="1" t="s">
        <v>116</v>
      </c>
      <c r="D977" s="1" t="s">
        <v>24</v>
      </c>
      <c r="E977" s="1" t="s">
        <v>992</v>
      </c>
      <c r="F977" s="1" t="s">
        <v>127</v>
      </c>
      <c r="G977" s="1" t="s">
        <v>5349</v>
      </c>
      <c r="H977" s="1" t="s">
        <v>107</v>
      </c>
      <c r="I977" s="1" t="s">
        <v>5350</v>
      </c>
      <c r="J977" s="1" t="s">
        <v>5351</v>
      </c>
      <c r="K977" s="1" t="s">
        <v>508</v>
      </c>
      <c r="L977" s="1" t="s">
        <v>4798</v>
      </c>
      <c r="M977" s="1" t="s">
        <v>59</v>
      </c>
      <c r="N977" s="1" t="s">
        <v>5352</v>
      </c>
      <c r="O977" s="1" t="s">
        <v>35</v>
      </c>
      <c r="P977" s="1" t="s">
        <v>5350</v>
      </c>
      <c r="Q977" s="1" t="s">
        <v>28</v>
      </c>
      <c r="R977" s="1" t="s">
        <v>37</v>
      </c>
      <c r="S977" s="1" t="s">
        <v>37</v>
      </c>
      <c r="T977" s="1" t="s">
        <v>37</v>
      </c>
      <c r="U977" s="1" t="s">
        <v>37</v>
      </c>
    </row>
    <row r="978" spans="1:21">
      <c r="A978" s="1" t="s">
        <v>5353</v>
      </c>
      <c r="B978" s="1" t="s">
        <v>22</v>
      </c>
      <c r="C978" s="1" t="s">
        <v>23</v>
      </c>
      <c r="D978" s="1" t="s">
        <v>41</v>
      </c>
      <c r="E978" s="1" t="s">
        <v>25</v>
      </c>
      <c r="F978" s="1" t="s">
        <v>117</v>
      </c>
      <c r="G978" s="1" t="s">
        <v>5354</v>
      </c>
      <c r="H978" s="1" t="s">
        <v>129</v>
      </c>
      <c r="I978" s="1" t="s">
        <v>5355</v>
      </c>
      <c r="J978" s="1" t="s">
        <v>5356</v>
      </c>
      <c r="K978" s="1" t="s">
        <v>371</v>
      </c>
      <c r="L978" s="1" t="s">
        <v>188</v>
      </c>
      <c r="M978" s="1" t="s">
        <v>49</v>
      </c>
      <c r="N978" s="1" t="s">
        <v>5357</v>
      </c>
      <c r="O978" s="1" t="s">
        <v>35</v>
      </c>
      <c r="P978" s="1" t="s">
        <v>5355</v>
      </c>
      <c r="Q978" s="1" t="s">
        <v>250</v>
      </c>
      <c r="R978" s="1" t="s">
        <v>37</v>
      </c>
      <c r="S978" s="1" t="s">
        <v>37</v>
      </c>
      <c r="T978" s="1" t="s">
        <v>37</v>
      </c>
      <c r="U978" s="1" t="s">
        <v>37</v>
      </c>
    </row>
    <row r="979" spans="1:21">
      <c r="A979" s="1" t="s">
        <v>5358</v>
      </c>
      <c r="B979" s="1" t="s">
        <v>115</v>
      </c>
      <c r="C979" s="1" t="s">
        <v>116</v>
      </c>
      <c r="D979" s="1" t="s">
        <v>24</v>
      </c>
      <c r="E979" s="1" t="s">
        <v>992</v>
      </c>
      <c r="F979" s="1" t="s">
        <v>117</v>
      </c>
      <c r="G979" s="1" t="s">
        <v>5359</v>
      </c>
      <c r="H979" s="1" t="s">
        <v>90</v>
      </c>
      <c r="I979" s="1" t="s">
        <v>5360</v>
      </c>
      <c r="J979" s="1" t="s">
        <v>5361</v>
      </c>
      <c r="K979" s="1" t="s">
        <v>1500</v>
      </c>
      <c r="L979" s="1" t="s">
        <v>426</v>
      </c>
      <c r="M979" s="1" t="s">
        <v>33</v>
      </c>
      <c r="N979" s="1" t="s">
        <v>5362</v>
      </c>
      <c r="O979" s="1" t="s">
        <v>35</v>
      </c>
      <c r="P979" s="1" t="s">
        <v>5360</v>
      </c>
      <c r="Q979" s="1" t="s">
        <v>752</v>
      </c>
      <c r="R979" s="1" t="s">
        <v>37</v>
      </c>
      <c r="S979" s="1" t="s">
        <v>37</v>
      </c>
      <c r="T979" s="1" t="s">
        <v>37</v>
      </c>
      <c r="U979" s="1" t="s">
        <v>37</v>
      </c>
    </row>
    <row r="980" spans="1:21">
      <c r="A980" s="1" t="s">
        <v>5363</v>
      </c>
      <c r="B980" s="1" t="s">
        <v>115</v>
      </c>
      <c r="C980" s="1" t="s">
        <v>116</v>
      </c>
      <c r="D980" s="1" t="s">
        <v>41</v>
      </c>
      <c r="E980" s="1" t="s">
        <v>25</v>
      </c>
      <c r="F980" s="1" t="s">
        <v>42</v>
      </c>
      <c r="G980" s="1" t="s">
        <v>5364</v>
      </c>
      <c r="H980" s="1" t="s">
        <v>253</v>
      </c>
      <c r="I980" s="1" t="s">
        <v>5365</v>
      </c>
      <c r="J980" s="1" t="s">
        <v>5366</v>
      </c>
      <c r="K980" s="1" t="s">
        <v>262</v>
      </c>
      <c r="L980" s="1" t="s">
        <v>3570</v>
      </c>
      <c r="M980" s="1" t="s">
        <v>59</v>
      </c>
      <c r="N980" s="1" t="s">
        <v>5364</v>
      </c>
      <c r="O980" s="1" t="s">
        <v>35</v>
      </c>
      <c r="P980" s="1" t="s">
        <v>5365</v>
      </c>
      <c r="Q980" s="1" t="s">
        <v>220</v>
      </c>
      <c r="R980" s="1" t="s">
        <v>37</v>
      </c>
      <c r="S980" s="1" t="s">
        <v>37</v>
      </c>
      <c r="T980" s="1" t="s">
        <v>37</v>
      </c>
      <c r="U980" s="1" t="s">
        <v>37</v>
      </c>
    </row>
    <row r="981" spans="1:21">
      <c r="A981" s="1" t="s">
        <v>5367</v>
      </c>
      <c r="B981" s="1" t="s">
        <v>115</v>
      </c>
      <c r="C981" s="1" t="s">
        <v>116</v>
      </c>
      <c r="D981" s="1" t="s">
        <v>41</v>
      </c>
      <c r="E981" s="1" t="s">
        <v>25</v>
      </c>
      <c r="F981" s="1" t="s">
        <v>117</v>
      </c>
      <c r="G981" s="1" t="s">
        <v>5368</v>
      </c>
      <c r="H981" s="1" t="s">
        <v>253</v>
      </c>
      <c r="I981" s="1" t="s">
        <v>5369</v>
      </c>
      <c r="J981" s="1" t="s">
        <v>5370</v>
      </c>
      <c r="K981" s="1" t="s">
        <v>2159</v>
      </c>
      <c r="L981" s="1" t="s">
        <v>3822</v>
      </c>
      <c r="M981" s="1" t="s">
        <v>59</v>
      </c>
      <c r="N981" s="1" t="s">
        <v>5368</v>
      </c>
      <c r="O981" s="1" t="s">
        <v>35</v>
      </c>
      <c r="P981" s="1" t="s">
        <v>5369</v>
      </c>
      <c r="Q981" s="1" t="s">
        <v>434</v>
      </c>
      <c r="R981" s="1" t="s">
        <v>37</v>
      </c>
      <c r="S981" s="1" t="s">
        <v>37</v>
      </c>
      <c r="T981" s="1" t="s">
        <v>37</v>
      </c>
      <c r="U981" s="1" t="s">
        <v>37</v>
      </c>
    </row>
    <row r="982" spans="1:21">
      <c r="A982" s="1" t="s">
        <v>5371</v>
      </c>
      <c r="B982" s="1" t="s">
        <v>39</v>
      </c>
      <c r="C982" s="1" t="s">
        <v>40</v>
      </c>
      <c r="D982" s="1" t="s">
        <v>24</v>
      </c>
      <c r="E982" s="1" t="s">
        <v>992</v>
      </c>
      <c r="F982" s="1" t="s">
        <v>117</v>
      </c>
      <c r="G982" s="1" t="s">
        <v>5372</v>
      </c>
      <c r="H982" s="1" t="s">
        <v>129</v>
      </c>
      <c r="I982" s="1" t="s">
        <v>5373</v>
      </c>
      <c r="J982" s="1" t="s">
        <v>5374</v>
      </c>
      <c r="K982" s="1" t="s">
        <v>823</v>
      </c>
      <c r="L982" s="1" t="s">
        <v>556</v>
      </c>
      <c r="M982" s="1" t="s">
        <v>49</v>
      </c>
      <c r="N982" s="1" t="s">
        <v>5375</v>
      </c>
      <c r="O982" s="1" t="s">
        <v>35</v>
      </c>
      <c r="P982" s="1" t="s">
        <v>5373</v>
      </c>
      <c r="Q982" s="1" t="s">
        <v>971</v>
      </c>
      <c r="R982" s="1" t="s">
        <v>37</v>
      </c>
      <c r="S982" s="1" t="s">
        <v>37</v>
      </c>
      <c r="T982" s="1" t="s">
        <v>37</v>
      </c>
      <c r="U982" s="1" t="s">
        <v>37</v>
      </c>
    </row>
    <row r="983" spans="1:21">
      <c r="A983" s="1" t="s">
        <v>5376</v>
      </c>
      <c r="B983" s="1" t="s">
        <v>22</v>
      </c>
      <c r="C983" s="1" t="s">
        <v>23</v>
      </c>
      <c r="D983" s="1" t="s">
        <v>41</v>
      </c>
      <c r="E983" s="1" t="s">
        <v>992</v>
      </c>
      <c r="F983" s="1" t="s">
        <v>26</v>
      </c>
      <c r="G983" s="1" t="s">
        <v>5377</v>
      </c>
      <c r="H983" s="1" t="s">
        <v>129</v>
      </c>
      <c r="I983" s="1" t="s">
        <v>5378</v>
      </c>
      <c r="J983" s="1" t="s">
        <v>5379</v>
      </c>
      <c r="K983" s="1" t="s">
        <v>629</v>
      </c>
      <c r="L983" s="1" t="s">
        <v>2254</v>
      </c>
      <c r="M983" s="1" t="s">
        <v>49</v>
      </c>
      <c r="N983" s="1" t="s">
        <v>5380</v>
      </c>
      <c r="O983" s="1" t="s">
        <v>35</v>
      </c>
      <c r="P983" s="1" t="s">
        <v>5378</v>
      </c>
      <c r="Q983" s="1" t="s">
        <v>70</v>
      </c>
      <c r="R983" s="1" t="s">
        <v>37</v>
      </c>
      <c r="S983" s="1" t="s">
        <v>37</v>
      </c>
      <c r="T983" s="1" t="s">
        <v>37</v>
      </c>
      <c r="U983" s="1" t="s">
        <v>37</v>
      </c>
    </row>
    <row r="984" spans="1:21">
      <c r="A984" s="1" t="s">
        <v>5381</v>
      </c>
      <c r="B984" s="1" t="s">
        <v>22</v>
      </c>
      <c r="C984" s="1" t="s">
        <v>23</v>
      </c>
      <c r="D984" s="1" t="s">
        <v>24</v>
      </c>
      <c r="E984" s="1" t="s">
        <v>25</v>
      </c>
      <c r="F984" s="1" t="s">
        <v>72</v>
      </c>
      <c r="G984" s="1" t="s">
        <v>5382</v>
      </c>
      <c r="H984" s="1" t="s">
        <v>275</v>
      </c>
      <c r="I984" s="1" t="s">
        <v>5383</v>
      </c>
      <c r="J984" s="1" t="s">
        <v>5384</v>
      </c>
      <c r="K984" s="1" t="s">
        <v>1718</v>
      </c>
      <c r="L984" s="1" t="s">
        <v>3627</v>
      </c>
      <c r="M984" s="1" t="s">
        <v>33</v>
      </c>
      <c r="N984" s="1" t="s">
        <v>5385</v>
      </c>
      <c r="O984" s="1" t="s">
        <v>35</v>
      </c>
      <c r="P984" s="1" t="s">
        <v>5383</v>
      </c>
      <c r="Q984" s="1" t="s">
        <v>61</v>
      </c>
      <c r="R984" s="1" t="s">
        <v>37</v>
      </c>
      <c r="S984" s="1" t="s">
        <v>37</v>
      </c>
      <c r="T984" s="1" t="s">
        <v>37</v>
      </c>
      <c r="U984" s="1" t="s">
        <v>37</v>
      </c>
    </row>
    <row r="985" spans="1:21">
      <c r="A985" s="1" t="s">
        <v>5386</v>
      </c>
      <c r="B985" s="1" t="s">
        <v>39</v>
      </c>
      <c r="C985" s="1" t="s">
        <v>40</v>
      </c>
      <c r="D985" s="1" t="s">
        <v>41</v>
      </c>
      <c r="E985" s="1" t="s">
        <v>992</v>
      </c>
      <c r="F985" s="1" t="s">
        <v>26</v>
      </c>
      <c r="G985" s="1" t="s">
        <v>873</v>
      </c>
      <c r="H985" s="1" t="s">
        <v>28</v>
      </c>
      <c r="I985" s="1" t="s">
        <v>5387</v>
      </c>
      <c r="J985" s="1" t="s">
        <v>5388</v>
      </c>
      <c r="K985" s="1" t="s">
        <v>629</v>
      </c>
      <c r="L985" s="1" t="s">
        <v>3315</v>
      </c>
      <c r="M985" s="1" t="s">
        <v>49</v>
      </c>
      <c r="N985" s="1" t="s">
        <v>5389</v>
      </c>
      <c r="O985" s="1" t="s">
        <v>35</v>
      </c>
      <c r="P985" s="1" t="s">
        <v>5387</v>
      </c>
      <c r="Q985" s="1" t="s">
        <v>440</v>
      </c>
      <c r="R985" s="1" t="s">
        <v>37</v>
      </c>
      <c r="S985" s="1" t="s">
        <v>37</v>
      </c>
      <c r="T985" s="1" t="s">
        <v>37</v>
      </c>
      <c r="U985" s="1" t="s">
        <v>37</v>
      </c>
    </row>
    <row r="986" spans="1:21">
      <c r="A986" s="1" t="s">
        <v>5390</v>
      </c>
      <c r="B986" s="1" t="s">
        <v>39</v>
      </c>
      <c r="C986" s="1" t="s">
        <v>40</v>
      </c>
      <c r="D986" s="1" t="s">
        <v>41</v>
      </c>
      <c r="E986" s="1" t="s">
        <v>992</v>
      </c>
      <c r="F986" s="1" t="s">
        <v>42</v>
      </c>
      <c r="G986" s="1" t="s">
        <v>5391</v>
      </c>
      <c r="H986" s="1" t="s">
        <v>28</v>
      </c>
      <c r="I986" s="1" t="s">
        <v>5392</v>
      </c>
      <c r="J986" s="1" t="s">
        <v>5393</v>
      </c>
      <c r="K986" s="1" t="s">
        <v>595</v>
      </c>
      <c r="L986" s="1" t="s">
        <v>2812</v>
      </c>
      <c r="M986" s="1" t="s">
        <v>49</v>
      </c>
      <c r="N986" s="1" t="s">
        <v>5394</v>
      </c>
      <c r="O986" s="1" t="s">
        <v>35</v>
      </c>
      <c r="P986" s="1" t="s">
        <v>5392</v>
      </c>
      <c r="Q986" s="1" t="s">
        <v>90</v>
      </c>
      <c r="R986" s="1" t="s">
        <v>37</v>
      </c>
      <c r="S986" s="1" t="s">
        <v>37</v>
      </c>
      <c r="T986" s="1" t="s">
        <v>37</v>
      </c>
      <c r="U986" s="1" t="s">
        <v>37</v>
      </c>
    </row>
    <row r="987" spans="1:21">
      <c r="A987" s="1" t="s">
        <v>5395</v>
      </c>
      <c r="B987" s="1" t="s">
        <v>115</v>
      </c>
      <c r="C987" s="1" t="s">
        <v>116</v>
      </c>
      <c r="D987" s="1" t="s">
        <v>41</v>
      </c>
      <c r="E987" s="1" t="s">
        <v>25</v>
      </c>
      <c r="F987" s="1" t="s">
        <v>127</v>
      </c>
      <c r="G987" s="1" t="s">
        <v>5396</v>
      </c>
      <c r="H987" s="1" t="s">
        <v>44</v>
      </c>
      <c r="I987" s="1" t="s">
        <v>5397</v>
      </c>
      <c r="J987" s="1" t="s">
        <v>5398</v>
      </c>
      <c r="K987" s="1" t="s">
        <v>156</v>
      </c>
      <c r="L987" s="1" t="s">
        <v>1312</v>
      </c>
      <c r="M987" s="1" t="s">
        <v>33</v>
      </c>
      <c r="N987" s="1" t="s">
        <v>5399</v>
      </c>
      <c r="O987" s="1" t="s">
        <v>35</v>
      </c>
      <c r="P987" s="1" t="s">
        <v>5397</v>
      </c>
      <c r="Q987" s="1" t="s">
        <v>250</v>
      </c>
      <c r="R987" s="1" t="s">
        <v>37</v>
      </c>
      <c r="S987" s="1" t="s">
        <v>37</v>
      </c>
      <c r="T987" s="1" t="s">
        <v>37</v>
      </c>
      <c r="U987" s="1" t="s">
        <v>37</v>
      </c>
    </row>
    <row r="988" spans="1:21">
      <c r="A988" s="1" t="s">
        <v>5400</v>
      </c>
      <c r="B988" s="1" t="s">
        <v>115</v>
      </c>
      <c r="C988" s="1" t="s">
        <v>116</v>
      </c>
      <c r="D988" s="1" t="s">
        <v>41</v>
      </c>
      <c r="E988" s="1" t="s">
        <v>25</v>
      </c>
      <c r="F988" s="1" t="s">
        <v>26</v>
      </c>
      <c r="G988" s="1" t="s">
        <v>5401</v>
      </c>
      <c r="H988" s="1" t="s">
        <v>107</v>
      </c>
      <c r="I988" s="1" t="s">
        <v>5402</v>
      </c>
      <c r="J988" s="1" t="s">
        <v>5403</v>
      </c>
      <c r="K988" s="1" t="s">
        <v>955</v>
      </c>
      <c r="L988" s="1" t="s">
        <v>432</v>
      </c>
      <c r="M988" s="1" t="s">
        <v>33</v>
      </c>
      <c r="N988" s="1" t="s">
        <v>5404</v>
      </c>
      <c r="O988" s="1" t="s">
        <v>35</v>
      </c>
      <c r="P988" s="1" t="s">
        <v>5402</v>
      </c>
      <c r="Q988" s="1" t="s">
        <v>550</v>
      </c>
      <c r="R988" s="1" t="s">
        <v>37</v>
      </c>
      <c r="S988" s="1" t="s">
        <v>37</v>
      </c>
      <c r="T988" s="1" t="s">
        <v>37</v>
      </c>
      <c r="U988" s="1" t="s">
        <v>37</v>
      </c>
    </row>
    <row r="989" spans="1:21">
      <c r="A989" s="1" t="s">
        <v>5405</v>
      </c>
      <c r="B989" s="1" t="s">
        <v>115</v>
      </c>
      <c r="C989" s="1" t="s">
        <v>116</v>
      </c>
      <c r="D989" s="1" t="s">
        <v>24</v>
      </c>
      <c r="E989" s="1" t="s">
        <v>992</v>
      </c>
      <c r="F989" s="1" t="s">
        <v>26</v>
      </c>
      <c r="G989" s="1" t="s">
        <v>5406</v>
      </c>
      <c r="H989" s="1" t="s">
        <v>64</v>
      </c>
      <c r="I989" s="1" t="s">
        <v>5407</v>
      </c>
      <c r="J989" s="1" t="s">
        <v>5408</v>
      </c>
      <c r="K989" s="1" t="s">
        <v>1164</v>
      </c>
      <c r="L989" s="1" t="s">
        <v>1294</v>
      </c>
      <c r="M989" s="1" t="s">
        <v>59</v>
      </c>
      <c r="N989" s="1" t="s">
        <v>5409</v>
      </c>
      <c r="O989" s="1" t="s">
        <v>35</v>
      </c>
      <c r="P989" s="1" t="s">
        <v>5407</v>
      </c>
      <c r="Q989" s="1" t="s">
        <v>957</v>
      </c>
      <c r="R989" s="1" t="s">
        <v>37</v>
      </c>
      <c r="S989" s="1" t="s">
        <v>37</v>
      </c>
      <c r="T989" s="1" t="s">
        <v>37</v>
      </c>
      <c r="U989" s="1" t="s">
        <v>37</v>
      </c>
    </row>
    <row r="990" spans="1:21">
      <c r="A990" s="1" t="s">
        <v>5410</v>
      </c>
      <c r="B990" s="1" t="s">
        <v>39</v>
      </c>
      <c r="C990" s="1" t="s">
        <v>40</v>
      </c>
      <c r="D990" s="1" t="s">
        <v>24</v>
      </c>
      <c r="E990" s="1" t="s">
        <v>992</v>
      </c>
      <c r="F990" s="1" t="s">
        <v>42</v>
      </c>
      <c r="G990" s="1" t="s">
        <v>5411</v>
      </c>
      <c r="H990" s="1" t="s">
        <v>99</v>
      </c>
      <c r="I990" s="1" t="s">
        <v>5412</v>
      </c>
      <c r="J990" s="1" t="s">
        <v>5413</v>
      </c>
      <c r="K990" s="1" t="s">
        <v>164</v>
      </c>
      <c r="L990" s="1" t="s">
        <v>5414</v>
      </c>
      <c r="M990" s="1" t="s">
        <v>33</v>
      </c>
      <c r="N990" s="1" t="s">
        <v>5415</v>
      </c>
      <c r="O990" s="1" t="s">
        <v>35</v>
      </c>
      <c r="P990" s="1" t="s">
        <v>5412</v>
      </c>
      <c r="Q990" s="1" t="s">
        <v>550</v>
      </c>
      <c r="R990" s="1" t="s">
        <v>37</v>
      </c>
      <c r="S990" s="1" t="s">
        <v>37</v>
      </c>
      <c r="T990" s="1" t="s">
        <v>37</v>
      </c>
      <c r="U990" s="1" t="s">
        <v>37</v>
      </c>
    </row>
    <row r="991" spans="1:21">
      <c r="A991" s="1" t="s">
        <v>5416</v>
      </c>
      <c r="B991" s="1" t="s">
        <v>115</v>
      </c>
      <c r="C991" s="1" t="s">
        <v>116</v>
      </c>
      <c r="D991" s="1" t="s">
        <v>24</v>
      </c>
      <c r="E991" s="1" t="s">
        <v>992</v>
      </c>
      <c r="F991" s="1" t="s">
        <v>26</v>
      </c>
      <c r="G991" s="1" t="s">
        <v>5417</v>
      </c>
      <c r="H991" s="1" t="s">
        <v>64</v>
      </c>
      <c r="I991" s="1" t="s">
        <v>5418</v>
      </c>
      <c r="J991" s="1" t="s">
        <v>5419</v>
      </c>
      <c r="K991" s="1" t="s">
        <v>290</v>
      </c>
      <c r="L991" s="1" t="s">
        <v>439</v>
      </c>
      <c r="M991" s="1" t="s">
        <v>59</v>
      </c>
      <c r="N991" s="1" t="s">
        <v>5420</v>
      </c>
      <c r="O991" s="1" t="s">
        <v>35</v>
      </c>
      <c r="P991" s="1" t="s">
        <v>5418</v>
      </c>
      <c r="Q991" s="1" t="s">
        <v>70</v>
      </c>
      <c r="R991" s="1" t="s">
        <v>37</v>
      </c>
      <c r="S991" s="1" t="s">
        <v>37</v>
      </c>
      <c r="T991" s="1" t="s">
        <v>37</v>
      </c>
      <c r="U991" s="1" t="s">
        <v>37</v>
      </c>
    </row>
    <row r="992" spans="1:21">
      <c r="A992" s="1" t="s">
        <v>5421</v>
      </c>
      <c r="B992" s="1" t="s">
        <v>22</v>
      </c>
      <c r="C992" s="1" t="s">
        <v>23</v>
      </c>
      <c r="D992" s="1" t="s">
        <v>41</v>
      </c>
      <c r="E992" s="1" t="s">
        <v>25</v>
      </c>
      <c r="F992" s="1" t="s">
        <v>117</v>
      </c>
      <c r="G992" s="1" t="s">
        <v>5422</v>
      </c>
      <c r="H992" s="1" t="s">
        <v>44</v>
      </c>
      <c r="I992" s="1" t="s">
        <v>5423</v>
      </c>
      <c r="J992" s="1" t="s">
        <v>5424</v>
      </c>
      <c r="K992" s="1" t="s">
        <v>247</v>
      </c>
      <c r="L992" s="1" t="s">
        <v>1625</v>
      </c>
      <c r="M992" s="1" t="s">
        <v>59</v>
      </c>
      <c r="N992" s="1" t="s">
        <v>5425</v>
      </c>
      <c r="O992" s="1" t="s">
        <v>35</v>
      </c>
      <c r="P992" s="1" t="s">
        <v>5423</v>
      </c>
      <c r="Q992" s="1" t="s">
        <v>135</v>
      </c>
      <c r="R992" s="1" t="s">
        <v>37</v>
      </c>
      <c r="S992" s="1" t="s">
        <v>37</v>
      </c>
      <c r="T992" s="1" t="s">
        <v>37</v>
      </c>
      <c r="U992" s="1" t="s">
        <v>37</v>
      </c>
    </row>
    <row r="993" spans="1:21">
      <c r="A993" s="1" t="s">
        <v>5426</v>
      </c>
      <c r="B993" s="1" t="s">
        <v>115</v>
      </c>
      <c r="C993" s="1" t="s">
        <v>116</v>
      </c>
      <c r="D993" s="1" t="s">
        <v>41</v>
      </c>
      <c r="E993" s="1" t="s">
        <v>25</v>
      </c>
      <c r="F993" s="1" t="s">
        <v>72</v>
      </c>
      <c r="G993" s="1" t="s">
        <v>5427</v>
      </c>
      <c r="H993" s="1" t="s">
        <v>99</v>
      </c>
      <c r="I993" s="1" t="s">
        <v>1693</v>
      </c>
      <c r="J993" s="1" t="s">
        <v>5428</v>
      </c>
      <c r="K993" s="1" t="s">
        <v>541</v>
      </c>
      <c r="L993" s="1" t="s">
        <v>3570</v>
      </c>
      <c r="M993" s="1" t="s">
        <v>33</v>
      </c>
      <c r="N993" s="1" t="s">
        <v>5429</v>
      </c>
      <c r="O993" s="1" t="s">
        <v>35</v>
      </c>
      <c r="P993" s="1" t="s">
        <v>1693</v>
      </c>
      <c r="Q993" s="1" t="s">
        <v>90</v>
      </c>
      <c r="R993" s="1" t="s">
        <v>37</v>
      </c>
      <c r="S993" s="1" t="s">
        <v>37</v>
      </c>
      <c r="T993" s="1" t="s">
        <v>37</v>
      </c>
      <c r="U993" s="1" t="s">
        <v>37</v>
      </c>
    </row>
    <row r="994" spans="1:21">
      <c r="A994" s="1" t="s">
        <v>5430</v>
      </c>
      <c r="B994" s="1" t="s">
        <v>22</v>
      </c>
      <c r="C994" s="1" t="s">
        <v>23</v>
      </c>
      <c r="D994" s="1" t="s">
        <v>41</v>
      </c>
      <c r="E994" s="1" t="s">
        <v>992</v>
      </c>
      <c r="F994" s="1" t="s">
        <v>42</v>
      </c>
      <c r="G994" s="1" t="s">
        <v>5431</v>
      </c>
      <c r="H994" s="1" t="s">
        <v>107</v>
      </c>
      <c r="I994" s="1" t="s">
        <v>5432</v>
      </c>
      <c r="J994" s="1" t="s">
        <v>5433</v>
      </c>
      <c r="K994" s="1" t="s">
        <v>262</v>
      </c>
      <c r="L994" s="1" t="s">
        <v>3046</v>
      </c>
      <c r="M994" s="1" t="s">
        <v>33</v>
      </c>
      <c r="N994" s="1" t="s">
        <v>5434</v>
      </c>
      <c r="O994" s="1" t="s">
        <v>35</v>
      </c>
      <c r="P994" s="1" t="s">
        <v>5432</v>
      </c>
      <c r="Q994" s="1" t="s">
        <v>944</v>
      </c>
      <c r="R994" s="1" t="s">
        <v>37</v>
      </c>
      <c r="S994" s="1" t="s">
        <v>37</v>
      </c>
      <c r="T994" s="1" t="s">
        <v>37</v>
      </c>
      <c r="U994" s="1" t="s">
        <v>37</v>
      </c>
    </row>
    <row r="995" spans="1:21">
      <c r="A995" s="1" t="s">
        <v>5435</v>
      </c>
      <c r="B995" s="1" t="s">
        <v>115</v>
      </c>
      <c r="C995" s="1" t="s">
        <v>116</v>
      </c>
      <c r="D995" s="1" t="s">
        <v>41</v>
      </c>
      <c r="E995" s="1" t="s">
        <v>992</v>
      </c>
      <c r="F995" s="1" t="s">
        <v>127</v>
      </c>
      <c r="G995" s="1" t="s">
        <v>5436</v>
      </c>
      <c r="H995" s="1" t="s">
        <v>99</v>
      </c>
      <c r="I995" s="1" t="s">
        <v>5437</v>
      </c>
      <c r="J995" s="1" t="s">
        <v>5438</v>
      </c>
      <c r="K995" s="1" t="s">
        <v>1008</v>
      </c>
      <c r="L995" s="1" t="s">
        <v>4772</v>
      </c>
      <c r="M995" s="1" t="s">
        <v>33</v>
      </c>
      <c r="N995" s="1" t="s">
        <v>5439</v>
      </c>
      <c r="O995" s="1" t="s">
        <v>35</v>
      </c>
      <c r="P995" s="1" t="s">
        <v>5437</v>
      </c>
      <c r="Q995" s="1" t="s">
        <v>468</v>
      </c>
      <c r="R995" s="1" t="s">
        <v>37</v>
      </c>
      <c r="S995" s="1" t="s">
        <v>37</v>
      </c>
      <c r="T995" s="1" t="s">
        <v>37</v>
      </c>
      <c r="U995" s="1" t="s">
        <v>37</v>
      </c>
    </row>
    <row r="996" spans="1:21">
      <c r="A996" s="1" t="s">
        <v>5440</v>
      </c>
      <c r="B996" s="1" t="s">
        <v>39</v>
      </c>
      <c r="C996" s="1" t="s">
        <v>40</v>
      </c>
      <c r="D996" s="1" t="s">
        <v>24</v>
      </c>
      <c r="E996" s="1" t="s">
        <v>25</v>
      </c>
      <c r="F996" s="1" t="s">
        <v>42</v>
      </c>
      <c r="G996" s="1" t="s">
        <v>3201</v>
      </c>
      <c r="H996" s="1" t="s">
        <v>253</v>
      </c>
      <c r="I996" s="1" t="s">
        <v>5441</v>
      </c>
      <c r="J996" s="1" t="s">
        <v>5442</v>
      </c>
      <c r="K996" s="1" t="s">
        <v>955</v>
      </c>
      <c r="L996" s="1" t="s">
        <v>2812</v>
      </c>
      <c r="M996" s="1" t="s">
        <v>33</v>
      </c>
      <c r="N996" s="1" t="s">
        <v>3201</v>
      </c>
      <c r="O996" s="1" t="s">
        <v>35</v>
      </c>
      <c r="P996" s="1" t="s">
        <v>5441</v>
      </c>
      <c r="Q996" s="1" t="s">
        <v>125</v>
      </c>
      <c r="R996" s="1" t="s">
        <v>37</v>
      </c>
      <c r="S996" s="1" t="s">
        <v>37</v>
      </c>
      <c r="T996" s="1" t="s">
        <v>37</v>
      </c>
      <c r="U996" s="1" t="s">
        <v>37</v>
      </c>
    </row>
    <row r="997" spans="1:21">
      <c r="A997" s="1" t="s">
        <v>5443</v>
      </c>
      <c r="B997" s="1" t="s">
        <v>39</v>
      </c>
      <c r="C997" s="1" t="s">
        <v>40</v>
      </c>
      <c r="D997" s="1" t="s">
        <v>41</v>
      </c>
      <c r="E997" s="1" t="s">
        <v>992</v>
      </c>
      <c r="F997" s="1" t="s">
        <v>26</v>
      </c>
      <c r="G997" s="1" t="s">
        <v>5444</v>
      </c>
      <c r="H997" s="1" t="s">
        <v>253</v>
      </c>
      <c r="I997" s="1" t="s">
        <v>5445</v>
      </c>
      <c r="J997" s="1" t="s">
        <v>5446</v>
      </c>
      <c r="K997" s="1" t="s">
        <v>1057</v>
      </c>
      <c r="L997" s="1" t="s">
        <v>1459</v>
      </c>
      <c r="M997" s="1" t="s">
        <v>33</v>
      </c>
      <c r="N997" s="1" t="s">
        <v>5444</v>
      </c>
      <c r="O997" s="1" t="s">
        <v>35</v>
      </c>
      <c r="P997" s="1" t="s">
        <v>5445</v>
      </c>
      <c r="Q997" s="1" t="s">
        <v>957</v>
      </c>
      <c r="R997" s="1" t="s">
        <v>37</v>
      </c>
      <c r="S997" s="1" t="s">
        <v>37</v>
      </c>
      <c r="T997" s="1" t="s">
        <v>37</v>
      </c>
      <c r="U997" s="1" t="s">
        <v>37</v>
      </c>
    </row>
    <row r="998" spans="1:21">
      <c r="A998" s="1" t="s">
        <v>5447</v>
      </c>
      <c r="B998" s="1" t="s">
        <v>115</v>
      </c>
      <c r="C998" s="1" t="s">
        <v>116</v>
      </c>
      <c r="D998" s="1" t="s">
        <v>41</v>
      </c>
      <c r="E998" s="1" t="s">
        <v>25</v>
      </c>
      <c r="F998" s="1" t="s">
        <v>53</v>
      </c>
      <c r="G998" s="1" t="s">
        <v>5448</v>
      </c>
      <c r="H998" s="1" t="s">
        <v>99</v>
      </c>
      <c r="I998" s="1" t="s">
        <v>5449</v>
      </c>
      <c r="J998" s="1" t="s">
        <v>5450</v>
      </c>
      <c r="K998" s="1" t="s">
        <v>240</v>
      </c>
      <c r="L998" s="1" t="s">
        <v>3157</v>
      </c>
      <c r="M998" s="1" t="s">
        <v>33</v>
      </c>
      <c r="N998" s="1" t="s">
        <v>5451</v>
      </c>
      <c r="O998" s="1" t="s">
        <v>35</v>
      </c>
      <c r="P998" s="1" t="s">
        <v>5449</v>
      </c>
      <c r="Q998" s="1" t="s">
        <v>205</v>
      </c>
      <c r="R998" s="1" t="s">
        <v>37</v>
      </c>
      <c r="S998" s="1" t="s">
        <v>37</v>
      </c>
      <c r="T998" s="1" t="s">
        <v>37</v>
      </c>
      <c r="U998" s="1" t="s">
        <v>37</v>
      </c>
    </row>
    <row r="999" spans="1:21">
      <c r="A999" s="1" t="s">
        <v>5452</v>
      </c>
      <c r="B999" s="1" t="s">
        <v>22</v>
      </c>
      <c r="C999" s="1" t="s">
        <v>23</v>
      </c>
      <c r="D999" s="1" t="s">
        <v>24</v>
      </c>
      <c r="E999" s="1" t="s">
        <v>992</v>
      </c>
      <c r="F999" s="1" t="s">
        <v>117</v>
      </c>
      <c r="G999" s="1" t="s">
        <v>5453</v>
      </c>
      <c r="H999" s="1" t="s">
        <v>253</v>
      </c>
      <c r="I999" s="1" t="s">
        <v>5454</v>
      </c>
      <c r="J999" s="1" t="s">
        <v>5455</v>
      </c>
      <c r="K999" s="1" t="s">
        <v>718</v>
      </c>
      <c r="L999" s="1" t="s">
        <v>743</v>
      </c>
      <c r="M999" s="1" t="s">
        <v>49</v>
      </c>
      <c r="N999" s="1" t="s">
        <v>5453</v>
      </c>
      <c r="O999" s="1" t="s">
        <v>35</v>
      </c>
      <c r="P999" s="1" t="s">
        <v>5454</v>
      </c>
      <c r="Q999" s="1" t="s">
        <v>265</v>
      </c>
      <c r="R999" s="1" t="s">
        <v>37</v>
      </c>
      <c r="S999" s="1" t="s">
        <v>37</v>
      </c>
      <c r="T999" s="1" t="s">
        <v>37</v>
      </c>
      <c r="U999" s="1" t="s">
        <v>37</v>
      </c>
    </row>
    <row r="1000" spans="1:21">
      <c r="A1000" s="1" t="s">
        <v>5456</v>
      </c>
      <c r="B1000" s="1" t="s">
        <v>22</v>
      </c>
      <c r="C1000" s="1" t="s">
        <v>23</v>
      </c>
      <c r="D1000" s="1" t="s">
        <v>41</v>
      </c>
      <c r="E1000" s="1" t="s">
        <v>992</v>
      </c>
      <c r="F1000" s="1" t="s">
        <v>53</v>
      </c>
      <c r="G1000" s="1" t="s">
        <v>5457</v>
      </c>
      <c r="H1000" s="1" t="s">
        <v>253</v>
      </c>
      <c r="I1000" s="1" t="s">
        <v>5458</v>
      </c>
      <c r="J1000" s="1" t="s">
        <v>5459</v>
      </c>
      <c r="K1000" s="1" t="s">
        <v>1008</v>
      </c>
      <c r="L1000" s="1" t="s">
        <v>4136</v>
      </c>
      <c r="M1000" s="1" t="s">
        <v>49</v>
      </c>
      <c r="N1000" s="1" t="s">
        <v>5457</v>
      </c>
      <c r="O1000" s="1" t="s">
        <v>35</v>
      </c>
      <c r="P1000" s="1" t="s">
        <v>5458</v>
      </c>
      <c r="Q1000" s="1" t="s">
        <v>87</v>
      </c>
      <c r="R1000" s="1" t="s">
        <v>37</v>
      </c>
      <c r="S1000" s="1" t="s">
        <v>37</v>
      </c>
      <c r="T1000" s="1" t="s">
        <v>37</v>
      </c>
      <c r="U1000" s="1" t="s">
        <v>37</v>
      </c>
    </row>
    <row r="1001" spans="1:21">
      <c r="A1001" s="1" t="s">
        <v>5460</v>
      </c>
      <c r="B1001" s="1" t="s">
        <v>22</v>
      </c>
      <c r="C1001" s="1" t="s">
        <v>23</v>
      </c>
      <c r="D1001" s="1" t="s">
        <v>24</v>
      </c>
      <c r="E1001" s="1" t="s">
        <v>25</v>
      </c>
      <c r="F1001" s="1" t="s">
        <v>127</v>
      </c>
      <c r="G1001" s="1" t="s">
        <v>5461</v>
      </c>
      <c r="H1001" s="1" t="s">
        <v>28</v>
      </c>
      <c r="I1001" s="1" t="s">
        <v>5462</v>
      </c>
      <c r="J1001" s="1" t="s">
        <v>5463</v>
      </c>
      <c r="K1001" s="1" t="s">
        <v>955</v>
      </c>
      <c r="L1001" s="1" t="s">
        <v>3140</v>
      </c>
      <c r="M1001" s="1" t="s">
        <v>49</v>
      </c>
      <c r="N1001" s="1" t="s">
        <v>5464</v>
      </c>
      <c r="O1001" s="1" t="s">
        <v>35</v>
      </c>
      <c r="P1001" s="1" t="s">
        <v>5462</v>
      </c>
      <c r="Q1001" s="1" t="s">
        <v>468</v>
      </c>
      <c r="R1001" s="1" t="s">
        <v>37</v>
      </c>
      <c r="S1001" s="1" t="s">
        <v>37</v>
      </c>
      <c r="T1001" s="1" t="s">
        <v>37</v>
      </c>
      <c r="U1001" s="1" t="s">
        <v>37</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08FFB-B232-43F0-B731-8DFCFCFA4766}">
  <dimension ref="A1:W1001"/>
  <sheetViews>
    <sheetView topLeftCell="A107" workbookViewId="0">
      <selection activeCell="R1005" sqref="R1005"/>
    </sheetView>
  </sheetViews>
  <sheetFormatPr defaultRowHeight="14.45"/>
  <cols>
    <col min="1" max="1" width="19.5703125" style="2" customWidth="1"/>
    <col min="2" max="2" width="16.7109375" style="2" customWidth="1"/>
    <col min="3" max="3" width="15" style="2" customWidth="1"/>
    <col min="4" max="4" width="20.42578125" style="2" customWidth="1"/>
    <col min="5" max="5" width="14.7109375" style="2" customWidth="1"/>
    <col min="6" max="6" width="27.85546875" style="2" customWidth="1"/>
    <col min="7" max="7" width="18.7109375" style="2" customWidth="1"/>
    <col min="8" max="8" width="10.5703125" style="2" bestFit="1" customWidth="1"/>
    <col min="9" max="9" width="16.7109375" style="2" customWidth="1"/>
    <col min="10" max="10" width="17.28515625" style="2" customWidth="1"/>
    <col min="11" max="11" width="15.85546875" style="2" customWidth="1"/>
    <col min="12" max="12" width="12.85546875" style="2" customWidth="1"/>
    <col min="13" max="13" width="17.85546875" style="2" customWidth="1"/>
    <col min="14" max="14" width="15" style="2" customWidth="1"/>
    <col min="15" max="15" width="24.140625" style="2" bestFit="1" customWidth="1"/>
    <col min="16" max="16" width="18.28515625" style="2" customWidth="1"/>
    <col min="17" max="17" width="12.7109375" style="2" customWidth="1"/>
    <col min="18" max="18" width="15" style="2" customWidth="1"/>
    <col min="19" max="19" width="18.5703125" customWidth="1"/>
    <col min="20" max="20" width="18.28515625" customWidth="1"/>
    <col min="21" max="21" width="17.5703125" customWidth="1"/>
    <col min="22" max="22" width="15.28515625" customWidth="1"/>
    <col min="23" max="23" width="15.42578125" customWidth="1"/>
  </cols>
  <sheetData>
    <row r="1" spans="1:23" s="10" customFormat="1">
      <c r="A1" s="9" t="s">
        <v>5465</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10" t="s">
        <v>5466</v>
      </c>
      <c r="T1" s="10" t="s">
        <v>5467</v>
      </c>
      <c r="U1" s="10" t="s">
        <v>18</v>
      </c>
      <c r="V1" s="10" t="s">
        <v>19</v>
      </c>
      <c r="W1" s="10" t="s">
        <v>20</v>
      </c>
    </row>
    <row r="2" spans="1:23">
      <c r="A2" s="3" t="s">
        <v>21</v>
      </c>
      <c r="B2" s="3" t="s">
        <v>22</v>
      </c>
      <c r="C2" s="3" t="s">
        <v>23</v>
      </c>
      <c r="D2" s="3" t="s">
        <v>24</v>
      </c>
      <c r="E2" s="3" t="s">
        <v>25</v>
      </c>
      <c r="F2" s="3" t="s">
        <v>26</v>
      </c>
      <c r="G2" s="2">
        <v>74.69</v>
      </c>
      <c r="H2" s="2">
        <v>7</v>
      </c>
      <c r="I2" s="2">
        <v>26.141500000000001</v>
      </c>
      <c r="J2" s="2">
        <v>548.97149999999999</v>
      </c>
      <c r="K2" s="5">
        <v>43470</v>
      </c>
      <c r="L2" s="4">
        <v>0.54722222222222228</v>
      </c>
      <c r="M2" s="3" t="s">
        <v>33</v>
      </c>
      <c r="N2" s="2">
        <v>522.83000000000004</v>
      </c>
      <c r="O2" s="2">
        <v>4.7619047620000003</v>
      </c>
      <c r="P2" s="2">
        <v>26.141500000000001</v>
      </c>
      <c r="Q2" s="2">
        <v>9.1</v>
      </c>
      <c r="R2" s="3"/>
      <c r="T2" s="1"/>
      <c r="U2" s="1" t="s">
        <v>37</v>
      </c>
      <c r="V2" s="1" t="s">
        <v>37</v>
      </c>
      <c r="W2" s="1" t="s">
        <v>37</v>
      </c>
    </row>
    <row r="3" spans="1:23">
      <c r="A3" s="3" t="s">
        <v>38</v>
      </c>
      <c r="B3" s="3" t="s">
        <v>39</v>
      </c>
      <c r="C3" s="3" t="s">
        <v>40</v>
      </c>
      <c r="D3" s="3" t="s">
        <v>41</v>
      </c>
      <c r="E3" s="3" t="s">
        <v>25</v>
      </c>
      <c r="F3" s="3" t="s">
        <v>42</v>
      </c>
      <c r="G3" s="2">
        <v>15.28</v>
      </c>
      <c r="H3" s="2">
        <v>5</v>
      </c>
      <c r="I3" s="2">
        <v>3.82</v>
      </c>
      <c r="J3" s="2">
        <v>80.22</v>
      </c>
      <c r="K3" s="5">
        <v>43532</v>
      </c>
      <c r="L3" s="4">
        <v>0.43680555555555556</v>
      </c>
      <c r="M3" s="3" t="s">
        <v>49</v>
      </c>
      <c r="N3" s="2">
        <v>76.400000000000006</v>
      </c>
      <c r="O3" s="2">
        <v>4.7619047620000003</v>
      </c>
      <c r="P3" s="2">
        <v>3.82</v>
      </c>
      <c r="Q3" s="2">
        <v>9.6</v>
      </c>
      <c r="R3" s="3"/>
      <c r="S3" s="1"/>
      <c r="T3" s="1"/>
      <c r="U3" s="1" t="s">
        <v>37</v>
      </c>
      <c r="V3" s="1" t="s">
        <v>37</v>
      </c>
      <c r="W3" s="1" t="s">
        <v>37</v>
      </c>
    </row>
    <row r="4" spans="1:23">
      <c r="A4" s="3" t="s">
        <v>52</v>
      </c>
      <c r="B4" s="3" t="s">
        <v>22</v>
      </c>
      <c r="C4" s="3" t="s">
        <v>23</v>
      </c>
      <c r="D4" s="3" t="s">
        <v>41</v>
      </c>
      <c r="E4" s="3" t="s">
        <v>25</v>
      </c>
      <c r="F4" s="3" t="s">
        <v>53</v>
      </c>
      <c r="G4" s="2">
        <v>46.33</v>
      </c>
      <c r="H4" s="2">
        <v>7</v>
      </c>
      <c r="I4" s="2">
        <v>16.215499999999999</v>
      </c>
      <c r="J4" s="2">
        <v>340.52550000000002</v>
      </c>
      <c r="K4" s="5">
        <v>43527</v>
      </c>
      <c r="L4" s="4">
        <v>0.55763888888888891</v>
      </c>
      <c r="M4" s="3" t="s">
        <v>59</v>
      </c>
      <c r="N4" s="2">
        <v>324.31</v>
      </c>
      <c r="O4" s="2">
        <v>4.7619047620000003</v>
      </c>
      <c r="P4" s="2">
        <v>16.215499999999999</v>
      </c>
      <c r="Q4" s="2">
        <v>7.4</v>
      </c>
      <c r="R4" s="3"/>
      <c r="S4" s="1"/>
      <c r="T4" s="1"/>
      <c r="U4" s="1" t="s">
        <v>37</v>
      </c>
      <c r="V4" s="1" t="s">
        <v>37</v>
      </c>
      <c r="W4" s="1" t="s">
        <v>37</v>
      </c>
    </row>
    <row r="5" spans="1:23">
      <c r="A5" s="3" t="s">
        <v>62</v>
      </c>
      <c r="B5" s="3" t="s">
        <v>22</v>
      </c>
      <c r="C5" s="3" t="s">
        <v>23</v>
      </c>
      <c r="D5" s="3" t="s">
        <v>24</v>
      </c>
      <c r="E5" s="3" t="s">
        <v>25</v>
      </c>
      <c r="F5" s="3" t="s">
        <v>26</v>
      </c>
      <c r="G5" s="2">
        <v>58.22</v>
      </c>
      <c r="H5" s="2">
        <v>8</v>
      </c>
      <c r="I5" s="2">
        <v>23.288</v>
      </c>
      <c r="J5" s="2">
        <v>489.048</v>
      </c>
      <c r="K5" s="5">
        <v>43492</v>
      </c>
      <c r="L5" s="4">
        <v>0.85624999999999996</v>
      </c>
      <c r="M5" s="3" t="s">
        <v>33</v>
      </c>
      <c r="N5" s="2">
        <v>465.76</v>
      </c>
      <c r="O5" s="2">
        <v>4.7619047620000003</v>
      </c>
      <c r="P5" s="2">
        <v>23.288</v>
      </c>
      <c r="Q5" s="2">
        <v>8.4</v>
      </c>
      <c r="R5" s="3"/>
      <c r="S5" s="1"/>
      <c r="T5" s="1"/>
      <c r="U5" s="1" t="s">
        <v>37</v>
      </c>
      <c r="V5" s="1" t="s">
        <v>37</v>
      </c>
      <c r="W5" s="1" t="s">
        <v>37</v>
      </c>
    </row>
    <row r="6" spans="1:23">
      <c r="A6" s="3" t="s">
        <v>71</v>
      </c>
      <c r="B6" s="3" t="s">
        <v>22</v>
      </c>
      <c r="C6" s="3" t="s">
        <v>23</v>
      </c>
      <c r="D6" s="3" t="s">
        <v>24</v>
      </c>
      <c r="E6" s="3" t="s">
        <v>25</v>
      </c>
      <c r="F6" s="3" t="s">
        <v>72</v>
      </c>
      <c r="G6" s="2">
        <v>86.31</v>
      </c>
      <c r="H6" s="2">
        <v>7</v>
      </c>
      <c r="I6" s="2">
        <v>30.208500000000001</v>
      </c>
      <c r="J6" s="2">
        <v>634.37850000000003</v>
      </c>
      <c r="K6" s="5">
        <v>43504</v>
      </c>
      <c r="L6" s="4">
        <v>0.44236111111111109</v>
      </c>
      <c r="M6" s="3" t="s">
        <v>33</v>
      </c>
      <c r="N6" s="2">
        <v>604.16999999999996</v>
      </c>
      <c r="O6" s="2">
        <v>4.7619047620000003</v>
      </c>
      <c r="P6" s="2">
        <v>30.208500000000001</v>
      </c>
      <c r="Q6" s="2">
        <v>5.3</v>
      </c>
      <c r="R6" s="3"/>
      <c r="S6" s="1"/>
      <c r="T6" s="1"/>
      <c r="U6" s="1" t="s">
        <v>37</v>
      </c>
      <c r="V6" s="1" t="s">
        <v>37</v>
      </c>
      <c r="W6" s="1" t="s">
        <v>37</v>
      </c>
    </row>
    <row r="7" spans="1:23">
      <c r="A7" s="3" t="s">
        <v>80</v>
      </c>
      <c r="B7" s="3" t="s">
        <v>39</v>
      </c>
      <c r="C7" s="3" t="s">
        <v>40</v>
      </c>
      <c r="D7" s="3" t="s">
        <v>24</v>
      </c>
      <c r="E7" s="3" t="s">
        <v>25</v>
      </c>
      <c r="F7" s="3" t="s">
        <v>42</v>
      </c>
      <c r="G7" s="2">
        <v>85.39</v>
      </c>
      <c r="H7" s="2">
        <v>7</v>
      </c>
      <c r="I7" s="2">
        <v>29.886500000000002</v>
      </c>
      <c r="J7" s="2">
        <v>627.61649999999997</v>
      </c>
      <c r="K7" s="5">
        <v>43549</v>
      </c>
      <c r="L7" s="4">
        <v>0.77083333333333337</v>
      </c>
      <c r="M7" s="3" t="s">
        <v>33</v>
      </c>
      <c r="N7" s="2">
        <v>597.73</v>
      </c>
      <c r="O7" s="2">
        <v>4.7619047620000003</v>
      </c>
      <c r="P7" s="2">
        <v>29.886500000000002</v>
      </c>
      <c r="Q7" s="2">
        <v>4.0999999999999996</v>
      </c>
      <c r="R7" s="3"/>
      <c r="S7" s="1"/>
      <c r="T7" s="1"/>
      <c r="U7" s="1" t="s">
        <v>37</v>
      </c>
      <c r="V7" s="1" t="s">
        <v>37</v>
      </c>
      <c r="W7" s="1" t="s">
        <v>37</v>
      </c>
    </row>
    <row r="8" spans="1:23">
      <c r="A8" s="3" t="s">
        <v>88</v>
      </c>
      <c r="B8" s="3" t="s">
        <v>22</v>
      </c>
      <c r="C8" s="3" t="s">
        <v>23</v>
      </c>
      <c r="D8" s="3" t="s">
        <v>24</v>
      </c>
      <c r="E8" s="3" t="s">
        <v>25</v>
      </c>
      <c r="F8" s="3" t="s">
        <v>42</v>
      </c>
      <c r="G8" s="2">
        <v>68.84</v>
      </c>
      <c r="H8" s="2">
        <v>6</v>
      </c>
      <c r="I8" s="2">
        <v>20.652000000000001</v>
      </c>
      <c r="J8" s="2">
        <v>433.69200000000001</v>
      </c>
      <c r="K8" s="5">
        <v>43521</v>
      </c>
      <c r="L8" s="4">
        <v>0.60833333333333328</v>
      </c>
      <c r="M8" s="3" t="s">
        <v>33</v>
      </c>
      <c r="N8" s="2">
        <v>413.04</v>
      </c>
      <c r="O8" s="2">
        <v>4.7619047620000003</v>
      </c>
      <c r="P8" s="2">
        <v>20.652000000000001</v>
      </c>
      <c r="Q8" s="2">
        <v>5.8</v>
      </c>
      <c r="R8" s="3"/>
      <c r="S8" s="1"/>
      <c r="T8" s="1"/>
      <c r="U8" s="1" t="s">
        <v>37</v>
      </c>
      <c r="V8" s="1" t="s">
        <v>37</v>
      </c>
      <c r="W8" s="1" t="s">
        <v>37</v>
      </c>
    </row>
    <row r="9" spans="1:23">
      <c r="A9" s="3" t="s">
        <v>97</v>
      </c>
      <c r="B9" s="3" t="s">
        <v>39</v>
      </c>
      <c r="C9" s="3" t="s">
        <v>40</v>
      </c>
      <c r="D9" s="3" t="s">
        <v>24</v>
      </c>
      <c r="E9" s="3" t="s">
        <v>25</v>
      </c>
      <c r="F9" s="3" t="s">
        <v>53</v>
      </c>
      <c r="G9" s="2">
        <v>73.56</v>
      </c>
      <c r="H9" s="2">
        <v>10</v>
      </c>
      <c r="I9" s="2">
        <v>36.78</v>
      </c>
      <c r="J9" s="2">
        <v>772.38</v>
      </c>
      <c r="K9" s="5">
        <v>43520</v>
      </c>
      <c r="L9" s="4">
        <v>0.48472222222222222</v>
      </c>
      <c r="M9" s="3" t="s">
        <v>33</v>
      </c>
      <c r="N9" s="2">
        <v>735.6</v>
      </c>
      <c r="O9" s="2">
        <v>4.7619047620000003</v>
      </c>
      <c r="P9" s="2">
        <v>36.78</v>
      </c>
      <c r="Q9" s="2">
        <v>8</v>
      </c>
      <c r="R9" s="3"/>
      <c r="S9" s="1"/>
      <c r="T9" s="1"/>
      <c r="U9" s="1" t="s">
        <v>37</v>
      </c>
      <c r="V9" s="1" t="s">
        <v>37</v>
      </c>
      <c r="W9" s="1" t="s">
        <v>37</v>
      </c>
    </row>
    <row r="10" spans="1:23">
      <c r="A10" s="3" t="s">
        <v>105</v>
      </c>
      <c r="B10" s="3" t="s">
        <v>22</v>
      </c>
      <c r="C10" s="3" t="s">
        <v>23</v>
      </c>
      <c r="D10" s="3" t="s">
        <v>24</v>
      </c>
      <c r="E10" s="3" t="s">
        <v>25</v>
      </c>
      <c r="F10" s="3" t="s">
        <v>26</v>
      </c>
      <c r="G10" s="2">
        <v>36.26</v>
      </c>
      <c r="H10" s="2">
        <v>2</v>
      </c>
      <c r="I10" s="2">
        <v>3.6259999999999999</v>
      </c>
      <c r="J10" s="2">
        <v>76.146000000000001</v>
      </c>
      <c r="K10" s="5">
        <v>43475</v>
      </c>
      <c r="L10" s="4">
        <v>0.71875</v>
      </c>
      <c r="M10" s="3" t="s">
        <v>59</v>
      </c>
      <c r="N10" s="2">
        <v>72.52</v>
      </c>
      <c r="O10" s="2">
        <v>4.7619047620000003</v>
      </c>
      <c r="P10" s="2">
        <v>3.6259999999999999</v>
      </c>
      <c r="Q10" s="2">
        <v>7.2</v>
      </c>
      <c r="R10" s="3"/>
      <c r="S10" s="1"/>
      <c r="T10" s="1"/>
      <c r="U10" s="1" t="s">
        <v>37</v>
      </c>
      <c r="V10" s="1" t="s">
        <v>37</v>
      </c>
      <c r="W10" s="1" t="s">
        <v>37</v>
      </c>
    </row>
    <row r="11" spans="1:23">
      <c r="A11" s="3" t="s">
        <v>114</v>
      </c>
      <c r="B11" s="3" t="s">
        <v>115</v>
      </c>
      <c r="C11" s="3" t="s">
        <v>116</v>
      </c>
      <c r="D11" s="3" t="s">
        <v>24</v>
      </c>
      <c r="E11" s="3" t="s">
        <v>25</v>
      </c>
      <c r="F11" s="3" t="s">
        <v>117</v>
      </c>
      <c r="G11" s="2">
        <v>54.84</v>
      </c>
      <c r="H11" s="2">
        <v>3</v>
      </c>
      <c r="I11" s="2">
        <v>8.2260000000000009</v>
      </c>
      <c r="J11" s="2">
        <v>172.74600000000001</v>
      </c>
      <c r="K11" s="5">
        <v>43516</v>
      </c>
      <c r="L11" s="4">
        <v>0.56041666666666667</v>
      </c>
      <c r="M11" s="3" t="s">
        <v>59</v>
      </c>
      <c r="N11" s="2">
        <v>164.52</v>
      </c>
      <c r="O11" s="2">
        <v>4.7619047620000003</v>
      </c>
      <c r="P11" s="2">
        <v>8.2260000000000009</v>
      </c>
      <c r="Q11" s="2">
        <v>5.9</v>
      </c>
      <c r="R11" s="3"/>
      <c r="S11" s="1"/>
      <c r="T11" s="1"/>
      <c r="U11" s="1" t="s">
        <v>37</v>
      </c>
      <c r="V11" s="1" t="s">
        <v>37</v>
      </c>
      <c r="W11" s="1"/>
    </row>
    <row r="12" spans="1:23">
      <c r="A12" s="3" t="s">
        <v>126</v>
      </c>
      <c r="B12" s="3" t="s">
        <v>115</v>
      </c>
      <c r="C12" s="3" t="s">
        <v>116</v>
      </c>
      <c r="D12" s="3" t="s">
        <v>24</v>
      </c>
      <c r="E12" s="3" t="s">
        <v>25</v>
      </c>
      <c r="F12" s="3" t="s">
        <v>127</v>
      </c>
      <c r="G12" s="2">
        <v>14.48</v>
      </c>
      <c r="H12" s="2">
        <v>4</v>
      </c>
      <c r="I12" s="2">
        <v>2.8959999999999999</v>
      </c>
      <c r="J12" s="2">
        <v>60.816000000000003</v>
      </c>
      <c r="K12" s="5">
        <v>43502</v>
      </c>
      <c r="L12" s="4">
        <v>0.75486111111111109</v>
      </c>
      <c r="M12" s="3" t="s">
        <v>33</v>
      </c>
      <c r="N12" s="2">
        <v>57.92</v>
      </c>
      <c r="O12" s="2">
        <v>4.7619047620000003</v>
      </c>
      <c r="P12" s="2">
        <v>2.8959999999999999</v>
      </c>
      <c r="Q12" s="2">
        <v>4.5</v>
      </c>
      <c r="R12" s="3"/>
      <c r="S12" s="1"/>
      <c r="T12" s="1"/>
      <c r="U12" s="1" t="s">
        <v>37</v>
      </c>
      <c r="V12" s="1" t="s">
        <v>37</v>
      </c>
      <c r="W12" s="1"/>
    </row>
    <row r="13" spans="1:23">
      <c r="A13" s="3" t="s">
        <v>136</v>
      </c>
      <c r="B13" s="3" t="s">
        <v>115</v>
      </c>
      <c r="C13" s="3" t="s">
        <v>116</v>
      </c>
      <c r="D13" s="3" t="s">
        <v>24</v>
      </c>
      <c r="E13" s="3" t="s">
        <v>25</v>
      </c>
      <c r="F13" s="3" t="s">
        <v>42</v>
      </c>
      <c r="G13" s="2">
        <v>25.51</v>
      </c>
      <c r="H13" s="2">
        <v>4</v>
      </c>
      <c r="I13" s="2">
        <v>5.1020000000000003</v>
      </c>
      <c r="J13" s="2">
        <v>107.142</v>
      </c>
      <c r="K13" s="5">
        <v>43533</v>
      </c>
      <c r="L13" s="4">
        <v>0.7104166666666667</v>
      </c>
      <c r="M13" s="3" t="s">
        <v>49</v>
      </c>
      <c r="N13" s="2">
        <v>102.04</v>
      </c>
      <c r="O13" s="2">
        <v>4.7619047620000003</v>
      </c>
      <c r="P13" s="2">
        <v>5.1020000000000003</v>
      </c>
      <c r="Q13" s="2">
        <v>6.8</v>
      </c>
      <c r="R13" s="3"/>
      <c r="S13" s="1"/>
      <c r="T13" s="1"/>
      <c r="U13" s="1" t="s">
        <v>37</v>
      </c>
      <c r="V13" s="1" t="s">
        <v>37</v>
      </c>
      <c r="W13" s="1"/>
    </row>
    <row r="14" spans="1:23">
      <c r="A14" s="3" t="s">
        <v>144</v>
      </c>
      <c r="B14" s="3" t="s">
        <v>22</v>
      </c>
      <c r="C14" s="3" t="s">
        <v>23</v>
      </c>
      <c r="D14" s="3" t="s">
        <v>24</v>
      </c>
      <c r="E14" s="3" t="s">
        <v>25</v>
      </c>
      <c r="F14" s="3" t="s">
        <v>42</v>
      </c>
      <c r="G14" s="2">
        <v>46.95</v>
      </c>
      <c r="H14" s="2">
        <v>5</v>
      </c>
      <c r="I14" s="2">
        <v>11.737500000000001</v>
      </c>
      <c r="J14" s="2">
        <v>246.48750000000001</v>
      </c>
      <c r="K14" s="5">
        <v>43508</v>
      </c>
      <c r="L14" s="4">
        <v>0.43402777777777779</v>
      </c>
      <c r="M14" s="3" t="s">
        <v>33</v>
      </c>
      <c r="N14" s="2">
        <v>234.75</v>
      </c>
      <c r="O14" s="2">
        <v>4.7619047620000003</v>
      </c>
      <c r="P14" s="2">
        <v>11.737500000000001</v>
      </c>
      <c r="Q14" s="2">
        <v>7.1</v>
      </c>
      <c r="R14" s="3"/>
      <c r="S14" s="1"/>
      <c r="T14" s="1"/>
      <c r="U14" s="1" t="s">
        <v>37</v>
      </c>
      <c r="V14" s="1" t="s">
        <v>37</v>
      </c>
      <c r="W14" s="1"/>
    </row>
    <row r="15" spans="1:23">
      <c r="A15" s="3" t="s">
        <v>152</v>
      </c>
      <c r="B15" s="3" t="s">
        <v>22</v>
      </c>
      <c r="C15" s="3" t="s">
        <v>23</v>
      </c>
      <c r="D15" s="3" t="s">
        <v>24</v>
      </c>
      <c r="E15" s="3" t="s">
        <v>25</v>
      </c>
      <c r="F15" s="3" t="s">
        <v>117</v>
      </c>
      <c r="G15" s="2">
        <v>43.19</v>
      </c>
      <c r="H15" s="2">
        <v>10</v>
      </c>
      <c r="I15" s="2">
        <v>21.594999999999999</v>
      </c>
      <c r="J15" s="2">
        <v>453.495</v>
      </c>
      <c r="K15" s="5">
        <v>43503</v>
      </c>
      <c r="L15" s="4">
        <v>0.7</v>
      </c>
      <c r="M15" s="3" t="s">
        <v>33</v>
      </c>
      <c r="N15" s="2">
        <v>431.9</v>
      </c>
      <c r="O15" s="2">
        <v>4.7619047620000003</v>
      </c>
      <c r="P15" s="2">
        <v>21.594999999999999</v>
      </c>
      <c r="Q15" s="2">
        <v>8.1999999999999993</v>
      </c>
      <c r="R15" s="3"/>
      <c r="S15" s="1"/>
      <c r="T15" s="1"/>
      <c r="U15" s="1" t="s">
        <v>37</v>
      </c>
      <c r="V15" s="1" t="s">
        <v>37</v>
      </c>
      <c r="W15" s="1"/>
    </row>
    <row r="16" spans="1:23">
      <c r="A16" s="3" t="s">
        <v>160</v>
      </c>
      <c r="B16" s="3" t="s">
        <v>22</v>
      </c>
      <c r="C16" s="3" t="s">
        <v>23</v>
      </c>
      <c r="D16" s="3" t="s">
        <v>24</v>
      </c>
      <c r="E16" s="3" t="s">
        <v>25</v>
      </c>
      <c r="F16" s="3" t="s">
        <v>26</v>
      </c>
      <c r="G16" s="2">
        <v>71.38</v>
      </c>
      <c r="H16" s="2">
        <v>10</v>
      </c>
      <c r="I16" s="2">
        <v>35.69</v>
      </c>
      <c r="J16" s="2">
        <v>749.49</v>
      </c>
      <c r="K16" s="5">
        <v>43553</v>
      </c>
      <c r="L16" s="4">
        <v>0.80625000000000002</v>
      </c>
      <c r="M16" s="3" t="s">
        <v>49</v>
      </c>
      <c r="N16" s="2">
        <v>713.8</v>
      </c>
      <c r="O16" s="2">
        <v>4.7619047620000003</v>
      </c>
      <c r="P16" s="2">
        <v>35.69</v>
      </c>
      <c r="Q16" s="2">
        <v>5.7</v>
      </c>
      <c r="R16" s="3"/>
      <c r="S16" s="1"/>
      <c r="T16" s="1"/>
      <c r="U16" s="1" t="s">
        <v>37</v>
      </c>
      <c r="V16" s="1" t="s">
        <v>37</v>
      </c>
      <c r="W16" s="1"/>
    </row>
    <row r="17" spans="1:23">
      <c r="A17" s="3" t="s">
        <v>168</v>
      </c>
      <c r="B17" s="3" t="s">
        <v>115</v>
      </c>
      <c r="C17" s="3" t="s">
        <v>116</v>
      </c>
      <c r="D17" s="3" t="s">
        <v>24</v>
      </c>
      <c r="E17" s="3" t="s">
        <v>25</v>
      </c>
      <c r="F17" s="3" t="s">
        <v>72</v>
      </c>
      <c r="G17" s="2">
        <v>93.72</v>
      </c>
      <c r="H17" s="2">
        <v>6</v>
      </c>
      <c r="I17" s="2">
        <v>28.116</v>
      </c>
      <c r="J17" s="2">
        <v>590.43600000000004</v>
      </c>
      <c r="K17" s="5">
        <v>43480</v>
      </c>
      <c r="L17" s="4">
        <v>0.67986111111111114</v>
      </c>
      <c r="M17" s="3" t="s">
        <v>49</v>
      </c>
      <c r="N17" s="2">
        <v>562.32000000000005</v>
      </c>
      <c r="O17" s="2">
        <v>4.7619047620000003</v>
      </c>
      <c r="P17" s="2">
        <v>28.116</v>
      </c>
      <c r="Q17" s="2">
        <v>4.5</v>
      </c>
      <c r="R17" s="3"/>
      <c r="S17" s="1"/>
      <c r="T17" s="1"/>
      <c r="U17" s="1" t="s">
        <v>37</v>
      </c>
      <c r="V17" s="1" t="s">
        <v>37</v>
      </c>
      <c r="W17" s="1"/>
    </row>
    <row r="18" spans="1:23">
      <c r="A18" s="3" t="s">
        <v>175</v>
      </c>
      <c r="B18" s="3" t="s">
        <v>22</v>
      </c>
      <c r="C18" s="3" t="s">
        <v>23</v>
      </c>
      <c r="D18" s="3" t="s">
        <v>24</v>
      </c>
      <c r="E18" s="3" t="s">
        <v>25</v>
      </c>
      <c r="F18" s="3" t="s">
        <v>26</v>
      </c>
      <c r="G18" s="2">
        <v>68.930000000000007</v>
      </c>
      <c r="H18" s="2">
        <v>7</v>
      </c>
      <c r="I18" s="2">
        <v>24.125499999999999</v>
      </c>
      <c r="J18" s="2">
        <v>506.63549999999998</v>
      </c>
      <c r="K18" s="5">
        <v>43535</v>
      </c>
      <c r="L18" s="4">
        <v>0.46041666666666664</v>
      </c>
      <c r="M18" s="3" t="s">
        <v>59</v>
      </c>
      <c r="N18" s="2">
        <v>482.51</v>
      </c>
      <c r="O18" s="2">
        <v>4.7619047620000003</v>
      </c>
      <c r="P18" s="2">
        <v>24.125499999999999</v>
      </c>
      <c r="Q18" s="2">
        <v>4.5999999999999996</v>
      </c>
      <c r="R18" s="3"/>
      <c r="S18" s="1"/>
      <c r="T18" s="1"/>
      <c r="U18" s="1" t="s">
        <v>37</v>
      </c>
      <c r="V18" s="1" t="s">
        <v>37</v>
      </c>
      <c r="W18" s="1"/>
    </row>
    <row r="19" spans="1:23">
      <c r="A19" s="3" t="s">
        <v>183</v>
      </c>
      <c r="B19" s="3" t="s">
        <v>22</v>
      </c>
      <c r="C19" s="3" t="s">
        <v>23</v>
      </c>
      <c r="D19" s="3" t="s">
        <v>24</v>
      </c>
      <c r="E19" s="3" t="s">
        <v>25</v>
      </c>
      <c r="F19" s="3" t="s">
        <v>72</v>
      </c>
      <c r="G19" s="2">
        <v>72.61</v>
      </c>
      <c r="H19" s="2">
        <v>6</v>
      </c>
      <c r="I19" s="2">
        <v>21.783000000000001</v>
      </c>
      <c r="J19" s="2">
        <v>457.44299999999998</v>
      </c>
      <c r="K19" s="5">
        <v>43466</v>
      </c>
      <c r="L19" s="4">
        <v>0.44374999999999998</v>
      </c>
      <c r="M19" s="3" t="s">
        <v>59</v>
      </c>
      <c r="N19" s="2">
        <v>435.66</v>
      </c>
      <c r="O19" s="2">
        <v>4.7619047620000003</v>
      </c>
      <c r="P19" s="2">
        <v>21.783000000000001</v>
      </c>
      <c r="Q19" s="2">
        <v>6.9</v>
      </c>
      <c r="R19" s="3"/>
      <c r="S19" s="1"/>
      <c r="T19" s="1"/>
      <c r="U19" s="1" t="s">
        <v>37</v>
      </c>
      <c r="V19" s="1" t="s">
        <v>37</v>
      </c>
      <c r="W19" s="1"/>
    </row>
    <row r="20" spans="1:23">
      <c r="A20" s="3" t="s">
        <v>191</v>
      </c>
      <c r="B20" s="3" t="s">
        <v>22</v>
      </c>
      <c r="C20" s="3" t="s">
        <v>23</v>
      </c>
      <c r="D20" s="3" t="s">
        <v>24</v>
      </c>
      <c r="E20" s="3" t="s">
        <v>25</v>
      </c>
      <c r="F20" s="3" t="s">
        <v>117</v>
      </c>
      <c r="G20" s="2">
        <v>54.67</v>
      </c>
      <c r="H20" s="2">
        <v>3</v>
      </c>
      <c r="I20" s="2">
        <v>8.2004999999999999</v>
      </c>
      <c r="J20" s="2">
        <v>172.2105</v>
      </c>
      <c r="K20" s="5">
        <v>43486</v>
      </c>
      <c r="L20" s="4">
        <v>0.75</v>
      </c>
      <c r="M20" s="3" t="s">
        <v>59</v>
      </c>
      <c r="N20" s="2">
        <v>164.01</v>
      </c>
      <c r="O20" s="2">
        <v>4.7619047620000003</v>
      </c>
      <c r="P20" s="2">
        <v>8.2004999999999999</v>
      </c>
      <c r="Q20" s="2">
        <v>8.6</v>
      </c>
      <c r="R20" s="3"/>
      <c r="S20" s="1"/>
      <c r="T20" s="1"/>
      <c r="U20" s="1" t="s">
        <v>37</v>
      </c>
      <c r="V20" s="1" t="s">
        <v>37</v>
      </c>
      <c r="W20" s="1" t="s">
        <v>37</v>
      </c>
    </row>
    <row r="21" spans="1:23">
      <c r="A21" s="3" t="s">
        <v>199</v>
      </c>
      <c r="B21" s="3" t="s">
        <v>115</v>
      </c>
      <c r="C21" s="3" t="s">
        <v>116</v>
      </c>
      <c r="D21" s="3" t="s">
        <v>24</v>
      </c>
      <c r="E21" s="3" t="s">
        <v>25</v>
      </c>
      <c r="F21" s="3" t="s">
        <v>53</v>
      </c>
      <c r="G21" s="2">
        <v>40.299999999999997</v>
      </c>
      <c r="H21" s="2">
        <v>2</v>
      </c>
      <c r="I21" s="2">
        <v>4.03</v>
      </c>
      <c r="J21" s="2">
        <v>84.63</v>
      </c>
      <c r="K21" s="5">
        <v>43535</v>
      </c>
      <c r="L21" s="4">
        <v>0.64583333333333337</v>
      </c>
      <c r="M21" s="3" t="s">
        <v>33</v>
      </c>
      <c r="N21" s="2">
        <v>80.599999999999994</v>
      </c>
      <c r="O21" s="2">
        <v>4.7619047620000003</v>
      </c>
      <c r="P21" s="2">
        <v>4.03</v>
      </c>
      <c r="Q21" s="2">
        <v>4.4000000000000004</v>
      </c>
      <c r="R21" s="3"/>
      <c r="S21" s="1"/>
      <c r="T21" s="1"/>
      <c r="U21" s="1" t="s">
        <v>37</v>
      </c>
      <c r="V21" s="1" t="s">
        <v>37</v>
      </c>
      <c r="W21" s="1" t="s">
        <v>37</v>
      </c>
    </row>
    <row r="22" spans="1:23">
      <c r="A22" s="3" t="s">
        <v>206</v>
      </c>
      <c r="B22" s="3" t="s">
        <v>39</v>
      </c>
      <c r="C22" s="3" t="s">
        <v>40</v>
      </c>
      <c r="D22" s="3" t="s">
        <v>24</v>
      </c>
      <c r="E22" s="3" t="s">
        <v>25</v>
      </c>
      <c r="F22" s="3" t="s">
        <v>42</v>
      </c>
      <c r="G22" s="2">
        <v>86.04</v>
      </c>
      <c r="H22" s="2">
        <v>5</v>
      </c>
      <c r="I22" s="2">
        <v>21.51</v>
      </c>
      <c r="J22" s="2">
        <v>451.71</v>
      </c>
      <c r="K22" s="5">
        <v>43521</v>
      </c>
      <c r="L22" s="4">
        <v>0.47499999999999998</v>
      </c>
      <c r="M22" s="3" t="s">
        <v>33</v>
      </c>
      <c r="N22" s="2">
        <v>430.2</v>
      </c>
      <c r="O22" s="2">
        <v>4.7619047620000003</v>
      </c>
      <c r="P22" s="2">
        <v>21.51</v>
      </c>
      <c r="Q22" s="2">
        <v>4.8</v>
      </c>
      <c r="R22" s="3"/>
      <c r="S22" s="1"/>
      <c r="T22" s="1"/>
      <c r="U22" s="1" t="s">
        <v>37</v>
      </c>
      <c r="V22" s="1" t="s">
        <v>37</v>
      </c>
      <c r="W22" s="1" t="s">
        <v>37</v>
      </c>
    </row>
    <row r="23" spans="1:23">
      <c r="A23" s="3" t="s">
        <v>213</v>
      </c>
      <c r="B23" s="3" t="s">
        <v>115</v>
      </c>
      <c r="C23" s="3" t="s">
        <v>116</v>
      </c>
      <c r="D23" s="3" t="s">
        <v>24</v>
      </c>
      <c r="E23" s="3" t="s">
        <v>25</v>
      </c>
      <c r="F23" s="3" t="s">
        <v>26</v>
      </c>
      <c r="G23" s="2">
        <v>87.98</v>
      </c>
      <c r="H23" s="2">
        <v>3</v>
      </c>
      <c r="I23" s="2">
        <v>13.196999999999999</v>
      </c>
      <c r="J23" s="2">
        <v>277.137</v>
      </c>
      <c r="K23" s="5">
        <v>43529</v>
      </c>
      <c r="L23" s="4">
        <v>0.44444444444444442</v>
      </c>
      <c r="M23" s="3" t="s">
        <v>33</v>
      </c>
      <c r="N23" s="2">
        <v>263.94</v>
      </c>
      <c r="O23" s="2">
        <v>4.7619047620000003</v>
      </c>
      <c r="P23" s="2">
        <v>13.196999999999999</v>
      </c>
      <c r="Q23" s="2">
        <v>5.0999999999999996</v>
      </c>
      <c r="R23" s="3"/>
      <c r="S23" s="1"/>
      <c r="T23" s="1"/>
      <c r="U23" s="1" t="s">
        <v>37</v>
      </c>
      <c r="V23" s="1" t="s">
        <v>37</v>
      </c>
      <c r="W23" s="1" t="s">
        <v>37</v>
      </c>
    </row>
    <row r="24" spans="1:23">
      <c r="A24" s="3" t="s">
        <v>221</v>
      </c>
      <c r="B24" s="3" t="s">
        <v>115</v>
      </c>
      <c r="C24" s="3" t="s">
        <v>116</v>
      </c>
      <c r="D24" s="3" t="s">
        <v>24</v>
      </c>
      <c r="E24" s="3" t="s">
        <v>25</v>
      </c>
      <c r="F24" s="3" t="s">
        <v>53</v>
      </c>
      <c r="G24" s="2">
        <v>33.200000000000003</v>
      </c>
      <c r="H24" s="2">
        <v>2</v>
      </c>
      <c r="I24" s="2">
        <v>3.32</v>
      </c>
      <c r="J24" s="2">
        <v>69.72</v>
      </c>
      <c r="K24" s="5">
        <v>43539</v>
      </c>
      <c r="L24" s="4">
        <v>0.51388888888888884</v>
      </c>
      <c r="M24" s="3" t="s">
        <v>59</v>
      </c>
      <c r="N24" s="2">
        <v>66.400000000000006</v>
      </c>
      <c r="O24" s="2">
        <v>4.7619047620000003</v>
      </c>
      <c r="P24" s="2">
        <v>3.32</v>
      </c>
      <c r="Q24" s="2">
        <v>4.4000000000000004</v>
      </c>
      <c r="R24" s="3"/>
      <c r="S24" s="1"/>
      <c r="T24" s="1"/>
      <c r="U24" s="1" t="s">
        <v>37</v>
      </c>
      <c r="V24" s="1" t="s">
        <v>37</v>
      </c>
      <c r="W24" s="1" t="s">
        <v>37</v>
      </c>
    </row>
    <row r="25" spans="1:23">
      <c r="A25" s="3" t="s">
        <v>228</v>
      </c>
      <c r="B25" s="3" t="s">
        <v>22</v>
      </c>
      <c r="C25" s="3" t="s">
        <v>23</v>
      </c>
      <c r="D25" s="3" t="s">
        <v>24</v>
      </c>
      <c r="E25" s="3" t="s">
        <v>25</v>
      </c>
      <c r="F25" s="3" t="s">
        <v>42</v>
      </c>
      <c r="G25" s="2">
        <v>34.56</v>
      </c>
      <c r="H25" s="2">
        <v>5</v>
      </c>
      <c r="I25" s="2">
        <v>8.64</v>
      </c>
      <c r="J25" s="2">
        <v>181.44</v>
      </c>
      <c r="K25" s="5">
        <v>43513</v>
      </c>
      <c r="L25" s="4">
        <v>0.46875</v>
      </c>
      <c r="M25" s="3" t="s">
        <v>33</v>
      </c>
      <c r="N25" s="2">
        <v>172.8</v>
      </c>
      <c r="O25" s="2">
        <v>4.7619047620000003</v>
      </c>
      <c r="P25" s="2">
        <v>8.64</v>
      </c>
      <c r="Q25" s="2">
        <v>9.9</v>
      </c>
      <c r="R25" s="3"/>
      <c r="S25" s="1"/>
      <c r="T25" s="1"/>
      <c r="U25" s="1" t="s">
        <v>37</v>
      </c>
      <c r="V25" s="1" t="s">
        <v>37</v>
      </c>
      <c r="W25" s="1" t="s">
        <v>37</v>
      </c>
    </row>
    <row r="26" spans="1:23">
      <c r="A26" s="3" t="s">
        <v>236</v>
      </c>
      <c r="B26" s="3" t="s">
        <v>22</v>
      </c>
      <c r="C26" s="3" t="s">
        <v>23</v>
      </c>
      <c r="D26" s="3" t="s">
        <v>24</v>
      </c>
      <c r="E26" s="3" t="s">
        <v>25</v>
      </c>
      <c r="F26" s="3" t="s">
        <v>72</v>
      </c>
      <c r="G26" s="2">
        <v>88.63</v>
      </c>
      <c r="H26" s="2">
        <v>3</v>
      </c>
      <c r="I26" s="2">
        <v>13.294499999999999</v>
      </c>
      <c r="J26" s="2">
        <v>279.18450000000001</v>
      </c>
      <c r="K26" s="5">
        <v>43526</v>
      </c>
      <c r="L26" s="4">
        <v>0.73333333333333328</v>
      </c>
      <c r="M26" s="3" t="s">
        <v>33</v>
      </c>
      <c r="N26" s="2">
        <v>265.89</v>
      </c>
      <c r="O26" s="2">
        <v>4.7619047620000003</v>
      </c>
      <c r="P26" s="2">
        <v>13.294499999999999</v>
      </c>
      <c r="Q26" s="2">
        <v>6</v>
      </c>
      <c r="R26" s="3"/>
      <c r="S26" s="1"/>
      <c r="T26" s="1"/>
      <c r="U26" s="1" t="s">
        <v>37</v>
      </c>
      <c r="V26" s="1" t="s">
        <v>37</v>
      </c>
      <c r="W26" s="1" t="s">
        <v>37</v>
      </c>
    </row>
    <row r="27" spans="1:23">
      <c r="A27" s="3" t="s">
        <v>243</v>
      </c>
      <c r="B27" s="3" t="s">
        <v>22</v>
      </c>
      <c r="C27" s="3" t="s">
        <v>23</v>
      </c>
      <c r="D27" s="3" t="s">
        <v>24</v>
      </c>
      <c r="E27" s="3" t="s">
        <v>25</v>
      </c>
      <c r="F27" s="3" t="s">
        <v>53</v>
      </c>
      <c r="G27" s="2">
        <v>52.59</v>
      </c>
      <c r="H27" s="2">
        <v>8</v>
      </c>
      <c r="I27" s="2">
        <v>21.036000000000001</v>
      </c>
      <c r="J27" s="2">
        <v>441.75599999999997</v>
      </c>
      <c r="K27" s="5">
        <v>43546</v>
      </c>
      <c r="L27" s="4">
        <v>0.80555555555555558</v>
      </c>
      <c r="M27" s="3" t="s">
        <v>59</v>
      </c>
      <c r="N27" s="2">
        <v>420.72</v>
      </c>
      <c r="O27" s="2">
        <v>4.7619047620000003</v>
      </c>
      <c r="P27" s="2">
        <v>21.036000000000001</v>
      </c>
      <c r="Q27" s="2">
        <v>8.5</v>
      </c>
      <c r="R27" s="3"/>
      <c r="S27" s="1"/>
      <c r="T27" s="1"/>
      <c r="U27" s="1" t="s">
        <v>37</v>
      </c>
      <c r="V27" s="1" t="s">
        <v>37</v>
      </c>
      <c r="W27" s="1" t="s">
        <v>37</v>
      </c>
    </row>
    <row r="28" spans="1:23">
      <c r="A28" s="3" t="s">
        <v>251</v>
      </c>
      <c r="B28" s="3" t="s">
        <v>115</v>
      </c>
      <c r="C28" s="3" t="s">
        <v>116</v>
      </c>
      <c r="D28" s="3" t="s">
        <v>24</v>
      </c>
      <c r="E28" s="3" t="s">
        <v>25</v>
      </c>
      <c r="F28" s="3" t="s">
        <v>127</v>
      </c>
      <c r="G28" s="2">
        <v>33.520000000000003</v>
      </c>
      <c r="H28" s="2">
        <v>1</v>
      </c>
      <c r="I28" s="2">
        <v>1.6759999999999999</v>
      </c>
      <c r="J28" s="2">
        <v>35.195999999999998</v>
      </c>
      <c r="K28" s="5">
        <v>43504</v>
      </c>
      <c r="L28" s="4">
        <v>0.64652777777777781</v>
      </c>
      <c r="M28" s="3" t="s">
        <v>49</v>
      </c>
      <c r="N28" s="2">
        <v>33.520000000000003</v>
      </c>
      <c r="O28" s="2">
        <v>4.7619047620000003</v>
      </c>
      <c r="P28" s="2">
        <v>1.6759999999999999</v>
      </c>
      <c r="Q28" s="2">
        <v>6.7</v>
      </c>
      <c r="R28" s="3"/>
      <c r="S28" s="1"/>
      <c r="T28" s="1"/>
      <c r="U28" s="1" t="s">
        <v>37</v>
      </c>
      <c r="V28" s="1" t="s">
        <v>37</v>
      </c>
      <c r="W28" s="1" t="s">
        <v>37</v>
      </c>
    </row>
    <row r="29" spans="1:23">
      <c r="A29" s="3" t="s">
        <v>258</v>
      </c>
      <c r="B29" s="3" t="s">
        <v>22</v>
      </c>
      <c r="C29" s="3" t="s">
        <v>23</v>
      </c>
      <c r="D29" s="3" t="s">
        <v>24</v>
      </c>
      <c r="E29" s="3" t="s">
        <v>25</v>
      </c>
      <c r="F29" s="3" t="s">
        <v>127</v>
      </c>
      <c r="G29" s="2">
        <v>87.67</v>
      </c>
      <c r="H29" s="2">
        <v>2</v>
      </c>
      <c r="I29" s="2">
        <v>8.7669999999999995</v>
      </c>
      <c r="J29" s="2">
        <v>184.107</v>
      </c>
      <c r="K29" s="5">
        <v>43534</v>
      </c>
      <c r="L29" s="4">
        <v>0.51180555555555551</v>
      </c>
      <c r="M29" s="3" t="s">
        <v>59</v>
      </c>
      <c r="N29" s="2">
        <v>175.34</v>
      </c>
      <c r="O29" s="2">
        <v>4.7619047620000003</v>
      </c>
      <c r="P29" s="2">
        <v>8.7669999999999995</v>
      </c>
      <c r="Q29" s="2">
        <v>7.7</v>
      </c>
      <c r="R29" s="3"/>
      <c r="S29" s="1"/>
      <c r="T29" s="1"/>
      <c r="U29" s="1" t="s">
        <v>37</v>
      </c>
      <c r="V29" s="1" t="s">
        <v>37</v>
      </c>
      <c r="W29" s="1" t="s">
        <v>37</v>
      </c>
    </row>
    <row r="30" spans="1:23">
      <c r="A30" s="3" t="s">
        <v>266</v>
      </c>
      <c r="B30" s="3" t="s">
        <v>115</v>
      </c>
      <c r="C30" s="3" t="s">
        <v>116</v>
      </c>
      <c r="D30" s="3" t="s">
        <v>24</v>
      </c>
      <c r="E30" s="3" t="s">
        <v>25</v>
      </c>
      <c r="F30" s="3" t="s">
        <v>117</v>
      </c>
      <c r="G30" s="2">
        <v>88.36</v>
      </c>
      <c r="H30" s="2">
        <v>5</v>
      </c>
      <c r="I30" s="2">
        <v>22.09</v>
      </c>
      <c r="J30" s="2">
        <v>463.89</v>
      </c>
      <c r="K30" s="5">
        <v>43490</v>
      </c>
      <c r="L30" s="4">
        <v>0.82499999999999996</v>
      </c>
      <c r="M30" s="3" t="s">
        <v>49</v>
      </c>
      <c r="N30" s="2">
        <v>441.8</v>
      </c>
      <c r="O30" s="2">
        <v>4.7619047620000003</v>
      </c>
      <c r="P30" s="2">
        <v>22.09</v>
      </c>
      <c r="Q30" s="2">
        <v>9.6</v>
      </c>
      <c r="R30" s="3"/>
      <c r="S30" s="1"/>
      <c r="T30" s="1"/>
      <c r="U30" s="1" t="s">
        <v>37</v>
      </c>
      <c r="V30" s="1" t="s">
        <v>37</v>
      </c>
      <c r="W30" s="1" t="s">
        <v>37</v>
      </c>
    </row>
    <row r="31" spans="1:23">
      <c r="A31" s="3" t="s">
        <v>273</v>
      </c>
      <c r="B31" s="3" t="s">
        <v>22</v>
      </c>
      <c r="C31" s="3" t="s">
        <v>23</v>
      </c>
      <c r="D31" s="3" t="s">
        <v>24</v>
      </c>
      <c r="E31" s="3" t="s">
        <v>25</v>
      </c>
      <c r="F31" s="3" t="s">
        <v>26</v>
      </c>
      <c r="G31" s="2">
        <v>24.89</v>
      </c>
      <c r="H31" s="2">
        <v>9</v>
      </c>
      <c r="I31" s="2">
        <v>11.2005</v>
      </c>
      <c r="J31" s="2">
        <v>235.2105</v>
      </c>
      <c r="K31" s="5">
        <v>43539</v>
      </c>
      <c r="L31" s="4">
        <v>0.65</v>
      </c>
      <c r="M31" s="3" t="s">
        <v>49</v>
      </c>
      <c r="N31" s="2">
        <v>224.01</v>
      </c>
      <c r="O31" s="2">
        <v>4.7619047620000003</v>
      </c>
      <c r="P31" s="2">
        <v>11.2005</v>
      </c>
      <c r="Q31" s="2">
        <v>7.4</v>
      </c>
      <c r="R31" s="3"/>
      <c r="S31" s="1"/>
      <c r="T31" s="1"/>
      <c r="U31" s="1" t="s">
        <v>37</v>
      </c>
      <c r="V31" s="1" t="s">
        <v>37</v>
      </c>
      <c r="W31" s="1" t="s">
        <v>37</v>
      </c>
    </row>
    <row r="32" spans="1:23">
      <c r="A32" s="3" t="s">
        <v>280</v>
      </c>
      <c r="B32" s="3" t="s">
        <v>115</v>
      </c>
      <c r="C32" s="3" t="s">
        <v>116</v>
      </c>
      <c r="D32" s="3" t="s">
        <v>24</v>
      </c>
      <c r="E32" s="3" t="s">
        <v>25</v>
      </c>
      <c r="F32" s="3" t="s">
        <v>127</v>
      </c>
      <c r="G32" s="2">
        <v>94.13</v>
      </c>
      <c r="H32" s="2">
        <v>5</v>
      </c>
      <c r="I32" s="2">
        <v>23.532499999999999</v>
      </c>
      <c r="J32" s="2">
        <v>494.1825</v>
      </c>
      <c r="K32" s="5">
        <v>43521</v>
      </c>
      <c r="L32" s="4">
        <v>0.81874999999999998</v>
      </c>
      <c r="M32" s="3" t="s">
        <v>59</v>
      </c>
      <c r="N32" s="2">
        <v>470.65</v>
      </c>
      <c r="O32" s="2">
        <v>4.7619047620000003</v>
      </c>
      <c r="P32" s="2">
        <v>23.532499999999999</v>
      </c>
      <c r="Q32" s="2">
        <v>4.8</v>
      </c>
      <c r="R32" s="3"/>
      <c r="S32" s="1"/>
      <c r="T32" s="1"/>
      <c r="U32" s="1" t="s">
        <v>37</v>
      </c>
      <c r="V32" s="1" t="s">
        <v>37</v>
      </c>
      <c r="W32" s="1" t="s">
        <v>37</v>
      </c>
    </row>
    <row r="33" spans="1:23">
      <c r="A33" s="3" t="s">
        <v>286</v>
      </c>
      <c r="B33" s="3" t="s">
        <v>115</v>
      </c>
      <c r="C33" s="3" t="s">
        <v>116</v>
      </c>
      <c r="D33" s="3" t="s">
        <v>24</v>
      </c>
      <c r="E33" s="3" t="s">
        <v>25</v>
      </c>
      <c r="F33" s="3" t="s">
        <v>72</v>
      </c>
      <c r="G33" s="2">
        <v>78.069999999999993</v>
      </c>
      <c r="H33" s="2">
        <v>9</v>
      </c>
      <c r="I33" s="2">
        <v>35.131500000000003</v>
      </c>
      <c r="J33" s="2">
        <v>737.76149999999996</v>
      </c>
      <c r="K33" s="5">
        <v>43493</v>
      </c>
      <c r="L33" s="4">
        <v>0.52986111111111112</v>
      </c>
      <c r="M33" s="3" t="s">
        <v>49</v>
      </c>
      <c r="N33" s="2">
        <v>702.63</v>
      </c>
      <c r="O33" s="2">
        <v>4.7619047620000003</v>
      </c>
      <c r="P33" s="2">
        <v>35.131500000000003</v>
      </c>
      <c r="Q33" s="2">
        <v>4.5</v>
      </c>
      <c r="R33" s="3"/>
      <c r="S33" s="1"/>
      <c r="T33" s="1"/>
      <c r="U33" s="1" t="s">
        <v>37</v>
      </c>
      <c r="V33" s="1" t="s">
        <v>37</v>
      </c>
      <c r="W33" s="1" t="s">
        <v>37</v>
      </c>
    </row>
    <row r="34" spans="1:23">
      <c r="A34" s="3" t="s">
        <v>293</v>
      </c>
      <c r="B34" s="3" t="s">
        <v>115</v>
      </c>
      <c r="C34" s="3" t="s">
        <v>116</v>
      </c>
      <c r="D34" s="3" t="s">
        <v>24</v>
      </c>
      <c r="E34" s="3" t="s">
        <v>25</v>
      </c>
      <c r="F34" s="3" t="s">
        <v>72</v>
      </c>
      <c r="G34" s="2">
        <v>83.78</v>
      </c>
      <c r="H34" s="2">
        <v>8</v>
      </c>
      <c r="I34" s="2">
        <v>33.512</v>
      </c>
      <c r="J34" s="2">
        <v>703.75199999999995</v>
      </c>
      <c r="K34" s="5">
        <v>43475</v>
      </c>
      <c r="L34" s="4">
        <v>0.61736111111111114</v>
      </c>
      <c r="M34" s="3" t="s">
        <v>49</v>
      </c>
      <c r="N34" s="2">
        <v>670.24</v>
      </c>
      <c r="O34" s="2">
        <v>4.7619047620000003</v>
      </c>
      <c r="P34" s="2">
        <v>33.512</v>
      </c>
      <c r="Q34" s="2">
        <v>5.0999999999999996</v>
      </c>
      <c r="R34" s="3"/>
      <c r="S34" s="1"/>
      <c r="T34" s="1"/>
      <c r="U34" s="1" t="s">
        <v>37</v>
      </c>
      <c r="V34" s="1" t="s">
        <v>37</v>
      </c>
      <c r="W34" s="1" t="s">
        <v>37</v>
      </c>
    </row>
    <row r="35" spans="1:23">
      <c r="A35" s="3" t="s">
        <v>299</v>
      </c>
      <c r="B35" s="3" t="s">
        <v>22</v>
      </c>
      <c r="C35" s="3" t="s">
        <v>23</v>
      </c>
      <c r="D35" s="3" t="s">
        <v>24</v>
      </c>
      <c r="E35" s="3" t="s">
        <v>25</v>
      </c>
      <c r="F35" s="3" t="s">
        <v>26</v>
      </c>
      <c r="G35" s="2">
        <v>96.58</v>
      </c>
      <c r="H35" s="2">
        <v>2</v>
      </c>
      <c r="I35" s="2">
        <v>9.6579999999999995</v>
      </c>
      <c r="J35" s="2">
        <v>202.81800000000001</v>
      </c>
      <c r="K35" s="5">
        <v>43539</v>
      </c>
      <c r="L35" s="4">
        <v>0.42499999999999999</v>
      </c>
      <c r="M35" s="3" t="s">
        <v>59</v>
      </c>
      <c r="N35" s="2">
        <v>193.16</v>
      </c>
      <c r="O35" s="2">
        <v>4.7619047620000003</v>
      </c>
      <c r="P35" s="2">
        <v>9.6579999999999995</v>
      </c>
      <c r="Q35" s="2">
        <v>5.0999999999999996</v>
      </c>
      <c r="R35" s="3"/>
      <c r="S35" s="1"/>
      <c r="T35" s="1"/>
      <c r="U35" s="1" t="s">
        <v>37</v>
      </c>
      <c r="V35" s="1" t="s">
        <v>37</v>
      </c>
      <c r="W35" s="1" t="s">
        <v>37</v>
      </c>
    </row>
    <row r="36" spans="1:23">
      <c r="A36" s="3" t="s">
        <v>305</v>
      </c>
      <c r="B36" s="3" t="s">
        <v>39</v>
      </c>
      <c r="C36" s="3" t="s">
        <v>40</v>
      </c>
      <c r="D36" s="3" t="s">
        <v>24</v>
      </c>
      <c r="E36" s="3" t="s">
        <v>25</v>
      </c>
      <c r="F36" s="3" t="s">
        <v>117</v>
      </c>
      <c r="G36" s="2">
        <v>99.42</v>
      </c>
      <c r="H36" s="2">
        <v>4</v>
      </c>
      <c r="I36" s="2">
        <v>19.884</v>
      </c>
      <c r="J36" s="2">
        <v>417.56400000000002</v>
      </c>
      <c r="K36" s="5">
        <v>43502</v>
      </c>
      <c r="L36" s="4">
        <v>0.44583333333333336</v>
      </c>
      <c r="M36" s="3" t="s">
        <v>33</v>
      </c>
      <c r="N36" s="2">
        <v>397.68</v>
      </c>
      <c r="O36" s="2">
        <v>4.7619047620000003</v>
      </c>
      <c r="P36" s="2">
        <v>19.884</v>
      </c>
      <c r="Q36" s="2">
        <v>7.5</v>
      </c>
      <c r="R36" s="3"/>
      <c r="S36" s="1"/>
      <c r="T36" s="1"/>
      <c r="U36" s="1" t="s">
        <v>37</v>
      </c>
      <c r="V36" s="1" t="s">
        <v>37</v>
      </c>
      <c r="W36" s="1" t="s">
        <v>37</v>
      </c>
    </row>
    <row r="37" spans="1:23">
      <c r="A37" s="3" t="s">
        <v>312</v>
      </c>
      <c r="B37" s="3" t="s">
        <v>39</v>
      </c>
      <c r="C37" s="3" t="s">
        <v>40</v>
      </c>
      <c r="D37" s="3" t="s">
        <v>24</v>
      </c>
      <c r="E37" s="3" t="s">
        <v>25</v>
      </c>
      <c r="F37" s="3" t="s">
        <v>72</v>
      </c>
      <c r="G37" s="2">
        <v>68.12</v>
      </c>
      <c r="H37" s="2">
        <v>1</v>
      </c>
      <c r="I37" s="2">
        <v>3.4060000000000001</v>
      </c>
      <c r="J37" s="2">
        <v>71.525999999999996</v>
      </c>
      <c r="K37" s="5">
        <v>43472</v>
      </c>
      <c r="L37" s="4">
        <v>0.51944444444444449</v>
      </c>
      <c r="M37" s="3" t="s">
        <v>33</v>
      </c>
      <c r="N37" s="2">
        <v>68.12</v>
      </c>
      <c r="O37" s="2">
        <v>4.7619047620000003</v>
      </c>
      <c r="P37" s="2">
        <v>3.4060000000000001</v>
      </c>
      <c r="Q37" s="2">
        <v>6.8</v>
      </c>
      <c r="R37" s="3"/>
      <c r="S37" s="1"/>
      <c r="T37" s="1"/>
      <c r="U37" s="1" t="s">
        <v>37</v>
      </c>
      <c r="V37" s="1" t="s">
        <v>37</v>
      </c>
      <c r="W37" s="1" t="s">
        <v>37</v>
      </c>
    </row>
    <row r="38" spans="1:23">
      <c r="A38" s="3" t="s">
        <v>318</v>
      </c>
      <c r="B38" s="3" t="s">
        <v>22</v>
      </c>
      <c r="C38" s="3" t="s">
        <v>23</v>
      </c>
      <c r="D38" s="3" t="s">
        <v>24</v>
      </c>
      <c r="E38" s="3" t="s">
        <v>25</v>
      </c>
      <c r="F38" s="3" t="s">
        <v>72</v>
      </c>
      <c r="G38" s="2">
        <v>62.62</v>
      </c>
      <c r="H38" s="2">
        <v>5</v>
      </c>
      <c r="I38" s="2">
        <v>15.654999999999999</v>
      </c>
      <c r="J38" s="2">
        <v>328.755</v>
      </c>
      <c r="K38" s="5">
        <v>43534</v>
      </c>
      <c r="L38" s="4">
        <v>0.80208333333333337</v>
      </c>
      <c r="M38" s="3" t="s">
        <v>33</v>
      </c>
      <c r="N38" s="2">
        <v>313.10000000000002</v>
      </c>
      <c r="O38" s="2">
        <v>4.7619047620000003</v>
      </c>
      <c r="P38" s="2">
        <v>15.654999999999999</v>
      </c>
      <c r="Q38" s="2">
        <v>7</v>
      </c>
      <c r="R38" s="3"/>
      <c r="S38" s="1"/>
      <c r="T38" s="1"/>
      <c r="U38" s="1" t="s">
        <v>37</v>
      </c>
      <c r="V38" s="1" t="s">
        <v>37</v>
      </c>
      <c r="W38" s="1" t="s">
        <v>37</v>
      </c>
    </row>
    <row r="39" spans="1:23">
      <c r="A39" s="3" t="s">
        <v>324</v>
      </c>
      <c r="B39" s="3" t="s">
        <v>22</v>
      </c>
      <c r="C39" s="3" t="s">
        <v>23</v>
      </c>
      <c r="D39" s="3" t="s">
        <v>24</v>
      </c>
      <c r="E39" s="3" t="s">
        <v>25</v>
      </c>
      <c r="F39" s="3" t="s">
        <v>42</v>
      </c>
      <c r="G39" s="2">
        <v>60.88</v>
      </c>
      <c r="H39" s="2">
        <v>9</v>
      </c>
      <c r="I39" s="2">
        <v>27.396000000000001</v>
      </c>
      <c r="J39" s="2">
        <v>575.31600000000003</v>
      </c>
      <c r="K39" s="5">
        <v>43480</v>
      </c>
      <c r="L39" s="4">
        <v>0.72013888888888888</v>
      </c>
      <c r="M39" s="3" t="s">
        <v>33</v>
      </c>
      <c r="N39" s="2">
        <v>547.91999999999996</v>
      </c>
      <c r="O39" s="2">
        <v>4.7619047620000003</v>
      </c>
      <c r="P39" s="2">
        <v>27.396000000000001</v>
      </c>
      <c r="Q39" s="2">
        <v>4.7</v>
      </c>
      <c r="R39" s="3"/>
      <c r="S39" s="1"/>
      <c r="T39" s="1"/>
      <c r="U39" s="1" t="s">
        <v>37</v>
      </c>
      <c r="V39" s="1" t="s">
        <v>37</v>
      </c>
      <c r="W39" s="1" t="s">
        <v>37</v>
      </c>
    </row>
    <row r="40" spans="1:23">
      <c r="A40" s="3" t="s">
        <v>331</v>
      </c>
      <c r="B40" s="3" t="s">
        <v>39</v>
      </c>
      <c r="C40" s="3" t="s">
        <v>40</v>
      </c>
      <c r="D40" s="3" t="s">
        <v>24</v>
      </c>
      <c r="E40" s="3" t="s">
        <v>25</v>
      </c>
      <c r="F40" s="3" t="s">
        <v>26</v>
      </c>
      <c r="G40" s="2">
        <v>54.92</v>
      </c>
      <c r="H40" s="2">
        <v>8</v>
      </c>
      <c r="I40" s="2">
        <v>21.968</v>
      </c>
      <c r="J40" s="2">
        <v>461.32799999999997</v>
      </c>
      <c r="K40" s="5">
        <v>43547</v>
      </c>
      <c r="L40" s="4">
        <v>0.55833333333333335</v>
      </c>
      <c r="M40" s="3" t="s">
        <v>33</v>
      </c>
      <c r="N40" s="2">
        <v>439.36</v>
      </c>
      <c r="O40" s="2">
        <v>4.7619047620000003</v>
      </c>
      <c r="P40" s="2">
        <v>21.968</v>
      </c>
      <c r="Q40" s="2">
        <v>7.6</v>
      </c>
      <c r="R40" s="3"/>
      <c r="S40" s="1"/>
      <c r="T40" s="1"/>
      <c r="U40" s="1" t="s">
        <v>37</v>
      </c>
      <c r="V40" s="1" t="s">
        <v>37</v>
      </c>
      <c r="W40" s="1" t="s">
        <v>37</v>
      </c>
    </row>
    <row r="41" spans="1:23">
      <c r="A41" s="3" t="s">
        <v>339</v>
      </c>
      <c r="B41" s="3" t="s">
        <v>115</v>
      </c>
      <c r="C41" s="3" t="s">
        <v>116</v>
      </c>
      <c r="D41" s="3" t="s">
        <v>24</v>
      </c>
      <c r="E41" s="3" t="s">
        <v>25</v>
      </c>
      <c r="F41" s="3" t="s">
        <v>53</v>
      </c>
      <c r="G41" s="2">
        <v>30.12</v>
      </c>
      <c r="H41" s="2">
        <v>8</v>
      </c>
      <c r="I41" s="2">
        <v>12.048</v>
      </c>
      <c r="J41" s="2">
        <v>253.00800000000001</v>
      </c>
      <c r="K41" s="5">
        <v>43527</v>
      </c>
      <c r="L41" s="4">
        <v>0.54236111111111107</v>
      </c>
      <c r="M41" s="3" t="s">
        <v>49</v>
      </c>
      <c r="N41" s="2">
        <v>240.96</v>
      </c>
      <c r="O41" s="2">
        <v>4.7619047620000003</v>
      </c>
      <c r="P41" s="2">
        <v>12.048</v>
      </c>
      <c r="Q41" s="2">
        <v>7.7</v>
      </c>
      <c r="R41" s="3"/>
      <c r="S41" s="1"/>
      <c r="T41" s="1"/>
      <c r="U41" s="1" t="s">
        <v>37</v>
      </c>
      <c r="V41" s="1" t="s">
        <v>37</v>
      </c>
      <c r="W41" s="1" t="s">
        <v>37</v>
      </c>
    </row>
    <row r="42" spans="1:23">
      <c r="A42" s="3" t="s">
        <v>345</v>
      </c>
      <c r="B42" s="3" t="s">
        <v>115</v>
      </c>
      <c r="C42" s="3" t="s">
        <v>116</v>
      </c>
      <c r="D42" s="3" t="s">
        <v>24</v>
      </c>
      <c r="E42" s="3" t="s">
        <v>25</v>
      </c>
      <c r="F42" s="3" t="s">
        <v>53</v>
      </c>
      <c r="G42" s="2">
        <v>86.72</v>
      </c>
      <c r="H42" s="2">
        <v>1</v>
      </c>
      <c r="I42" s="2">
        <v>4.3360000000000003</v>
      </c>
      <c r="J42" s="2">
        <v>91.055999999999997</v>
      </c>
      <c r="K42" s="5">
        <v>43482</v>
      </c>
      <c r="L42" s="4">
        <v>0.78125</v>
      </c>
      <c r="M42" s="3" t="s">
        <v>33</v>
      </c>
      <c r="N42" s="2">
        <v>86.72</v>
      </c>
      <c r="O42" s="2">
        <v>4.7619047620000003</v>
      </c>
      <c r="P42" s="2">
        <v>4.3360000000000003</v>
      </c>
      <c r="Q42" s="2">
        <v>7.9</v>
      </c>
      <c r="R42" s="3"/>
      <c r="S42" s="1"/>
      <c r="T42" s="1"/>
      <c r="U42" s="1" t="s">
        <v>37</v>
      </c>
      <c r="V42" s="1" t="s">
        <v>37</v>
      </c>
      <c r="W42" s="1" t="s">
        <v>37</v>
      </c>
    </row>
    <row r="43" spans="1:23">
      <c r="A43" s="3" t="s">
        <v>352</v>
      </c>
      <c r="B43" s="3" t="s">
        <v>39</v>
      </c>
      <c r="C43" s="3" t="s">
        <v>40</v>
      </c>
      <c r="D43" s="3" t="s">
        <v>24</v>
      </c>
      <c r="E43" s="3" t="s">
        <v>25</v>
      </c>
      <c r="F43" s="3" t="s">
        <v>53</v>
      </c>
      <c r="G43" s="2">
        <v>56.11</v>
      </c>
      <c r="H43" s="2">
        <v>2</v>
      </c>
      <c r="I43" s="2">
        <v>5.6109999999999998</v>
      </c>
      <c r="J43" s="2">
        <v>117.831</v>
      </c>
      <c r="K43" s="5">
        <v>43498</v>
      </c>
      <c r="L43" s="4">
        <v>0.42430555555555555</v>
      </c>
      <c r="M43" s="3" t="s">
        <v>49</v>
      </c>
      <c r="N43" s="2">
        <v>112.22</v>
      </c>
      <c r="O43" s="2">
        <v>4.7619047620000003</v>
      </c>
      <c r="P43" s="2">
        <v>5.6109999999999998</v>
      </c>
      <c r="Q43" s="2">
        <v>6.3</v>
      </c>
      <c r="R43" s="3"/>
      <c r="S43" s="1"/>
      <c r="T43" s="1"/>
      <c r="U43" s="1" t="s">
        <v>37</v>
      </c>
      <c r="V43" s="1" t="s">
        <v>37</v>
      </c>
      <c r="W43" s="1" t="s">
        <v>37</v>
      </c>
    </row>
    <row r="44" spans="1:23">
      <c r="A44" s="3" t="s">
        <v>360</v>
      </c>
      <c r="B44" s="3" t="s">
        <v>115</v>
      </c>
      <c r="C44" s="3" t="s">
        <v>116</v>
      </c>
      <c r="D44" s="3" t="s">
        <v>24</v>
      </c>
      <c r="E44" s="3" t="s">
        <v>25</v>
      </c>
      <c r="F44" s="3" t="s">
        <v>72</v>
      </c>
      <c r="G44" s="2">
        <v>69.12</v>
      </c>
      <c r="H44" s="2">
        <v>6</v>
      </c>
      <c r="I44" s="2">
        <v>20.736000000000001</v>
      </c>
      <c r="J44" s="2">
        <v>435.45600000000002</v>
      </c>
      <c r="K44" s="5">
        <v>43504</v>
      </c>
      <c r="L44" s="4">
        <v>0.54374999999999996</v>
      </c>
      <c r="M44" s="3" t="s">
        <v>49</v>
      </c>
      <c r="N44" s="2">
        <v>414.72</v>
      </c>
      <c r="O44" s="2">
        <v>4.7619047620000003</v>
      </c>
      <c r="P44" s="2">
        <v>20.736000000000001</v>
      </c>
      <c r="Q44" s="2">
        <v>5.6</v>
      </c>
      <c r="R44" s="3"/>
      <c r="S44" s="1"/>
      <c r="T44" s="1"/>
      <c r="U44" s="1" t="s">
        <v>37</v>
      </c>
      <c r="V44" s="1" t="s">
        <v>37</v>
      </c>
      <c r="W44" s="1" t="s">
        <v>37</v>
      </c>
    </row>
    <row r="45" spans="1:23">
      <c r="A45" s="3" t="s">
        <v>367</v>
      </c>
      <c r="B45" s="3" t="s">
        <v>39</v>
      </c>
      <c r="C45" s="3" t="s">
        <v>40</v>
      </c>
      <c r="D45" s="3" t="s">
        <v>24</v>
      </c>
      <c r="E45" s="3" t="s">
        <v>25</v>
      </c>
      <c r="F45" s="3" t="s">
        <v>117</v>
      </c>
      <c r="G45" s="2">
        <v>98.7</v>
      </c>
      <c r="H45" s="2">
        <v>8</v>
      </c>
      <c r="I45" s="2">
        <v>39.479999999999997</v>
      </c>
      <c r="J45" s="2">
        <v>829.08</v>
      </c>
      <c r="K45" s="5">
        <v>43528</v>
      </c>
      <c r="L45" s="4">
        <v>0.86041666666666672</v>
      </c>
      <c r="M45" s="3" t="s">
        <v>49</v>
      </c>
      <c r="N45" s="2">
        <v>789.6</v>
      </c>
      <c r="O45" s="2">
        <v>4.7619047620000003</v>
      </c>
      <c r="P45" s="2">
        <v>39.479999999999997</v>
      </c>
      <c r="Q45" s="2">
        <v>7.6</v>
      </c>
      <c r="R45" s="3"/>
      <c r="S45" s="1"/>
      <c r="T45" s="1"/>
      <c r="U45" s="1" t="s">
        <v>37</v>
      </c>
      <c r="V45" s="1" t="s">
        <v>37</v>
      </c>
      <c r="W45" s="1" t="s">
        <v>37</v>
      </c>
    </row>
    <row r="46" spans="1:23">
      <c r="A46" s="3" t="s">
        <v>374</v>
      </c>
      <c r="B46" s="3" t="s">
        <v>39</v>
      </c>
      <c r="C46" s="3" t="s">
        <v>40</v>
      </c>
      <c r="D46" s="3" t="s">
        <v>24</v>
      </c>
      <c r="E46" s="3" t="s">
        <v>25</v>
      </c>
      <c r="F46" s="3" t="s">
        <v>26</v>
      </c>
      <c r="G46" s="2">
        <v>15.37</v>
      </c>
      <c r="H46" s="2">
        <v>2</v>
      </c>
      <c r="I46" s="2">
        <v>1.5369999999999999</v>
      </c>
      <c r="J46" s="2">
        <v>32.277000000000001</v>
      </c>
      <c r="K46" s="5">
        <v>43540</v>
      </c>
      <c r="L46" s="4">
        <v>0.82430555555555551</v>
      </c>
      <c r="M46" s="3" t="s">
        <v>49</v>
      </c>
      <c r="N46" s="2">
        <v>30.74</v>
      </c>
      <c r="O46" s="2">
        <v>4.7619047620000003</v>
      </c>
      <c r="P46" s="2">
        <v>1.5369999999999999</v>
      </c>
      <c r="Q46" s="2">
        <v>7.2</v>
      </c>
      <c r="R46" s="3"/>
      <c r="S46" s="1"/>
      <c r="T46" s="1"/>
      <c r="U46" s="1" t="s">
        <v>37</v>
      </c>
      <c r="V46" s="1" t="s">
        <v>37</v>
      </c>
      <c r="W46" s="1" t="s">
        <v>37</v>
      </c>
    </row>
    <row r="47" spans="1:23">
      <c r="A47" s="3" t="s">
        <v>381</v>
      </c>
      <c r="B47" s="3" t="s">
        <v>115</v>
      </c>
      <c r="C47" s="3" t="s">
        <v>116</v>
      </c>
      <c r="D47" s="3" t="s">
        <v>24</v>
      </c>
      <c r="E47" s="3" t="s">
        <v>25</v>
      </c>
      <c r="F47" s="3" t="s">
        <v>42</v>
      </c>
      <c r="G47" s="2">
        <v>93.96</v>
      </c>
      <c r="H47" s="2">
        <v>4</v>
      </c>
      <c r="I47" s="2">
        <v>18.792000000000002</v>
      </c>
      <c r="J47" s="2">
        <v>394.63200000000001</v>
      </c>
      <c r="K47" s="5">
        <v>43533</v>
      </c>
      <c r="L47" s="4">
        <v>0.75</v>
      </c>
      <c r="M47" s="3" t="s">
        <v>49</v>
      </c>
      <c r="N47" s="2">
        <v>375.84</v>
      </c>
      <c r="O47" s="2">
        <v>4.7619047620000003</v>
      </c>
      <c r="P47" s="2">
        <v>18.792000000000002</v>
      </c>
      <c r="Q47" s="2">
        <v>9.5</v>
      </c>
      <c r="R47" s="3"/>
      <c r="S47" s="1"/>
      <c r="T47" s="1"/>
      <c r="U47" s="1" t="s">
        <v>37</v>
      </c>
      <c r="V47" s="1" t="s">
        <v>37</v>
      </c>
      <c r="W47" s="1" t="s">
        <v>37</v>
      </c>
    </row>
    <row r="48" spans="1:23">
      <c r="A48" s="3" t="s">
        <v>387</v>
      </c>
      <c r="B48" s="3" t="s">
        <v>115</v>
      </c>
      <c r="C48" s="3" t="s">
        <v>116</v>
      </c>
      <c r="D48" s="3" t="s">
        <v>24</v>
      </c>
      <c r="E48" s="3" t="s">
        <v>25</v>
      </c>
      <c r="F48" s="3" t="s">
        <v>26</v>
      </c>
      <c r="G48" s="2">
        <v>56.69</v>
      </c>
      <c r="H48" s="2">
        <v>9</v>
      </c>
      <c r="I48" s="2">
        <v>25.5105</v>
      </c>
      <c r="J48" s="2">
        <v>535.72050000000002</v>
      </c>
      <c r="K48" s="5">
        <v>43523</v>
      </c>
      <c r="L48" s="4">
        <v>0.72499999999999998</v>
      </c>
      <c r="M48" s="3" t="s">
        <v>59</v>
      </c>
      <c r="N48" s="2">
        <v>510.21</v>
      </c>
      <c r="O48" s="2">
        <v>4.7619047620000003</v>
      </c>
      <c r="P48" s="2">
        <v>25.5105</v>
      </c>
      <c r="Q48" s="2">
        <v>8.4</v>
      </c>
      <c r="R48" s="3"/>
      <c r="S48" s="1"/>
      <c r="T48" s="1"/>
      <c r="U48" s="1" t="s">
        <v>37</v>
      </c>
      <c r="V48" s="1" t="s">
        <v>37</v>
      </c>
      <c r="W48" s="1" t="s">
        <v>37</v>
      </c>
    </row>
    <row r="49" spans="1:23">
      <c r="A49" s="3" t="s">
        <v>394</v>
      </c>
      <c r="B49" s="3" t="s">
        <v>115</v>
      </c>
      <c r="C49" s="3" t="s">
        <v>116</v>
      </c>
      <c r="D49" s="3" t="s">
        <v>24</v>
      </c>
      <c r="E49" s="3" t="s">
        <v>25</v>
      </c>
      <c r="F49" s="3" t="s">
        <v>117</v>
      </c>
      <c r="G49" s="2">
        <v>20.010000000000002</v>
      </c>
      <c r="H49" s="2">
        <v>9</v>
      </c>
      <c r="I49" s="2">
        <v>9.0045000000000002</v>
      </c>
      <c r="J49" s="2">
        <v>189.09450000000001</v>
      </c>
      <c r="K49" s="5">
        <v>43502</v>
      </c>
      <c r="L49" s="4">
        <v>0.65763888888888888</v>
      </c>
      <c r="M49" s="3" t="s">
        <v>33</v>
      </c>
      <c r="N49" s="2">
        <v>180.09</v>
      </c>
      <c r="O49" s="2">
        <v>4.7619047620000003</v>
      </c>
      <c r="P49" s="2">
        <v>9.0045000000000002</v>
      </c>
      <c r="Q49" s="2">
        <v>4.0999999999999996</v>
      </c>
      <c r="R49" s="3"/>
      <c r="S49" s="1"/>
      <c r="T49" s="1"/>
      <c r="U49" s="1" t="s">
        <v>37</v>
      </c>
      <c r="V49" s="1" t="s">
        <v>37</v>
      </c>
      <c r="W49" s="1" t="s">
        <v>37</v>
      </c>
    </row>
    <row r="50" spans="1:23">
      <c r="A50" s="3" t="s">
        <v>400</v>
      </c>
      <c r="B50" s="3" t="s">
        <v>115</v>
      </c>
      <c r="C50" s="3" t="s">
        <v>116</v>
      </c>
      <c r="D50" s="3" t="s">
        <v>24</v>
      </c>
      <c r="E50" s="3" t="s">
        <v>25</v>
      </c>
      <c r="F50" s="3" t="s">
        <v>42</v>
      </c>
      <c r="G50" s="2">
        <v>18.93</v>
      </c>
      <c r="H50" s="2">
        <v>6</v>
      </c>
      <c r="I50" s="2">
        <v>5.6790000000000003</v>
      </c>
      <c r="J50" s="2">
        <v>119.259</v>
      </c>
      <c r="K50" s="5">
        <v>43506</v>
      </c>
      <c r="L50" s="4">
        <v>0.53125</v>
      </c>
      <c r="M50" s="3" t="s">
        <v>59</v>
      </c>
      <c r="N50" s="2">
        <v>113.58</v>
      </c>
      <c r="O50" s="2">
        <v>4.7619047620000003</v>
      </c>
      <c r="P50" s="2">
        <v>5.6790000000000003</v>
      </c>
      <c r="Q50" s="2">
        <v>8.1</v>
      </c>
      <c r="R50" s="3"/>
      <c r="S50" s="1"/>
      <c r="T50" s="1"/>
      <c r="U50" s="1" t="s">
        <v>37</v>
      </c>
      <c r="V50" s="1" t="s">
        <v>37</v>
      </c>
      <c r="W50" s="1" t="s">
        <v>37</v>
      </c>
    </row>
    <row r="51" spans="1:23">
      <c r="A51" s="3" t="s">
        <v>408</v>
      </c>
      <c r="B51" s="3" t="s">
        <v>39</v>
      </c>
      <c r="C51" s="3" t="s">
        <v>40</v>
      </c>
      <c r="D51" s="3" t="s">
        <v>24</v>
      </c>
      <c r="E51" s="3" t="s">
        <v>25</v>
      </c>
      <c r="F51" s="3" t="s">
        <v>127</v>
      </c>
      <c r="G51" s="2">
        <v>82.63</v>
      </c>
      <c r="H51" s="2">
        <v>10</v>
      </c>
      <c r="I51" s="2">
        <v>41.314999999999998</v>
      </c>
      <c r="J51" s="2">
        <v>867.61500000000001</v>
      </c>
      <c r="K51" s="5">
        <v>43543</v>
      </c>
      <c r="L51" s="4">
        <v>0.71388888888888891</v>
      </c>
      <c r="M51" s="3" t="s">
        <v>33</v>
      </c>
      <c r="N51" s="2">
        <v>826.3</v>
      </c>
      <c r="O51" s="2">
        <v>4.7619047620000003</v>
      </c>
      <c r="P51" s="2">
        <v>41.314999999999998</v>
      </c>
      <c r="Q51" s="2">
        <v>7.9</v>
      </c>
      <c r="R51" s="3"/>
      <c r="S51" s="1"/>
      <c r="T51" s="1"/>
      <c r="U51" s="1" t="s">
        <v>37</v>
      </c>
      <c r="V51" s="1" t="s">
        <v>37</v>
      </c>
      <c r="W51" s="1" t="s">
        <v>37</v>
      </c>
    </row>
    <row r="52" spans="1:23">
      <c r="A52" s="3" t="s">
        <v>415</v>
      </c>
      <c r="B52" s="3" t="s">
        <v>39</v>
      </c>
      <c r="C52" s="3" t="s">
        <v>40</v>
      </c>
      <c r="D52" s="3" t="s">
        <v>24</v>
      </c>
      <c r="E52" s="3" t="s">
        <v>25</v>
      </c>
      <c r="F52" s="3" t="s">
        <v>117</v>
      </c>
      <c r="G52" s="2">
        <v>91.4</v>
      </c>
      <c r="H52" s="2">
        <v>7</v>
      </c>
      <c r="I52" s="2">
        <v>31.99</v>
      </c>
      <c r="J52" s="2">
        <v>671.79</v>
      </c>
      <c r="K52" s="5">
        <v>43499</v>
      </c>
      <c r="L52" s="4">
        <v>0.42986111111111114</v>
      </c>
      <c r="M52" s="3" t="s">
        <v>49</v>
      </c>
      <c r="N52" s="2">
        <v>639.79999999999995</v>
      </c>
      <c r="O52" s="2">
        <v>4.7619047620000003</v>
      </c>
      <c r="P52" s="2">
        <v>31.99</v>
      </c>
      <c r="Q52" s="2">
        <v>9.5</v>
      </c>
      <c r="R52" s="3"/>
      <c r="S52" s="1"/>
      <c r="T52" s="1"/>
      <c r="U52" s="1" t="s">
        <v>37</v>
      </c>
      <c r="V52" s="1" t="s">
        <v>37</v>
      </c>
      <c r="W52" s="1" t="s">
        <v>37</v>
      </c>
    </row>
    <row r="53" spans="1:23">
      <c r="A53" s="3" t="s">
        <v>422</v>
      </c>
      <c r="B53" s="3" t="s">
        <v>22</v>
      </c>
      <c r="C53" s="3" t="s">
        <v>23</v>
      </c>
      <c r="D53" s="3" t="s">
        <v>24</v>
      </c>
      <c r="E53" s="3" t="s">
        <v>25</v>
      </c>
      <c r="F53" s="3" t="s">
        <v>117</v>
      </c>
      <c r="G53" s="2">
        <v>44.59</v>
      </c>
      <c r="H53" s="2">
        <v>5</v>
      </c>
      <c r="I53" s="2">
        <v>11.147500000000001</v>
      </c>
      <c r="J53" s="2">
        <v>234.0975</v>
      </c>
      <c r="K53" s="5">
        <v>43506</v>
      </c>
      <c r="L53" s="4">
        <v>0.63194444444444442</v>
      </c>
      <c r="M53" s="3" t="s">
        <v>49</v>
      </c>
      <c r="N53" s="2">
        <v>222.95</v>
      </c>
      <c r="O53" s="2">
        <v>4.7619047620000003</v>
      </c>
      <c r="P53" s="2">
        <v>11.147500000000001</v>
      </c>
      <c r="Q53" s="2">
        <v>8.5</v>
      </c>
      <c r="R53" s="3"/>
      <c r="S53" s="1"/>
      <c r="T53" s="1"/>
      <c r="U53" s="1" t="s">
        <v>37</v>
      </c>
      <c r="V53" s="1" t="s">
        <v>37</v>
      </c>
      <c r="W53" s="1" t="s">
        <v>37</v>
      </c>
    </row>
    <row r="54" spans="1:23">
      <c r="A54" s="3" t="s">
        <v>428</v>
      </c>
      <c r="B54" s="3" t="s">
        <v>115</v>
      </c>
      <c r="C54" s="3" t="s">
        <v>116</v>
      </c>
      <c r="D54" s="3" t="s">
        <v>24</v>
      </c>
      <c r="E54" s="3" t="s">
        <v>25</v>
      </c>
      <c r="F54" s="3" t="s">
        <v>127</v>
      </c>
      <c r="G54" s="2">
        <v>17.87</v>
      </c>
      <c r="H54" s="2">
        <v>4</v>
      </c>
      <c r="I54" s="2">
        <v>3.5739999999999998</v>
      </c>
      <c r="J54" s="2">
        <v>75.054000000000002</v>
      </c>
      <c r="K54" s="5">
        <v>43546</v>
      </c>
      <c r="L54" s="4">
        <v>0.61250000000000004</v>
      </c>
      <c r="M54" s="3" t="s">
        <v>33</v>
      </c>
      <c r="N54" s="2">
        <v>71.48</v>
      </c>
      <c r="O54" s="2">
        <v>4.7619047620000003</v>
      </c>
      <c r="P54" s="2">
        <v>3.5739999999999998</v>
      </c>
      <c r="Q54" s="2">
        <v>6.5</v>
      </c>
      <c r="R54" s="3"/>
      <c r="S54" s="1"/>
      <c r="T54" s="1"/>
      <c r="U54" s="1" t="s">
        <v>37</v>
      </c>
      <c r="V54" s="1" t="s">
        <v>37</v>
      </c>
      <c r="W54" s="1" t="s">
        <v>37</v>
      </c>
    </row>
    <row r="55" spans="1:23">
      <c r="A55" s="3" t="s">
        <v>435</v>
      </c>
      <c r="B55" s="3" t="s">
        <v>39</v>
      </c>
      <c r="C55" s="3" t="s">
        <v>40</v>
      </c>
      <c r="D55" s="3" t="s">
        <v>24</v>
      </c>
      <c r="E55" s="3" t="s">
        <v>25</v>
      </c>
      <c r="F55" s="3" t="s">
        <v>127</v>
      </c>
      <c r="G55" s="2">
        <v>15.43</v>
      </c>
      <c r="H55" s="2">
        <v>1</v>
      </c>
      <c r="I55" s="2">
        <v>0.77149999999999996</v>
      </c>
      <c r="J55" s="2">
        <v>16.201499999999999</v>
      </c>
      <c r="K55" s="5">
        <v>43490</v>
      </c>
      <c r="L55" s="4">
        <v>0.65694444444444444</v>
      </c>
      <c r="M55" s="3" t="s">
        <v>59</v>
      </c>
      <c r="N55" s="2">
        <v>15.43</v>
      </c>
      <c r="O55" s="2">
        <v>4.7619047620000003</v>
      </c>
      <c r="P55" s="2">
        <v>0.77149999999999996</v>
      </c>
      <c r="Q55" s="2">
        <v>6.1</v>
      </c>
      <c r="R55" s="3"/>
      <c r="S55" s="1"/>
      <c r="T55" s="1"/>
      <c r="U55" s="1" t="s">
        <v>37</v>
      </c>
      <c r="V55" s="1" t="s">
        <v>37</v>
      </c>
      <c r="W55" s="1" t="s">
        <v>37</v>
      </c>
    </row>
    <row r="56" spans="1:23">
      <c r="A56" s="3" t="s">
        <v>441</v>
      </c>
      <c r="B56" s="3" t="s">
        <v>115</v>
      </c>
      <c r="C56" s="3" t="s">
        <v>116</v>
      </c>
      <c r="D56" s="3" t="s">
        <v>24</v>
      </c>
      <c r="E56" s="3" t="s">
        <v>25</v>
      </c>
      <c r="F56" s="3" t="s">
        <v>53</v>
      </c>
      <c r="G56" s="2">
        <v>16.16</v>
      </c>
      <c r="H56" s="2">
        <v>2</v>
      </c>
      <c r="I56" s="2">
        <v>1.6160000000000001</v>
      </c>
      <c r="J56" s="2">
        <v>33.936</v>
      </c>
      <c r="K56" s="5">
        <v>43531</v>
      </c>
      <c r="L56" s="4">
        <v>0.49236111111111114</v>
      </c>
      <c r="M56" s="3" t="s">
        <v>33</v>
      </c>
      <c r="N56" s="2">
        <v>32.32</v>
      </c>
      <c r="O56" s="2">
        <v>4.7619047620000003</v>
      </c>
      <c r="P56" s="2">
        <v>1.6160000000000001</v>
      </c>
      <c r="Q56" s="2">
        <v>6.5</v>
      </c>
      <c r="R56" s="3"/>
      <c r="S56" s="1"/>
      <c r="T56" s="1"/>
      <c r="U56" s="1" t="s">
        <v>37</v>
      </c>
      <c r="V56" s="1" t="s">
        <v>37</v>
      </c>
      <c r="W56" s="1" t="s">
        <v>37</v>
      </c>
    </row>
    <row r="57" spans="1:23">
      <c r="A57" s="3" t="s">
        <v>448</v>
      </c>
      <c r="B57" s="3" t="s">
        <v>39</v>
      </c>
      <c r="C57" s="3" t="s">
        <v>40</v>
      </c>
      <c r="D57" s="3" t="s">
        <v>24</v>
      </c>
      <c r="E57" s="3" t="s">
        <v>25</v>
      </c>
      <c r="F57" s="3" t="s">
        <v>42</v>
      </c>
      <c r="G57" s="2">
        <v>85.98</v>
      </c>
      <c r="H57" s="2">
        <v>8</v>
      </c>
      <c r="I57" s="2">
        <v>34.392000000000003</v>
      </c>
      <c r="J57" s="2">
        <v>722.23199999999997</v>
      </c>
      <c r="K57" s="5">
        <v>43524</v>
      </c>
      <c r="L57" s="4">
        <v>0.79236111111111107</v>
      </c>
      <c r="M57" s="3" t="s">
        <v>49</v>
      </c>
      <c r="N57" s="2">
        <v>687.84</v>
      </c>
      <c r="O57" s="2">
        <v>4.7619047620000003</v>
      </c>
      <c r="P57" s="2">
        <v>34.392000000000003</v>
      </c>
      <c r="Q57" s="2">
        <v>8.1999999999999993</v>
      </c>
      <c r="R57" s="3"/>
      <c r="S57" s="1"/>
      <c r="T57" s="1"/>
      <c r="U57" s="1" t="s">
        <v>37</v>
      </c>
      <c r="V57" s="1" t="s">
        <v>37</v>
      </c>
      <c r="W57" s="1" t="s">
        <v>37</v>
      </c>
    </row>
    <row r="58" spans="1:23">
      <c r="A58" s="3" t="s">
        <v>455</v>
      </c>
      <c r="B58" s="3" t="s">
        <v>22</v>
      </c>
      <c r="C58" s="3" t="s">
        <v>23</v>
      </c>
      <c r="D58" s="3" t="s">
        <v>24</v>
      </c>
      <c r="E58" s="3" t="s">
        <v>25</v>
      </c>
      <c r="F58" s="3" t="s">
        <v>53</v>
      </c>
      <c r="G58" s="2">
        <v>44.34</v>
      </c>
      <c r="H58" s="2">
        <v>2</v>
      </c>
      <c r="I58" s="2">
        <v>4.4340000000000002</v>
      </c>
      <c r="J58" s="2">
        <v>93.114000000000004</v>
      </c>
      <c r="K58" s="5">
        <v>43551</v>
      </c>
      <c r="L58" s="4">
        <v>0.47638888888888886</v>
      </c>
      <c r="M58" s="3" t="s">
        <v>49</v>
      </c>
      <c r="N58" s="2">
        <v>88.68</v>
      </c>
      <c r="O58" s="2">
        <v>4.7619047620000003</v>
      </c>
      <c r="P58" s="2">
        <v>4.4340000000000002</v>
      </c>
      <c r="Q58" s="2">
        <v>5.8</v>
      </c>
      <c r="R58" s="3"/>
      <c r="S58" s="1"/>
      <c r="T58" s="1"/>
      <c r="U58" s="1" t="s">
        <v>37</v>
      </c>
      <c r="V58" s="1" t="s">
        <v>37</v>
      </c>
      <c r="W58" s="1" t="s">
        <v>37</v>
      </c>
    </row>
    <row r="59" spans="1:23">
      <c r="A59" s="3" t="s">
        <v>462</v>
      </c>
      <c r="B59" s="3" t="s">
        <v>22</v>
      </c>
      <c r="C59" s="3" t="s">
        <v>23</v>
      </c>
      <c r="D59" s="3" t="s">
        <v>24</v>
      </c>
      <c r="E59" s="3" t="s">
        <v>25</v>
      </c>
      <c r="F59" s="3" t="s">
        <v>26</v>
      </c>
      <c r="G59" s="2">
        <v>89.6</v>
      </c>
      <c r="H59" s="2">
        <v>8</v>
      </c>
      <c r="I59" s="2">
        <v>35.840000000000003</v>
      </c>
      <c r="J59" s="2">
        <v>752.64</v>
      </c>
      <c r="K59" s="5">
        <v>43503</v>
      </c>
      <c r="L59" s="4">
        <v>0.4777777777777778</v>
      </c>
      <c r="M59" s="3" t="s">
        <v>33</v>
      </c>
      <c r="N59" s="2">
        <v>716.8</v>
      </c>
      <c r="O59" s="2">
        <v>4.7619047620000003</v>
      </c>
      <c r="P59" s="2">
        <v>35.840000000000003</v>
      </c>
      <c r="Q59" s="2">
        <v>6.6</v>
      </c>
      <c r="R59" s="3"/>
      <c r="S59" s="1"/>
      <c r="T59" s="1"/>
      <c r="U59" s="1" t="s">
        <v>37</v>
      </c>
      <c r="V59" s="1" t="s">
        <v>37</v>
      </c>
      <c r="W59" s="1" t="s">
        <v>37</v>
      </c>
    </row>
    <row r="60" spans="1:23">
      <c r="A60" s="3" t="s">
        <v>469</v>
      </c>
      <c r="B60" s="3" t="s">
        <v>22</v>
      </c>
      <c r="C60" s="3" t="s">
        <v>23</v>
      </c>
      <c r="D60" s="3" t="s">
        <v>24</v>
      </c>
      <c r="E60" s="3" t="s">
        <v>25</v>
      </c>
      <c r="F60" s="3" t="s">
        <v>53</v>
      </c>
      <c r="G60" s="2">
        <v>72.349999999999994</v>
      </c>
      <c r="H60" s="2">
        <v>10</v>
      </c>
      <c r="I60" s="2">
        <v>36.174999999999997</v>
      </c>
      <c r="J60" s="2">
        <v>759.67499999999995</v>
      </c>
      <c r="K60" s="5">
        <v>43485</v>
      </c>
      <c r="L60" s="4">
        <v>0.66319444444444442</v>
      </c>
      <c r="M60" s="3" t="s">
        <v>49</v>
      </c>
      <c r="N60" s="2">
        <v>723.5</v>
      </c>
      <c r="O60" s="2">
        <v>4.7619047620000003</v>
      </c>
      <c r="P60" s="2">
        <v>36.174999999999997</v>
      </c>
      <c r="Q60" s="2">
        <v>5.4</v>
      </c>
      <c r="R60" s="3"/>
      <c r="S60" s="1"/>
      <c r="T60" s="1"/>
      <c r="U60" s="1" t="s">
        <v>37</v>
      </c>
      <c r="V60" s="1" t="s">
        <v>37</v>
      </c>
      <c r="W60" s="1" t="s">
        <v>37</v>
      </c>
    </row>
    <row r="61" spans="1:23">
      <c r="A61" s="3" t="s">
        <v>477</v>
      </c>
      <c r="B61" s="3" t="s">
        <v>39</v>
      </c>
      <c r="C61" s="3" t="s">
        <v>40</v>
      </c>
      <c r="D61" s="3" t="s">
        <v>24</v>
      </c>
      <c r="E61" s="3" t="s">
        <v>25</v>
      </c>
      <c r="F61" s="3" t="s">
        <v>42</v>
      </c>
      <c r="G61" s="2">
        <v>30.61</v>
      </c>
      <c r="H61" s="2">
        <v>6</v>
      </c>
      <c r="I61" s="2">
        <v>9.1829999999999998</v>
      </c>
      <c r="J61" s="2">
        <v>192.84299999999999</v>
      </c>
      <c r="K61" s="5">
        <v>43536</v>
      </c>
      <c r="L61" s="4">
        <v>0.85833333333333328</v>
      </c>
      <c r="M61" s="3" t="s">
        <v>49</v>
      </c>
      <c r="N61" s="2">
        <v>183.66</v>
      </c>
      <c r="O61" s="2">
        <v>4.7619047620000003</v>
      </c>
      <c r="P61" s="2">
        <v>9.1829999999999998</v>
      </c>
      <c r="Q61" s="2">
        <v>9.3000000000000007</v>
      </c>
      <c r="R61" s="3"/>
      <c r="S61" s="1"/>
      <c r="T61" s="1"/>
      <c r="U61" s="1" t="s">
        <v>37</v>
      </c>
      <c r="V61" s="1" t="s">
        <v>37</v>
      </c>
      <c r="W61" s="1" t="s">
        <v>37</v>
      </c>
    </row>
    <row r="62" spans="1:23">
      <c r="A62" s="3" t="s">
        <v>485</v>
      </c>
      <c r="B62" s="3" t="s">
        <v>39</v>
      </c>
      <c r="C62" s="3" t="s">
        <v>40</v>
      </c>
      <c r="D62" s="3" t="s">
        <v>24</v>
      </c>
      <c r="E62" s="3" t="s">
        <v>25</v>
      </c>
      <c r="F62" s="3" t="s">
        <v>72</v>
      </c>
      <c r="G62" s="2">
        <v>24.74</v>
      </c>
      <c r="H62" s="2">
        <v>3</v>
      </c>
      <c r="I62" s="2">
        <v>3.7109999999999999</v>
      </c>
      <c r="J62" s="2">
        <v>77.930999999999997</v>
      </c>
      <c r="K62" s="5">
        <v>43511</v>
      </c>
      <c r="L62" s="4">
        <v>0.74097222222222225</v>
      </c>
      <c r="M62" s="3" t="s">
        <v>59</v>
      </c>
      <c r="N62" s="2">
        <v>74.22</v>
      </c>
      <c r="O62" s="2">
        <v>4.7619047620000003</v>
      </c>
      <c r="P62" s="2">
        <v>3.7109999999999999</v>
      </c>
      <c r="Q62" s="2">
        <v>10</v>
      </c>
      <c r="R62" s="3"/>
      <c r="S62" s="1"/>
      <c r="T62" s="1"/>
      <c r="U62" s="1" t="s">
        <v>37</v>
      </c>
      <c r="V62" s="1" t="s">
        <v>37</v>
      </c>
      <c r="W62" s="1" t="s">
        <v>37</v>
      </c>
    </row>
    <row r="63" spans="1:23">
      <c r="A63" s="3" t="s">
        <v>492</v>
      </c>
      <c r="B63" s="3" t="s">
        <v>39</v>
      </c>
      <c r="C63" s="3" t="s">
        <v>40</v>
      </c>
      <c r="D63" s="3" t="s">
        <v>24</v>
      </c>
      <c r="E63" s="3" t="s">
        <v>25</v>
      </c>
      <c r="F63" s="3" t="s">
        <v>53</v>
      </c>
      <c r="G63" s="2">
        <v>55.73</v>
      </c>
      <c r="H63" s="2">
        <v>6</v>
      </c>
      <c r="I63" s="2">
        <v>16.719000000000001</v>
      </c>
      <c r="J63" s="2">
        <v>351.09899999999999</v>
      </c>
      <c r="K63" s="5">
        <v>43520</v>
      </c>
      <c r="L63" s="4">
        <v>0.4548611111111111</v>
      </c>
      <c r="M63" s="3" t="s">
        <v>33</v>
      </c>
      <c r="N63" s="2">
        <v>334.38</v>
      </c>
      <c r="O63" s="2">
        <v>4.7619047620000003</v>
      </c>
      <c r="P63" s="2">
        <v>16.719000000000001</v>
      </c>
      <c r="Q63" s="2">
        <v>7</v>
      </c>
      <c r="R63" s="3"/>
      <c r="S63" s="1"/>
      <c r="T63" s="1"/>
      <c r="U63" s="1" t="s">
        <v>37</v>
      </c>
      <c r="V63" s="1" t="s">
        <v>37</v>
      </c>
      <c r="W63" s="1" t="s">
        <v>37</v>
      </c>
    </row>
    <row r="64" spans="1:23">
      <c r="A64" s="3" t="s">
        <v>498</v>
      </c>
      <c r="B64" s="3" t="s">
        <v>115</v>
      </c>
      <c r="C64" s="3" t="s">
        <v>116</v>
      </c>
      <c r="D64" s="3" t="s">
        <v>24</v>
      </c>
      <c r="E64" s="3" t="s">
        <v>25</v>
      </c>
      <c r="F64" s="3" t="s">
        <v>72</v>
      </c>
      <c r="G64" s="2">
        <v>55.07</v>
      </c>
      <c r="H64" s="2">
        <v>9</v>
      </c>
      <c r="I64" s="2">
        <v>24.781500000000001</v>
      </c>
      <c r="J64" s="2">
        <v>520.41150000000005</v>
      </c>
      <c r="K64" s="5">
        <v>43499</v>
      </c>
      <c r="L64" s="4">
        <v>0.56944444444444442</v>
      </c>
      <c r="M64" s="3" t="s">
        <v>33</v>
      </c>
      <c r="N64" s="2">
        <v>495.63</v>
      </c>
      <c r="O64" s="2">
        <v>4.7619047620000003</v>
      </c>
      <c r="P64" s="2">
        <v>24.781500000000001</v>
      </c>
      <c r="Q64" s="2">
        <v>10</v>
      </c>
      <c r="R64" s="3"/>
      <c r="S64" s="1"/>
      <c r="T64" s="1"/>
      <c r="U64" s="1" t="s">
        <v>37</v>
      </c>
      <c r="V64" s="1" t="s">
        <v>37</v>
      </c>
      <c r="W64" s="1" t="s">
        <v>37</v>
      </c>
    </row>
    <row r="65" spans="1:23">
      <c r="A65" s="3" t="s">
        <v>504</v>
      </c>
      <c r="B65" s="3" t="s">
        <v>22</v>
      </c>
      <c r="C65" s="3" t="s">
        <v>23</v>
      </c>
      <c r="D65" s="3" t="s">
        <v>24</v>
      </c>
      <c r="E65" s="3" t="s">
        <v>25</v>
      </c>
      <c r="F65" s="3" t="s">
        <v>72</v>
      </c>
      <c r="G65" s="2">
        <v>15.81</v>
      </c>
      <c r="H65" s="2">
        <v>10</v>
      </c>
      <c r="I65" s="2">
        <v>7.9050000000000002</v>
      </c>
      <c r="J65" s="2">
        <v>166.005</v>
      </c>
      <c r="K65" s="5">
        <v>43530</v>
      </c>
      <c r="L65" s="4">
        <v>0.51875000000000004</v>
      </c>
      <c r="M65" s="3" t="s">
        <v>59</v>
      </c>
      <c r="N65" s="2">
        <v>158.1</v>
      </c>
      <c r="O65" s="2">
        <v>4.7619047620000003</v>
      </c>
      <c r="P65" s="2">
        <v>7.9050000000000002</v>
      </c>
      <c r="Q65" s="2">
        <v>8.6</v>
      </c>
      <c r="R65" s="3"/>
      <c r="S65" s="1"/>
      <c r="T65" s="1"/>
      <c r="U65" s="1" t="s">
        <v>37</v>
      </c>
      <c r="V65" s="1" t="s">
        <v>37</v>
      </c>
      <c r="W65" s="1" t="s">
        <v>37</v>
      </c>
    </row>
    <row r="66" spans="1:23">
      <c r="A66" s="3" t="s">
        <v>511</v>
      </c>
      <c r="B66" s="3" t="s">
        <v>115</v>
      </c>
      <c r="C66" s="3" t="s">
        <v>116</v>
      </c>
      <c r="D66" s="3" t="s">
        <v>24</v>
      </c>
      <c r="E66" s="3" t="s">
        <v>25</v>
      </c>
      <c r="F66" s="3" t="s">
        <v>26</v>
      </c>
      <c r="G66" s="2">
        <v>75.739999999999995</v>
      </c>
      <c r="H66" s="2">
        <v>4</v>
      </c>
      <c r="I66" s="2">
        <v>15.148</v>
      </c>
      <c r="J66" s="2">
        <v>318.108</v>
      </c>
      <c r="K66" s="5">
        <v>43510</v>
      </c>
      <c r="L66" s="4">
        <v>0.60763888888888884</v>
      </c>
      <c r="M66" s="3" t="s">
        <v>49</v>
      </c>
      <c r="N66" s="2">
        <v>302.95999999999998</v>
      </c>
      <c r="O66" s="2">
        <v>4.7619047620000003</v>
      </c>
      <c r="P66" s="2">
        <v>15.148</v>
      </c>
      <c r="Q66" s="2">
        <v>7.6</v>
      </c>
      <c r="R66" s="3"/>
      <c r="S66" s="1"/>
      <c r="T66" s="1"/>
      <c r="U66" s="1" t="s">
        <v>37</v>
      </c>
      <c r="V66" s="1" t="s">
        <v>37</v>
      </c>
      <c r="W66" s="1" t="s">
        <v>37</v>
      </c>
    </row>
    <row r="67" spans="1:23">
      <c r="A67" s="3" t="s">
        <v>518</v>
      </c>
      <c r="B67" s="3" t="s">
        <v>22</v>
      </c>
      <c r="C67" s="3" t="s">
        <v>23</v>
      </c>
      <c r="D67" s="3" t="s">
        <v>24</v>
      </c>
      <c r="E67" s="3" t="s">
        <v>25</v>
      </c>
      <c r="F67" s="3" t="s">
        <v>26</v>
      </c>
      <c r="G67" s="2">
        <v>15.87</v>
      </c>
      <c r="H67" s="2">
        <v>10</v>
      </c>
      <c r="I67" s="2">
        <v>7.9349999999999996</v>
      </c>
      <c r="J67" s="2">
        <v>166.63499999999999</v>
      </c>
      <c r="K67" s="5">
        <v>43537</v>
      </c>
      <c r="L67" s="4">
        <v>0.69444444444444442</v>
      </c>
      <c r="M67" s="3" t="s">
        <v>49</v>
      </c>
      <c r="N67" s="2">
        <v>158.69999999999999</v>
      </c>
      <c r="O67" s="2">
        <v>4.7619047620000003</v>
      </c>
      <c r="P67" s="2">
        <v>7.9349999999999996</v>
      </c>
      <c r="Q67" s="2">
        <v>5.8</v>
      </c>
      <c r="R67" s="3"/>
      <c r="S67" s="1"/>
      <c r="T67" s="1"/>
      <c r="U67" s="1" t="s">
        <v>37</v>
      </c>
      <c r="V67" s="1" t="s">
        <v>37</v>
      </c>
      <c r="W67" s="1" t="s">
        <v>37</v>
      </c>
    </row>
    <row r="68" spans="1:23">
      <c r="A68" s="3" t="s">
        <v>525</v>
      </c>
      <c r="B68" s="3" t="s">
        <v>39</v>
      </c>
      <c r="C68" s="3" t="s">
        <v>40</v>
      </c>
      <c r="D68" s="3" t="s">
        <v>24</v>
      </c>
      <c r="E68" s="3" t="s">
        <v>25</v>
      </c>
      <c r="F68" s="3" t="s">
        <v>26</v>
      </c>
      <c r="G68" s="2">
        <v>33.47</v>
      </c>
      <c r="H68" s="2">
        <v>2</v>
      </c>
      <c r="I68" s="2">
        <v>3.347</v>
      </c>
      <c r="J68" s="2">
        <v>70.287000000000006</v>
      </c>
      <c r="K68" s="5">
        <v>43506</v>
      </c>
      <c r="L68" s="4">
        <v>0.65486111111111112</v>
      </c>
      <c r="M68" s="3" t="s">
        <v>33</v>
      </c>
      <c r="N68" s="2">
        <v>66.94</v>
      </c>
      <c r="O68" s="2">
        <v>4.7619047620000003</v>
      </c>
      <c r="P68" s="2">
        <v>3.347</v>
      </c>
      <c r="Q68" s="2">
        <v>6.7</v>
      </c>
      <c r="R68" s="3"/>
      <c r="S68" s="1"/>
      <c r="T68" s="1"/>
      <c r="U68" s="1" t="s">
        <v>37</v>
      </c>
      <c r="V68" s="1" t="s">
        <v>37</v>
      </c>
      <c r="W68" s="1" t="s">
        <v>37</v>
      </c>
    </row>
    <row r="69" spans="1:23">
      <c r="A69" s="3" t="s">
        <v>531</v>
      </c>
      <c r="B69" s="3" t="s">
        <v>115</v>
      </c>
      <c r="C69" s="3" t="s">
        <v>116</v>
      </c>
      <c r="D69" s="3" t="s">
        <v>24</v>
      </c>
      <c r="E69" s="3" t="s">
        <v>25</v>
      </c>
      <c r="F69" s="3" t="s">
        <v>127</v>
      </c>
      <c r="G69" s="2">
        <v>97.61</v>
      </c>
      <c r="H69" s="2">
        <v>6</v>
      </c>
      <c r="I69" s="2">
        <v>29.283000000000001</v>
      </c>
      <c r="J69" s="2">
        <v>614.94299999999998</v>
      </c>
      <c r="K69" s="5">
        <v>43472</v>
      </c>
      <c r="L69" s="4">
        <v>0.62569444444444444</v>
      </c>
      <c r="M69" s="3" t="s">
        <v>33</v>
      </c>
      <c r="N69" s="2">
        <v>585.66</v>
      </c>
      <c r="O69" s="2">
        <v>4.7619047620000003</v>
      </c>
      <c r="P69" s="2">
        <v>29.283000000000001</v>
      </c>
      <c r="Q69" s="2">
        <v>9.9</v>
      </c>
      <c r="R69" s="3"/>
      <c r="S69" s="1"/>
      <c r="T69" s="1"/>
      <c r="U69" s="1" t="s">
        <v>37</v>
      </c>
      <c r="V69" s="1" t="s">
        <v>37</v>
      </c>
      <c r="W69" s="1" t="s">
        <v>37</v>
      </c>
    </row>
    <row r="70" spans="1:23">
      <c r="A70" s="3" t="s">
        <v>537</v>
      </c>
      <c r="B70" s="3" t="s">
        <v>22</v>
      </c>
      <c r="C70" s="3" t="s">
        <v>23</v>
      </c>
      <c r="D70" s="3" t="s">
        <v>24</v>
      </c>
      <c r="E70" s="3" t="s">
        <v>25</v>
      </c>
      <c r="F70" s="3" t="s">
        <v>72</v>
      </c>
      <c r="G70" s="2">
        <v>78.77</v>
      </c>
      <c r="H70" s="2">
        <v>10</v>
      </c>
      <c r="I70" s="2">
        <v>39.384999999999998</v>
      </c>
      <c r="J70" s="2">
        <v>827.08500000000004</v>
      </c>
      <c r="K70" s="5">
        <v>43489</v>
      </c>
      <c r="L70" s="4">
        <v>0.41944444444444445</v>
      </c>
      <c r="M70" s="3" t="s">
        <v>49</v>
      </c>
      <c r="N70" s="2">
        <v>787.7</v>
      </c>
      <c r="O70" s="2">
        <v>4.7619047620000003</v>
      </c>
      <c r="P70" s="2">
        <v>39.384999999999998</v>
      </c>
      <c r="Q70" s="2">
        <v>6.4</v>
      </c>
      <c r="R70" s="3"/>
      <c r="S70" s="1"/>
      <c r="T70" s="1"/>
      <c r="U70" s="1" t="s">
        <v>37</v>
      </c>
      <c r="V70" s="1" t="s">
        <v>37</v>
      </c>
      <c r="W70" s="1" t="s">
        <v>37</v>
      </c>
    </row>
    <row r="71" spans="1:23">
      <c r="A71" s="3" t="s">
        <v>545</v>
      </c>
      <c r="B71" s="3" t="s">
        <v>22</v>
      </c>
      <c r="C71" s="3" t="s">
        <v>23</v>
      </c>
      <c r="D71" s="3" t="s">
        <v>24</v>
      </c>
      <c r="E71" s="3" t="s">
        <v>25</v>
      </c>
      <c r="F71" s="3" t="s">
        <v>26</v>
      </c>
      <c r="G71" s="2">
        <v>18.329999999999998</v>
      </c>
      <c r="H71" s="2">
        <v>1</v>
      </c>
      <c r="I71" s="2">
        <v>0.91649999999999998</v>
      </c>
      <c r="J71" s="2">
        <v>19.246500000000001</v>
      </c>
      <c r="K71" s="5">
        <v>43498</v>
      </c>
      <c r="L71" s="4">
        <v>0.78472222222222221</v>
      </c>
      <c r="M71" s="3" t="s">
        <v>49</v>
      </c>
      <c r="N71" s="2">
        <v>18.329999999999998</v>
      </c>
      <c r="O71" s="2">
        <v>4.7619047620000003</v>
      </c>
      <c r="P71" s="2">
        <v>0.91649999999999998</v>
      </c>
      <c r="Q71" s="2">
        <v>4.3</v>
      </c>
      <c r="R71" s="3"/>
      <c r="S71" s="1"/>
      <c r="T71" s="1"/>
      <c r="U71" s="1" t="s">
        <v>37</v>
      </c>
      <c r="V71" s="1" t="s">
        <v>37</v>
      </c>
      <c r="W71" s="1" t="s">
        <v>37</v>
      </c>
    </row>
    <row r="72" spans="1:23">
      <c r="A72" s="3" t="s">
        <v>551</v>
      </c>
      <c r="B72" s="3" t="s">
        <v>39</v>
      </c>
      <c r="C72" s="3" t="s">
        <v>40</v>
      </c>
      <c r="D72" s="3" t="s">
        <v>24</v>
      </c>
      <c r="E72" s="3" t="s">
        <v>25</v>
      </c>
      <c r="F72" s="3" t="s">
        <v>117</v>
      </c>
      <c r="G72" s="2">
        <v>89.48</v>
      </c>
      <c r="H72" s="2">
        <v>10</v>
      </c>
      <c r="I72" s="2">
        <v>44.74</v>
      </c>
      <c r="J72" s="2">
        <v>939.54</v>
      </c>
      <c r="K72" s="5">
        <v>43471</v>
      </c>
      <c r="L72" s="4">
        <v>0.53194444444444444</v>
      </c>
      <c r="M72" s="3" t="s">
        <v>59</v>
      </c>
      <c r="N72" s="2">
        <v>894.8</v>
      </c>
      <c r="O72" s="2">
        <v>4.7619047620000003</v>
      </c>
      <c r="P72" s="2">
        <v>44.74</v>
      </c>
      <c r="Q72" s="2">
        <v>9.6</v>
      </c>
      <c r="R72" s="3"/>
      <c r="S72" s="1"/>
      <c r="T72" s="1"/>
      <c r="U72" s="1" t="s">
        <v>37</v>
      </c>
      <c r="V72" s="1" t="s">
        <v>37</v>
      </c>
      <c r="W72" s="1" t="s">
        <v>37</v>
      </c>
    </row>
    <row r="73" spans="1:23">
      <c r="A73" s="3" t="s">
        <v>558</v>
      </c>
      <c r="B73" s="3" t="s">
        <v>39</v>
      </c>
      <c r="C73" s="3" t="s">
        <v>40</v>
      </c>
      <c r="D73" s="3" t="s">
        <v>24</v>
      </c>
      <c r="E73" s="3" t="s">
        <v>25</v>
      </c>
      <c r="F73" s="3" t="s">
        <v>127</v>
      </c>
      <c r="G73" s="2">
        <v>62.12</v>
      </c>
      <c r="H73" s="2">
        <v>10</v>
      </c>
      <c r="I73" s="2">
        <v>31.06</v>
      </c>
      <c r="J73" s="2">
        <v>652.26</v>
      </c>
      <c r="K73" s="5">
        <v>43507</v>
      </c>
      <c r="L73" s="4">
        <v>0.67986111111111114</v>
      </c>
      <c r="M73" s="3" t="s">
        <v>49</v>
      </c>
      <c r="N73" s="2">
        <v>621.20000000000005</v>
      </c>
      <c r="O73" s="2">
        <v>4.7619047620000003</v>
      </c>
      <c r="P73" s="2">
        <v>31.06</v>
      </c>
      <c r="Q73" s="2">
        <v>5.9</v>
      </c>
      <c r="R73" s="3"/>
      <c r="S73" s="1"/>
      <c r="T73" s="1"/>
      <c r="U73" s="1" t="s">
        <v>37</v>
      </c>
      <c r="V73" s="1" t="s">
        <v>37</v>
      </c>
      <c r="W73" s="1" t="s">
        <v>37</v>
      </c>
    </row>
    <row r="74" spans="1:23">
      <c r="A74" s="3" t="s">
        <v>564</v>
      </c>
      <c r="B74" s="3" t="s">
        <v>115</v>
      </c>
      <c r="C74" s="3" t="s">
        <v>116</v>
      </c>
      <c r="D74" s="3" t="s">
        <v>24</v>
      </c>
      <c r="E74" s="3" t="s">
        <v>25</v>
      </c>
      <c r="F74" s="3" t="s">
        <v>117</v>
      </c>
      <c r="G74" s="2">
        <v>48.52</v>
      </c>
      <c r="H74" s="2">
        <v>3</v>
      </c>
      <c r="I74" s="2">
        <v>7.2779999999999996</v>
      </c>
      <c r="J74" s="2">
        <v>152.83799999999999</v>
      </c>
      <c r="K74" s="5">
        <v>43529</v>
      </c>
      <c r="L74" s="4">
        <v>0.76180555555555551</v>
      </c>
      <c r="M74" s="3" t="s">
        <v>33</v>
      </c>
      <c r="N74" s="2">
        <v>145.56</v>
      </c>
      <c r="O74" s="2">
        <v>4.7619047620000003</v>
      </c>
      <c r="P74" s="2">
        <v>7.2779999999999996</v>
      </c>
      <c r="Q74" s="2">
        <v>4</v>
      </c>
      <c r="R74" s="3"/>
      <c r="S74" s="1"/>
      <c r="T74" s="1"/>
      <c r="U74" s="1" t="s">
        <v>37</v>
      </c>
      <c r="V74" s="1" t="s">
        <v>37</v>
      </c>
      <c r="W74" s="1" t="s">
        <v>37</v>
      </c>
    </row>
    <row r="75" spans="1:23">
      <c r="A75" s="3" t="s">
        <v>570</v>
      </c>
      <c r="B75" s="3" t="s">
        <v>39</v>
      </c>
      <c r="C75" s="3" t="s">
        <v>40</v>
      </c>
      <c r="D75" s="3" t="s">
        <v>24</v>
      </c>
      <c r="E75" s="3" t="s">
        <v>25</v>
      </c>
      <c r="F75" s="3" t="s">
        <v>42</v>
      </c>
      <c r="G75" s="2">
        <v>75.91</v>
      </c>
      <c r="H75" s="2">
        <v>6</v>
      </c>
      <c r="I75" s="2">
        <v>22.773</v>
      </c>
      <c r="J75" s="2">
        <v>478.233</v>
      </c>
      <c r="K75" s="5">
        <v>43533</v>
      </c>
      <c r="L75" s="4">
        <v>0.76458333333333328</v>
      </c>
      <c r="M75" s="3" t="s">
        <v>49</v>
      </c>
      <c r="N75" s="2">
        <v>455.46</v>
      </c>
      <c r="O75" s="2">
        <v>4.7619047620000003</v>
      </c>
      <c r="P75" s="2">
        <v>22.773</v>
      </c>
      <c r="Q75" s="2">
        <v>8.6999999999999993</v>
      </c>
      <c r="R75" s="3"/>
      <c r="S75" s="1"/>
      <c r="T75" s="1"/>
      <c r="U75" s="1" t="s">
        <v>37</v>
      </c>
      <c r="V75" s="1" t="s">
        <v>37</v>
      </c>
      <c r="W75" s="1" t="s">
        <v>37</v>
      </c>
    </row>
    <row r="76" spans="1:23">
      <c r="A76" s="3" t="s">
        <v>577</v>
      </c>
      <c r="B76" s="3" t="s">
        <v>22</v>
      </c>
      <c r="C76" s="3" t="s">
        <v>23</v>
      </c>
      <c r="D76" s="3" t="s">
        <v>24</v>
      </c>
      <c r="E76" s="3" t="s">
        <v>25</v>
      </c>
      <c r="F76" s="3" t="s">
        <v>53</v>
      </c>
      <c r="G76" s="2">
        <v>74.67</v>
      </c>
      <c r="H76" s="2">
        <v>9</v>
      </c>
      <c r="I76" s="2">
        <v>33.601500000000001</v>
      </c>
      <c r="J76" s="2">
        <v>705.63149999999996</v>
      </c>
      <c r="K76" s="5">
        <v>43487</v>
      </c>
      <c r="L76" s="4">
        <v>0.4548611111111111</v>
      </c>
      <c r="M76" s="3" t="s">
        <v>33</v>
      </c>
      <c r="N76" s="2">
        <v>672.03</v>
      </c>
      <c r="O76" s="2">
        <v>4.7619047620000003</v>
      </c>
      <c r="P76" s="2">
        <v>33.601500000000001</v>
      </c>
      <c r="Q76" s="2">
        <v>9.4</v>
      </c>
      <c r="R76" s="3"/>
      <c r="S76" s="1"/>
      <c r="T76" s="1"/>
      <c r="U76" s="1" t="s">
        <v>37</v>
      </c>
      <c r="V76" s="1" t="s">
        <v>37</v>
      </c>
      <c r="W76" s="1" t="s">
        <v>37</v>
      </c>
    </row>
    <row r="77" spans="1:23">
      <c r="A77" s="3" t="s">
        <v>584</v>
      </c>
      <c r="B77" s="3" t="s">
        <v>39</v>
      </c>
      <c r="C77" s="3" t="s">
        <v>40</v>
      </c>
      <c r="D77" s="3" t="s">
        <v>24</v>
      </c>
      <c r="E77" s="3" t="s">
        <v>25</v>
      </c>
      <c r="F77" s="3" t="s">
        <v>42</v>
      </c>
      <c r="G77" s="2">
        <v>41.65</v>
      </c>
      <c r="H77" s="2">
        <v>10</v>
      </c>
      <c r="I77" s="2">
        <v>20.824999999999999</v>
      </c>
      <c r="J77" s="2">
        <v>437.32499999999999</v>
      </c>
      <c r="K77" s="5">
        <v>43478</v>
      </c>
      <c r="L77" s="4">
        <v>0.71111111111111114</v>
      </c>
      <c r="M77" s="3" t="s">
        <v>59</v>
      </c>
      <c r="N77" s="2">
        <v>416.5</v>
      </c>
      <c r="O77" s="2">
        <v>4.7619047620000003</v>
      </c>
      <c r="P77" s="2">
        <v>20.824999999999999</v>
      </c>
      <c r="Q77" s="2">
        <v>5.4</v>
      </c>
      <c r="R77" s="3"/>
      <c r="S77" s="1"/>
      <c r="T77" s="1"/>
      <c r="U77" s="1" t="s">
        <v>37</v>
      </c>
      <c r="V77" s="1" t="s">
        <v>37</v>
      </c>
      <c r="W77" s="1" t="s">
        <v>37</v>
      </c>
    </row>
    <row r="78" spans="1:23">
      <c r="A78" s="3" t="s">
        <v>591</v>
      </c>
      <c r="B78" s="3" t="s">
        <v>39</v>
      </c>
      <c r="C78" s="3" t="s">
        <v>40</v>
      </c>
      <c r="D78" s="3" t="s">
        <v>24</v>
      </c>
      <c r="E78" s="3" t="s">
        <v>25</v>
      </c>
      <c r="F78" s="3" t="s">
        <v>127</v>
      </c>
      <c r="G78" s="2">
        <v>49.04</v>
      </c>
      <c r="H78" s="2">
        <v>9</v>
      </c>
      <c r="I78" s="2">
        <v>22.068000000000001</v>
      </c>
      <c r="J78" s="2">
        <v>463.428</v>
      </c>
      <c r="K78" s="5">
        <v>43474</v>
      </c>
      <c r="L78" s="4">
        <v>0.59722222222222221</v>
      </c>
      <c r="M78" s="3" t="s">
        <v>59</v>
      </c>
      <c r="N78" s="2">
        <v>441.36</v>
      </c>
      <c r="O78" s="2">
        <v>4.7619047620000003</v>
      </c>
      <c r="P78" s="2">
        <v>22.068000000000001</v>
      </c>
      <c r="Q78" s="2">
        <v>8.6</v>
      </c>
      <c r="R78" s="3"/>
      <c r="S78" s="1"/>
      <c r="T78" s="1"/>
      <c r="U78" s="1" t="s">
        <v>37</v>
      </c>
      <c r="V78" s="1" t="s">
        <v>37</v>
      </c>
      <c r="W78" s="1" t="s">
        <v>37</v>
      </c>
    </row>
    <row r="79" spans="1:23">
      <c r="A79" s="3" t="s">
        <v>598</v>
      </c>
      <c r="B79" s="3" t="s">
        <v>22</v>
      </c>
      <c r="C79" s="3" t="s">
        <v>23</v>
      </c>
      <c r="D79" s="3" t="s">
        <v>24</v>
      </c>
      <c r="E79" s="3" t="s">
        <v>25</v>
      </c>
      <c r="F79" s="3" t="s">
        <v>127</v>
      </c>
      <c r="G79" s="2">
        <v>20.010000000000002</v>
      </c>
      <c r="H79" s="2">
        <v>9</v>
      </c>
      <c r="I79" s="2">
        <v>9.0045000000000002</v>
      </c>
      <c r="J79" s="2">
        <v>189.09450000000001</v>
      </c>
      <c r="K79" s="5">
        <v>43477</v>
      </c>
      <c r="L79" s="4">
        <v>0.65833333333333333</v>
      </c>
      <c r="M79" s="3" t="s">
        <v>59</v>
      </c>
      <c r="N79" s="2">
        <v>180.09</v>
      </c>
      <c r="O79" s="2">
        <v>4.7619047620000003</v>
      </c>
      <c r="P79" s="2">
        <v>9.0045000000000002</v>
      </c>
      <c r="Q79" s="2">
        <v>5.7</v>
      </c>
      <c r="R79" s="3"/>
      <c r="S79" s="1"/>
      <c r="T79" s="1"/>
      <c r="U79" s="1" t="s">
        <v>37</v>
      </c>
      <c r="V79" s="1" t="s">
        <v>37</v>
      </c>
      <c r="W79" s="1" t="s">
        <v>37</v>
      </c>
    </row>
    <row r="80" spans="1:23">
      <c r="A80" s="3" t="s">
        <v>601</v>
      </c>
      <c r="B80" s="3" t="s">
        <v>39</v>
      </c>
      <c r="C80" s="3" t="s">
        <v>40</v>
      </c>
      <c r="D80" s="3" t="s">
        <v>24</v>
      </c>
      <c r="E80" s="3" t="s">
        <v>25</v>
      </c>
      <c r="F80" s="3" t="s">
        <v>117</v>
      </c>
      <c r="G80" s="2">
        <v>78.31</v>
      </c>
      <c r="H80" s="2">
        <v>10</v>
      </c>
      <c r="I80" s="2">
        <v>39.155000000000001</v>
      </c>
      <c r="J80" s="2">
        <v>822.255</v>
      </c>
      <c r="K80" s="5">
        <v>43529</v>
      </c>
      <c r="L80" s="4">
        <v>0.68333333333333335</v>
      </c>
      <c r="M80" s="3" t="s">
        <v>33</v>
      </c>
      <c r="N80" s="2">
        <v>783.1</v>
      </c>
      <c r="O80" s="2">
        <v>4.7619047620000003</v>
      </c>
      <c r="P80" s="2">
        <v>39.155000000000001</v>
      </c>
      <c r="Q80" s="2">
        <v>6.6</v>
      </c>
      <c r="R80" s="3"/>
      <c r="S80" s="1"/>
      <c r="T80" s="1"/>
      <c r="U80" s="1" t="s">
        <v>37</v>
      </c>
      <c r="V80" s="1" t="s">
        <v>37</v>
      </c>
      <c r="W80" s="1" t="s">
        <v>37</v>
      </c>
    </row>
    <row r="81" spans="1:23">
      <c r="A81" s="3" t="s">
        <v>607</v>
      </c>
      <c r="B81" s="3" t="s">
        <v>39</v>
      </c>
      <c r="C81" s="3" t="s">
        <v>40</v>
      </c>
      <c r="D81" s="3" t="s">
        <v>24</v>
      </c>
      <c r="E81" s="3" t="s">
        <v>25</v>
      </c>
      <c r="F81" s="3" t="s">
        <v>26</v>
      </c>
      <c r="G81" s="2">
        <v>20.38</v>
      </c>
      <c r="H81" s="2">
        <v>5</v>
      </c>
      <c r="I81" s="2">
        <v>5.0949999999999998</v>
      </c>
      <c r="J81" s="2">
        <v>106.995</v>
      </c>
      <c r="K81" s="5">
        <v>43487</v>
      </c>
      <c r="L81" s="4">
        <v>0.78888888888888886</v>
      </c>
      <c r="M81" s="3" t="s">
        <v>49</v>
      </c>
      <c r="N81" s="2">
        <v>101.9</v>
      </c>
      <c r="O81" s="2">
        <v>4.7619047620000003</v>
      </c>
      <c r="P81" s="2">
        <v>5.0949999999999998</v>
      </c>
      <c r="Q81" s="2">
        <v>6</v>
      </c>
      <c r="R81" s="3"/>
      <c r="S81" s="1"/>
      <c r="T81" s="1"/>
      <c r="U81" s="1" t="s">
        <v>37</v>
      </c>
      <c r="V81" s="1" t="s">
        <v>37</v>
      </c>
      <c r="W81" s="1" t="s">
        <v>37</v>
      </c>
    </row>
    <row r="82" spans="1:23">
      <c r="A82" s="3" t="s">
        <v>613</v>
      </c>
      <c r="B82" s="3" t="s">
        <v>39</v>
      </c>
      <c r="C82" s="3" t="s">
        <v>40</v>
      </c>
      <c r="D82" s="3" t="s">
        <v>24</v>
      </c>
      <c r="E82" s="3" t="s">
        <v>25</v>
      </c>
      <c r="F82" s="3" t="s">
        <v>26</v>
      </c>
      <c r="G82" s="2">
        <v>99.19</v>
      </c>
      <c r="H82" s="2">
        <v>6</v>
      </c>
      <c r="I82" s="2">
        <v>29.757000000000001</v>
      </c>
      <c r="J82" s="2">
        <v>624.89700000000005</v>
      </c>
      <c r="K82" s="5">
        <v>43486</v>
      </c>
      <c r="L82" s="4">
        <v>0.61250000000000004</v>
      </c>
      <c r="M82" s="3" t="s">
        <v>59</v>
      </c>
      <c r="N82" s="2">
        <v>595.14</v>
      </c>
      <c r="O82" s="2">
        <v>4.7619047620000003</v>
      </c>
      <c r="P82" s="2">
        <v>29.757000000000001</v>
      </c>
      <c r="Q82" s="2">
        <v>5.5</v>
      </c>
      <c r="R82" s="3"/>
      <c r="S82" s="1"/>
      <c r="T82" s="1"/>
      <c r="U82" s="1" t="s">
        <v>37</v>
      </c>
      <c r="V82" s="1" t="s">
        <v>37</v>
      </c>
      <c r="W82" s="1" t="s">
        <v>37</v>
      </c>
    </row>
    <row r="83" spans="1:23">
      <c r="A83" s="3" t="s">
        <v>619</v>
      </c>
      <c r="B83" s="3" t="s">
        <v>115</v>
      </c>
      <c r="C83" s="3" t="s">
        <v>116</v>
      </c>
      <c r="D83" s="3" t="s">
        <v>24</v>
      </c>
      <c r="E83" s="3" t="s">
        <v>25</v>
      </c>
      <c r="F83" s="3" t="s">
        <v>117</v>
      </c>
      <c r="G83" s="2">
        <v>96.68</v>
      </c>
      <c r="H83" s="2">
        <v>3</v>
      </c>
      <c r="I83" s="2">
        <v>14.502000000000001</v>
      </c>
      <c r="J83" s="2">
        <v>304.54199999999997</v>
      </c>
      <c r="K83" s="5">
        <v>43491</v>
      </c>
      <c r="L83" s="4">
        <v>0.8305555555555556</v>
      </c>
      <c r="M83" s="3" t="s">
        <v>33</v>
      </c>
      <c r="N83" s="2">
        <v>290.04000000000002</v>
      </c>
      <c r="O83" s="2">
        <v>4.7619047620000003</v>
      </c>
      <c r="P83" s="2">
        <v>14.502000000000001</v>
      </c>
      <c r="Q83" s="2">
        <v>6.4</v>
      </c>
      <c r="R83" s="3"/>
      <c r="S83" s="1"/>
      <c r="T83" s="1"/>
      <c r="U83" s="1" t="s">
        <v>37</v>
      </c>
      <c r="V83" s="1" t="s">
        <v>37</v>
      </c>
      <c r="W83" s="1" t="s">
        <v>37</v>
      </c>
    </row>
    <row r="84" spans="1:23">
      <c r="A84" s="3" t="s">
        <v>626</v>
      </c>
      <c r="B84" s="3" t="s">
        <v>39</v>
      </c>
      <c r="C84" s="3" t="s">
        <v>40</v>
      </c>
      <c r="D84" s="3" t="s">
        <v>24</v>
      </c>
      <c r="E84" s="3" t="s">
        <v>25</v>
      </c>
      <c r="F84" s="3" t="s">
        <v>117</v>
      </c>
      <c r="G84" s="2">
        <v>19.25</v>
      </c>
      <c r="H84" s="2">
        <v>8</v>
      </c>
      <c r="I84" s="2">
        <v>7.7</v>
      </c>
      <c r="J84" s="2">
        <v>161.69999999999999</v>
      </c>
      <c r="K84" s="5">
        <v>43488</v>
      </c>
      <c r="L84" s="4">
        <v>0.77569444444444446</v>
      </c>
      <c r="M84" s="3" t="s">
        <v>33</v>
      </c>
      <c r="N84" s="2">
        <v>154</v>
      </c>
      <c r="O84" s="2">
        <v>4.7619047620000003</v>
      </c>
      <c r="P84" s="2">
        <v>7.7</v>
      </c>
      <c r="Q84" s="2">
        <v>6.6</v>
      </c>
      <c r="R84" s="3"/>
      <c r="S84" s="1"/>
      <c r="T84" s="1"/>
      <c r="U84" s="1" t="s">
        <v>37</v>
      </c>
      <c r="V84" s="1" t="s">
        <v>37</v>
      </c>
      <c r="W84" s="1" t="s">
        <v>37</v>
      </c>
    </row>
    <row r="85" spans="1:23">
      <c r="A85" s="3" t="s">
        <v>632</v>
      </c>
      <c r="B85" s="3" t="s">
        <v>39</v>
      </c>
      <c r="C85" s="3" t="s">
        <v>40</v>
      </c>
      <c r="D85" s="3" t="s">
        <v>24</v>
      </c>
      <c r="E85" s="3" t="s">
        <v>25</v>
      </c>
      <c r="F85" s="3" t="s">
        <v>117</v>
      </c>
      <c r="G85" s="2">
        <v>80.36</v>
      </c>
      <c r="H85" s="2">
        <v>4</v>
      </c>
      <c r="I85" s="2">
        <v>16.071999999999999</v>
      </c>
      <c r="J85" s="2">
        <v>337.512</v>
      </c>
      <c r="K85" s="5">
        <v>43519</v>
      </c>
      <c r="L85" s="4">
        <v>0.78125</v>
      </c>
      <c r="M85" s="3" t="s">
        <v>59</v>
      </c>
      <c r="N85" s="2">
        <v>321.44</v>
      </c>
      <c r="O85" s="2">
        <v>4.7619047620000003</v>
      </c>
      <c r="P85" s="2">
        <v>16.071999999999999</v>
      </c>
      <c r="Q85" s="2">
        <v>8.3000000000000007</v>
      </c>
      <c r="R85" s="3"/>
      <c r="S85" s="1"/>
      <c r="T85" s="1"/>
      <c r="U85" s="1" t="s">
        <v>37</v>
      </c>
      <c r="V85" s="1" t="s">
        <v>37</v>
      </c>
      <c r="W85" s="1" t="s">
        <v>37</v>
      </c>
    </row>
    <row r="86" spans="1:23">
      <c r="A86" s="3" t="s">
        <v>639</v>
      </c>
      <c r="B86" s="3" t="s">
        <v>39</v>
      </c>
      <c r="C86" s="3" t="s">
        <v>40</v>
      </c>
      <c r="D86" s="3" t="s">
        <v>24</v>
      </c>
      <c r="E86" s="3" t="s">
        <v>25</v>
      </c>
      <c r="F86" s="3" t="s">
        <v>72</v>
      </c>
      <c r="G86" s="2">
        <v>48.91</v>
      </c>
      <c r="H86" s="2">
        <v>5</v>
      </c>
      <c r="I86" s="2">
        <v>12.227499999999999</v>
      </c>
      <c r="J86" s="2">
        <v>256.77749999999997</v>
      </c>
      <c r="K86" s="5">
        <v>43533</v>
      </c>
      <c r="L86" s="4">
        <v>0.4284722222222222</v>
      </c>
      <c r="M86" s="3" t="s">
        <v>49</v>
      </c>
      <c r="N86" s="2">
        <v>244.55</v>
      </c>
      <c r="O86" s="2">
        <v>4.7619047620000003</v>
      </c>
      <c r="P86" s="2">
        <v>12.227499999999999</v>
      </c>
      <c r="Q86" s="2">
        <v>6.6</v>
      </c>
      <c r="R86" s="3"/>
      <c r="S86" s="1"/>
      <c r="T86" s="1"/>
      <c r="U86" s="1" t="s">
        <v>37</v>
      </c>
      <c r="V86" s="1" t="s">
        <v>37</v>
      </c>
      <c r="W86" s="1" t="s">
        <v>37</v>
      </c>
    </row>
    <row r="87" spans="1:23">
      <c r="A87" s="3" t="s">
        <v>645</v>
      </c>
      <c r="B87" s="3" t="s">
        <v>39</v>
      </c>
      <c r="C87" s="3" t="s">
        <v>40</v>
      </c>
      <c r="D87" s="3" t="s">
        <v>24</v>
      </c>
      <c r="E87" s="3" t="s">
        <v>25</v>
      </c>
      <c r="F87" s="3" t="s">
        <v>72</v>
      </c>
      <c r="G87" s="2">
        <v>83.06</v>
      </c>
      <c r="H87" s="2">
        <v>7</v>
      </c>
      <c r="I87" s="2">
        <v>29.071000000000002</v>
      </c>
      <c r="J87" s="2">
        <v>610.49099999999999</v>
      </c>
      <c r="K87" s="5">
        <v>43529</v>
      </c>
      <c r="L87" s="4">
        <v>0.60486111111111107</v>
      </c>
      <c r="M87" s="3" t="s">
        <v>33</v>
      </c>
      <c r="N87" s="2">
        <v>581.41999999999996</v>
      </c>
      <c r="O87" s="2">
        <v>4.7619047620000003</v>
      </c>
      <c r="P87" s="2">
        <v>29.071000000000002</v>
      </c>
      <c r="Q87" s="2">
        <v>4</v>
      </c>
      <c r="R87" s="3"/>
      <c r="S87" s="1"/>
      <c r="T87" s="1"/>
      <c r="U87" s="1" t="s">
        <v>37</v>
      </c>
      <c r="V87" s="1" t="s">
        <v>37</v>
      </c>
      <c r="W87" s="1" t="s">
        <v>37</v>
      </c>
    </row>
    <row r="88" spans="1:23">
      <c r="A88" s="3" t="s">
        <v>651</v>
      </c>
      <c r="B88" s="3" t="s">
        <v>39</v>
      </c>
      <c r="C88" s="3" t="s">
        <v>40</v>
      </c>
      <c r="D88" s="3" t="s">
        <v>24</v>
      </c>
      <c r="E88" s="3" t="s">
        <v>25</v>
      </c>
      <c r="F88" s="3" t="s">
        <v>127</v>
      </c>
      <c r="G88" s="2">
        <v>76.52</v>
      </c>
      <c r="H88" s="2">
        <v>5</v>
      </c>
      <c r="I88" s="2">
        <v>19.13</v>
      </c>
      <c r="J88" s="2">
        <v>401.73</v>
      </c>
      <c r="K88" s="5">
        <v>43549</v>
      </c>
      <c r="L88" s="4">
        <v>0.43263888888888891</v>
      </c>
      <c r="M88" s="3" t="s">
        <v>49</v>
      </c>
      <c r="N88" s="2">
        <v>382.6</v>
      </c>
      <c r="O88" s="2">
        <v>4.7619047620000003</v>
      </c>
      <c r="P88" s="2">
        <v>19.13</v>
      </c>
      <c r="Q88" s="2">
        <v>9.9</v>
      </c>
      <c r="R88" s="3"/>
      <c r="S88" s="1"/>
      <c r="T88" s="1"/>
      <c r="U88" s="1" t="s">
        <v>37</v>
      </c>
      <c r="V88" s="1" t="s">
        <v>37</v>
      </c>
      <c r="W88" s="1" t="s">
        <v>37</v>
      </c>
    </row>
    <row r="89" spans="1:23">
      <c r="A89" s="3" t="s">
        <v>657</v>
      </c>
      <c r="B89" s="3" t="s">
        <v>22</v>
      </c>
      <c r="C89" s="3" t="s">
        <v>23</v>
      </c>
      <c r="D89" s="3" t="s">
        <v>24</v>
      </c>
      <c r="E89" s="3" t="s">
        <v>25</v>
      </c>
      <c r="F89" s="3" t="s">
        <v>117</v>
      </c>
      <c r="G89" s="2">
        <v>49.38</v>
      </c>
      <c r="H89" s="2">
        <v>7</v>
      </c>
      <c r="I89" s="2">
        <v>17.283000000000001</v>
      </c>
      <c r="J89" s="2">
        <v>362.94299999999998</v>
      </c>
      <c r="K89" s="5">
        <v>43551</v>
      </c>
      <c r="L89" s="4">
        <v>0.85763888888888884</v>
      </c>
      <c r="M89" s="3" t="s">
        <v>59</v>
      </c>
      <c r="N89" s="2">
        <v>345.66</v>
      </c>
      <c r="O89" s="2">
        <v>4.7619047620000003</v>
      </c>
      <c r="P89" s="2">
        <v>17.283000000000001</v>
      </c>
      <c r="Q89" s="2">
        <v>7.3</v>
      </c>
      <c r="R89" s="3"/>
      <c r="S89" s="1"/>
      <c r="T89" s="1"/>
      <c r="U89" s="1" t="s">
        <v>37</v>
      </c>
      <c r="V89" s="1" t="s">
        <v>37</v>
      </c>
      <c r="W89" s="1" t="s">
        <v>37</v>
      </c>
    </row>
    <row r="90" spans="1:23">
      <c r="A90" s="3" t="s">
        <v>664</v>
      </c>
      <c r="B90" s="3" t="s">
        <v>22</v>
      </c>
      <c r="C90" s="3" t="s">
        <v>23</v>
      </c>
      <c r="D90" s="3" t="s">
        <v>24</v>
      </c>
      <c r="E90" s="3" t="s">
        <v>25</v>
      </c>
      <c r="F90" s="3" t="s">
        <v>72</v>
      </c>
      <c r="G90" s="2">
        <v>42.47</v>
      </c>
      <c r="H90" s="2">
        <v>1</v>
      </c>
      <c r="I90" s="2">
        <v>2.1234999999999999</v>
      </c>
      <c r="J90" s="2">
        <v>44.593499999999999</v>
      </c>
      <c r="K90" s="5">
        <v>43467</v>
      </c>
      <c r="L90" s="4">
        <v>0.70625000000000004</v>
      </c>
      <c r="M90" s="3" t="s">
        <v>49</v>
      </c>
      <c r="N90" s="2">
        <v>42.47</v>
      </c>
      <c r="O90" s="2">
        <v>4.7619047620000003</v>
      </c>
      <c r="P90" s="2">
        <v>2.1234999999999999</v>
      </c>
      <c r="Q90" s="2">
        <v>5.7</v>
      </c>
      <c r="R90" s="3"/>
      <c r="S90" s="1"/>
      <c r="T90" s="1"/>
      <c r="U90" s="1" t="s">
        <v>37</v>
      </c>
      <c r="V90" s="1" t="s">
        <v>37</v>
      </c>
      <c r="W90" s="1" t="s">
        <v>37</v>
      </c>
    </row>
    <row r="91" spans="1:23">
      <c r="A91" s="3" t="s">
        <v>670</v>
      </c>
      <c r="B91" s="3" t="s">
        <v>115</v>
      </c>
      <c r="C91" s="3" t="s">
        <v>116</v>
      </c>
      <c r="D91" s="3" t="s">
        <v>24</v>
      </c>
      <c r="E91" s="3" t="s">
        <v>25</v>
      </c>
      <c r="F91" s="3" t="s">
        <v>26</v>
      </c>
      <c r="G91" s="2">
        <v>76.989999999999995</v>
      </c>
      <c r="H91" s="2">
        <v>6</v>
      </c>
      <c r="I91" s="2">
        <v>23.097000000000001</v>
      </c>
      <c r="J91" s="2">
        <v>485.03699999999998</v>
      </c>
      <c r="K91" s="5">
        <v>43523</v>
      </c>
      <c r="L91" s="4">
        <v>0.74652777777777779</v>
      </c>
      <c r="M91" s="3" t="s">
        <v>49</v>
      </c>
      <c r="N91" s="2">
        <v>461.94</v>
      </c>
      <c r="O91" s="2">
        <v>4.7619047620000003</v>
      </c>
      <c r="P91" s="2">
        <v>23.097000000000001</v>
      </c>
      <c r="Q91" s="2">
        <v>6.1</v>
      </c>
      <c r="R91" s="3"/>
      <c r="S91" s="1"/>
      <c r="T91" s="1"/>
      <c r="U91" s="1" t="s">
        <v>37</v>
      </c>
      <c r="V91" s="1" t="s">
        <v>37</v>
      </c>
      <c r="W91" s="1" t="s">
        <v>37</v>
      </c>
    </row>
    <row r="92" spans="1:23">
      <c r="A92" s="3" t="s">
        <v>676</v>
      </c>
      <c r="B92" s="3" t="s">
        <v>39</v>
      </c>
      <c r="C92" s="3" t="s">
        <v>40</v>
      </c>
      <c r="D92" s="3" t="s">
        <v>24</v>
      </c>
      <c r="E92" s="3" t="s">
        <v>25</v>
      </c>
      <c r="F92" s="3" t="s">
        <v>53</v>
      </c>
      <c r="G92" s="2">
        <v>47.38</v>
      </c>
      <c r="H92" s="2">
        <v>4</v>
      </c>
      <c r="I92" s="2">
        <v>9.4760000000000009</v>
      </c>
      <c r="J92" s="2">
        <v>198.99600000000001</v>
      </c>
      <c r="K92" s="5">
        <v>43488</v>
      </c>
      <c r="L92" s="4">
        <v>0.43402777777777779</v>
      </c>
      <c r="M92" s="3" t="s">
        <v>49</v>
      </c>
      <c r="N92" s="2">
        <v>189.52</v>
      </c>
      <c r="O92" s="2">
        <v>4.7619047620000003</v>
      </c>
      <c r="P92" s="2">
        <v>9.4760000000000009</v>
      </c>
      <c r="Q92" s="2">
        <v>7.1</v>
      </c>
      <c r="R92" s="3"/>
      <c r="S92" s="1"/>
      <c r="T92" s="1"/>
      <c r="U92" s="1" t="s">
        <v>37</v>
      </c>
      <c r="V92" s="1" t="s">
        <v>37</v>
      </c>
      <c r="W92" s="1" t="s">
        <v>37</v>
      </c>
    </row>
    <row r="93" spans="1:23">
      <c r="A93" s="3" t="s">
        <v>681</v>
      </c>
      <c r="B93" s="3" t="s">
        <v>39</v>
      </c>
      <c r="C93" s="3" t="s">
        <v>40</v>
      </c>
      <c r="D93" s="3" t="s">
        <v>24</v>
      </c>
      <c r="E93" s="3" t="s">
        <v>25</v>
      </c>
      <c r="F93" s="3" t="s">
        <v>72</v>
      </c>
      <c r="G93" s="2">
        <v>44.86</v>
      </c>
      <c r="H93" s="2">
        <v>10</v>
      </c>
      <c r="I93" s="2">
        <v>22.43</v>
      </c>
      <c r="J93" s="2">
        <v>471.03</v>
      </c>
      <c r="K93" s="5">
        <v>43491</v>
      </c>
      <c r="L93" s="4">
        <v>0.82916666666666672</v>
      </c>
      <c r="M93" s="3" t="s">
        <v>33</v>
      </c>
      <c r="N93" s="2">
        <v>448.6</v>
      </c>
      <c r="O93" s="2">
        <v>4.7619047620000003</v>
      </c>
      <c r="P93" s="2">
        <v>22.43</v>
      </c>
      <c r="Q93" s="2">
        <v>8.1999999999999993</v>
      </c>
      <c r="R93" s="3"/>
      <c r="S93" s="1"/>
      <c r="T93" s="1"/>
      <c r="U93" s="1" t="s">
        <v>37</v>
      </c>
      <c r="V93" s="1" t="s">
        <v>37</v>
      </c>
      <c r="W93" s="1" t="s">
        <v>37</v>
      </c>
    </row>
    <row r="94" spans="1:23">
      <c r="A94" s="3" t="s">
        <v>687</v>
      </c>
      <c r="B94" s="3" t="s">
        <v>22</v>
      </c>
      <c r="C94" s="3" t="s">
        <v>23</v>
      </c>
      <c r="D94" s="3" t="s">
        <v>24</v>
      </c>
      <c r="E94" s="3" t="s">
        <v>25</v>
      </c>
      <c r="F94" s="3" t="s">
        <v>72</v>
      </c>
      <c r="G94" s="2">
        <v>21.98</v>
      </c>
      <c r="H94" s="2">
        <v>7</v>
      </c>
      <c r="I94" s="2">
        <v>7.6929999999999996</v>
      </c>
      <c r="J94" s="2">
        <v>161.553</v>
      </c>
      <c r="K94" s="5">
        <v>43475</v>
      </c>
      <c r="L94" s="4">
        <v>0.6958333333333333</v>
      </c>
      <c r="M94" s="3" t="s">
        <v>33</v>
      </c>
      <c r="N94" s="2">
        <v>153.86000000000001</v>
      </c>
      <c r="O94" s="2">
        <v>4.7619047620000003</v>
      </c>
      <c r="P94" s="2">
        <v>7.6929999999999996</v>
      </c>
      <c r="Q94" s="2">
        <v>5.0999999999999996</v>
      </c>
      <c r="R94" s="3"/>
      <c r="S94" s="1"/>
      <c r="T94" s="1"/>
      <c r="U94" s="1" t="s">
        <v>37</v>
      </c>
      <c r="V94" s="1" t="s">
        <v>37</v>
      </c>
      <c r="W94" s="1" t="s">
        <v>37</v>
      </c>
    </row>
    <row r="95" spans="1:23">
      <c r="A95" s="3" t="s">
        <v>693</v>
      </c>
      <c r="B95" s="3" t="s">
        <v>115</v>
      </c>
      <c r="C95" s="3" t="s">
        <v>116</v>
      </c>
      <c r="D95" s="3" t="s">
        <v>24</v>
      </c>
      <c r="E95" s="3" t="s">
        <v>25</v>
      </c>
      <c r="F95" s="3" t="s">
        <v>26</v>
      </c>
      <c r="G95" s="2">
        <v>64.36</v>
      </c>
      <c r="H95" s="2">
        <v>9</v>
      </c>
      <c r="I95" s="2">
        <v>28.962</v>
      </c>
      <c r="J95" s="2">
        <v>608.202</v>
      </c>
      <c r="K95" s="5">
        <v>43536</v>
      </c>
      <c r="L95" s="4">
        <v>0.50624999999999998</v>
      </c>
      <c r="M95" s="3" t="s">
        <v>59</v>
      </c>
      <c r="N95" s="2">
        <v>579.24</v>
      </c>
      <c r="O95" s="2">
        <v>4.7619047620000003</v>
      </c>
      <c r="P95" s="2">
        <v>28.962</v>
      </c>
      <c r="Q95" s="2">
        <v>8.6</v>
      </c>
      <c r="R95" s="3"/>
      <c r="S95" s="1"/>
      <c r="T95" s="1"/>
      <c r="U95" s="1" t="s">
        <v>37</v>
      </c>
      <c r="V95" s="1" t="s">
        <v>37</v>
      </c>
      <c r="W95" s="1" t="s">
        <v>37</v>
      </c>
    </row>
    <row r="96" spans="1:23">
      <c r="A96" s="3" t="s">
        <v>699</v>
      </c>
      <c r="B96" s="3" t="s">
        <v>39</v>
      </c>
      <c r="C96" s="3" t="s">
        <v>40</v>
      </c>
      <c r="D96" s="3" t="s">
        <v>24</v>
      </c>
      <c r="E96" s="3" t="s">
        <v>25</v>
      </c>
      <c r="F96" s="3" t="s">
        <v>26</v>
      </c>
      <c r="G96" s="2">
        <v>89.75</v>
      </c>
      <c r="H96" s="2">
        <v>1</v>
      </c>
      <c r="I96" s="2">
        <v>4.4874999999999998</v>
      </c>
      <c r="J96" s="2">
        <v>94.237499999999997</v>
      </c>
      <c r="K96" s="5">
        <v>43502</v>
      </c>
      <c r="L96" s="4">
        <v>0.83680555555555558</v>
      </c>
      <c r="M96" s="3" t="s">
        <v>59</v>
      </c>
      <c r="N96" s="2">
        <v>89.75</v>
      </c>
      <c r="O96" s="2">
        <v>4.7619047620000003</v>
      </c>
      <c r="P96" s="2">
        <v>4.4874999999999998</v>
      </c>
      <c r="Q96" s="2">
        <v>6.6</v>
      </c>
      <c r="R96" s="3"/>
      <c r="S96" s="1"/>
      <c r="T96" s="1"/>
      <c r="U96" s="1" t="s">
        <v>37</v>
      </c>
      <c r="V96" s="1" t="s">
        <v>37</v>
      </c>
      <c r="W96" s="1" t="s">
        <v>37</v>
      </c>
    </row>
    <row r="97" spans="1:23">
      <c r="A97" s="3" t="s">
        <v>704</v>
      </c>
      <c r="B97" s="3" t="s">
        <v>22</v>
      </c>
      <c r="C97" s="3" t="s">
        <v>23</v>
      </c>
      <c r="D97" s="3" t="s">
        <v>24</v>
      </c>
      <c r="E97" s="3" t="s">
        <v>25</v>
      </c>
      <c r="F97" s="3" t="s">
        <v>42</v>
      </c>
      <c r="G97" s="2">
        <v>97.16</v>
      </c>
      <c r="H97" s="2">
        <v>1</v>
      </c>
      <c r="I97" s="2">
        <v>4.8579999999999997</v>
      </c>
      <c r="J97" s="2">
        <v>102.018</v>
      </c>
      <c r="K97" s="5">
        <v>43532</v>
      </c>
      <c r="L97" s="4">
        <v>0.85972222222222228</v>
      </c>
      <c r="M97" s="3" t="s">
        <v>33</v>
      </c>
      <c r="N97" s="2">
        <v>97.16</v>
      </c>
      <c r="O97" s="2">
        <v>4.7619047620000003</v>
      </c>
      <c r="P97" s="2">
        <v>4.8579999999999997</v>
      </c>
      <c r="Q97" s="2">
        <v>7.2</v>
      </c>
      <c r="R97" s="3"/>
      <c r="S97" s="1"/>
      <c r="T97" s="1"/>
      <c r="U97" s="1" t="s">
        <v>37</v>
      </c>
      <c r="V97" s="1" t="s">
        <v>37</v>
      </c>
      <c r="W97" s="1" t="s">
        <v>37</v>
      </c>
    </row>
    <row r="98" spans="1:23">
      <c r="A98" s="3" t="s">
        <v>709</v>
      </c>
      <c r="B98" s="3" t="s">
        <v>115</v>
      </c>
      <c r="C98" s="3" t="s">
        <v>116</v>
      </c>
      <c r="D98" s="3" t="s">
        <v>24</v>
      </c>
      <c r="E98" s="3" t="s">
        <v>25</v>
      </c>
      <c r="F98" s="3" t="s">
        <v>26</v>
      </c>
      <c r="G98" s="2">
        <v>87.87</v>
      </c>
      <c r="H98" s="2">
        <v>10</v>
      </c>
      <c r="I98" s="2">
        <v>43.935000000000002</v>
      </c>
      <c r="J98" s="2">
        <v>922.63499999999999</v>
      </c>
      <c r="K98" s="5">
        <v>43553</v>
      </c>
      <c r="L98" s="4">
        <v>0.43402777777777779</v>
      </c>
      <c r="M98" s="3" t="s">
        <v>33</v>
      </c>
      <c r="N98" s="2">
        <v>878.7</v>
      </c>
      <c r="O98" s="2">
        <v>4.7619047620000003</v>
      </c>
      <c r="P98" s="2">
        <v>43.935000000000002</v>
      </c>
      <c r="Q98" s="2">
        <v>5.0999999999999996</v>
      </c>
      <c r="R98" s="3"/>
      <c r="S98" s="1"/>
      <c r="T98" s="1"/>
      <c r="U98" s="1" t="s">
        <v>37</v>
      </c>
      <c r="V98" s="1" t="s">
        <v>37</v>
      </c>
      <c r="W98" s="1" t="s">
        <v>37</v>
      </c>
    </row>
    <row r="99" spans="1:23">
      <c r="A99" s="3" t="s">
        <v>714</v>
      </c>
      <c r="B99" s="3" t="s">
        <v>39</v>
      </c>
      <c r="C99" s="3" t="s">
        <v>40</v>
      </c>
      <c r="D99" s="3" t="s">
        <v>24</v>
      </c>
      <c r="E99" s="3" t="s">
        <v>25</v>
      </c>
      <c r="F99" s="3" t="s">
        <v>42</v>
      </c>
      <c r="G99" s="2">
        <v>12.45</v>
      </c>
      <c r="H99" s="2">
        <v>6</v>
      </c>
      <c r="I99" s="2">
        <v>3.7349999999999999</v>
      </c>
      <c r="J99" s="2">
        <v>78.435000000000002</v>
      </c>
      <c r="K99" s="5">
        <v>43505</v>
      </c>
      <c r="L99" s="4">
        <v>0.5493055555555556</v>
      </c>
      <c r="M99" s="3" t="s">
        <v>49</v>
      </c>
      <c r="N99" s="2">
        <v>74.7</v>
      </c>
      <c r="O99" s="2">
        <v>4.7619047620000003</v>
      </c>
      <c r="P99" s="2">
        <v>3.7349999999999999</v>
      </c>
      <c r="Q99" s="2">
        <v>4.0999999999999996</v>
      </c>
      <c r="R99" s="3"/>
      <c r="S99" s="1"/>
      <c r="T99" s="1"/>
      <c r="U99" s="1" t="s">
        <v>37</v>
      </c>
      <c r="V99" s="1" t="s">
        <v>37</v>
      </c>
      <c r="W99" s="1" t="s">
        <v>37</v>
      </c>
    </row>
    <row r="100" spans="1:23">
      <c r="A100" s="3" t="s">
        <v>721</v>
      </c>
      <c r="B100" s="3" t="s">
        <v>22</v>
      </c>
      <c r="C100" s="3" t="s">
        <v>23</v>
      </c>
      <c r="D100" s="3" t="s">
        <v>24</v>
      </c>
      <c r="E100" s="3" t="s">
        <v>25</v>
      </c>
      <c r="F100" s="3" t="s">
        <v>117</v>
      </c>
      <c r="G100" s="2">
        <v>52.75</v>
      </c>
      <c r="H100" s="2">
        <v>3</v>
      </c>
      <c r="I100" s="2">
        <v>7.9124999999999996</v>
      </c>
      <c r="J100" s="2">
        <v>166.16249999999999</v>
      </c>
      <c r="K100" s="5">
        <v>43547</v>
      </c>
      <c r="L100" s="4">
        <v>0.42777777777777776</v>
      </c>
      <c r="M100" s="3" t="s">
        <v>33</v>
      </c>
      <c r="N100" s="2">
        <v>158.25</v>
      </c>
      <c r="O100" s="2">
        <v>4.7619047620000003</v>
      </c>
      <c r="P100" s="2">
        <v>7.9124999999999996</v>
      </c>
      <c r="Q100" s="2">
        <v>9.3000000000000007</v>
      </c>
      <c r="R100" s="3"/>
      <c r="S100" s="1"/>
      <c r="T100" s="1"/>
      <c r="U100" s="1" t="s">
        <v>37</v>
      </c>
      <c r="V100" s="1" t="s">
        <v>37</v>
      </c>
      <c r="W100" s="1" t="s">
        <v>37</v>
      </c>
    </row>
    <row r="101" spans="1:23">
      <c r="A101" s="3" t="s">
        <v>727</v>
      </c>
      <c r="B101" s="3" t="s">
        <v>115</v>
      </c>
      <c r="C101" s="3" t="s">
        <v>116</v>
      </c>
      <c r="D101" s="3" t="s">
        <v>24</v>
      </c>
      <c r="E101" s="3" t="s">
        <v>25</v>
      </c>
      <c r="F101" s="3" t="s">
        <v>53</v>
      </c>
      <c r="G101" s="2">
        <v>82.7</v>
      </c>
      <c r="H101" s="2">
        <v>6</v>
      </c>
      <c r="I101" s="2">
        <v>24.81</v>
      </c>
      <c r="J101" s="2">
        <v>521.01</v>
      </c>
      <c r="K101" s="5">
        <v>43529</v>
      </c>
      <c r="L101" s="4">
        <v>0.75972222222222219</v>
      </c>
      <c r="M101" s="3" t="s">
        <v>49</v>
      </c>
      <c r="N101" s="2">
        <v>496.2</v>
      </c>
      <c r="O101" s="2">
        <v>4.7619047620000003</v>
      </c>
      <c r="P101" s="2">
        <v>24.81</v>
      </c>
      <c r="Q101" s="2">
        <v>7.4</v>
      </c>
      <c r="R101" s="3"/>
      <c r="S101" s="1"/>
      <c r="T101" s="1"/>
      <c r="U101" s="1" t="s">
        <v>37</v>
      </c>
      <c r="V101" s="1" t="s">
        <v>37</v>
      </c>
      <c r="W101" s="1" t="s">
        <v>37</v>
      </c>
    </row>
    <row r="102" spans="1:23">
      <c r="A102" s="3" t="s">
        <v>733</v>
      </c>
      <c r="B102" s="3" t="s">
        <v>39</v>
      </c>
      <c r="C102" s="3" t="s">
        <v>40</v>
      </c>
      <c r="D102" s="3" t="s">
        <v>24</v>
      </c>
      <c r="E102" s="3" t="s">
        <v>25</v>
      </c>
      <c r="F102" s="3" t="s">
        <v>127</v>
      </c>
      <c r="G102" s="2">
        <v>48.71</v>
      </c>
      <c r="H102" s="2">
        <v>1</v>
      </c>
      <c r="I102" s="2">
        <v>2.4355000000000002</v>
      </c>
      <c r="J102" s="2">
        <v>51.145499999999998</v>
      </c>
      <c r="K102" s="5">
        <v>43550</v>
      </c>
      <c r="L102" s="4">
        <v>0.80555555555555558</v>
      </c>
      <c r="M102" s="3" t="s">
        <v>49</v>
      </c>
      <c r="N102" s="2">
        <v>48.71</v>
      </c>
      <c r="O102" s="2">
        <v>4.7619047620000003</v>
      </c>
      <c r="P102" s="2">
        <v>2.4355000000000002</v>
      </c>
      <c r="Q102" s="2">
        <v>4.0999999999999996</v>
      </c>
      <c r="R102" s="3"/>
      <c r="S102" s="1"/>
      <c r="T102" s="1"/>
      <c r="U102" s="1" t="s">
        <v>37</v>
      </c>
      <c r="V102" s="1" t="s">
        <v>37</v>
      </c>
      <c r="W102" s="1" t="s">
        <v>37</v>
      </c>
    </row>
    <row r="103" spans="1:23">
      <c r="A103" s="3" t="s">
        <v>738</v>
      </c>
      <c r="B103" s="3" t="s">
        <v>39</v>
      </c>
      <c r="C103" s="3" t="s">
        <v>40</v>
      </c>
      <c r="D103" s="3" t="s">
        <v>24</v>
      </c>
      <c r="E103" s="3" t="s">
        <v>25</v>
      </c>
      <c r="F103" s="3" t="s">
        <v>127</v>
      </c>
      <c r="G103" s="2">
        <v>78.55</v>
      </c>
      <c r="H103" s="2">
        <v>9</v>
      </c>
      <c r="I103" s="2">
        <v>35.347499999999997</v>
      </c>
      <c r="J103" s="2">
        <v>742.29750000000001</v>
      </c>
      <c r="K103" s="5">
        <v>43525</v>
      </c>
      <c r="L103" s="4">
        <v>0.55694444444444446</v>
      </c>
      <c r="M103" s="3" t="s">
        <v>49</v>
      </c>
      <c r="N103" s="2">
        <v>706.95</v>
      </c>
      <c r="O103" s="2">
        <v>4.7619047620000003</v>
      </c>
      <c r="P103" s="2">
        <v>35.347499999999997</v>
      </c>
      <c r="Q103" s="2">
        <v>7.2</v>
      </c>
      <c r="R103" s="3"/>
      <c r="S103" s="1"/>
      <c r="T103" s="1"/>
      <c r="U103" s="1" t="s">
        <v>37</v>
      </c>
      <c r="V103" s="1" t="s">
        <v>37</v>
      </c>
      <c r="W103" s="1" t="s">
        <v>37</v>
      </c>
    </row>
    <row r="104" spans="1:23">
      <c r="A104" s="3" t="s">
        <v>745</v>
      </c>
      <c r="B104" s="3" t="s">
        <v>39</v>
      </c>
      <c r="C104" s="3" t="s">
        <v>40</v>
      </c>
      <c r="D104" s="3" t="s">
        <v>24</v>
      </c>
      <c r="E104" s="3" t="s">
        <v>25</v>
      </c>
      <c r="F104" s="3" t="s">
        <v>42</v>
      </c>
      <c r="G104" s="2">
        <v>23.07</v>
      </c>
      <c r="H104" s="2">
        <v>9</v>
      </c>
      <c r="I104" s="2">
        <v>10.381500000000001</v>
      </c>
      <c r="J104" s="2">
        <v>218.01150000000001</v>
      </c>
      <c r="K104" s="5">
        <v>43497</v>
      </c>
      <c r="L104" s="4">
        <v>0.47708333333333336</v>
      </c>
      <c r="M104" s="3" t="s">
        <v>49</v>
      </c>
      <c r="N104" s="2">
        <v>207.63</v>
      </c>
      <c r="O104" s="2">
        <v>4.7619047620000003</v>
      </c>
      <c r="P104" s="2">
        <v>10.381500000000001</v>
      </c>
      <c r="Q104" s="2">
        <v>4.9000000000000004</v>
      </c>
      <c r="R104" s="3"/>
      <c r="S104" s="1"/>
      <c r="T104" s="1"/>
      <c r="U104" s="1" t="s">
        <v>37</v>
      </c>
      <c r="V104" s="1" t="s">
        <v>37</v>
      </c>
      <c r="W104" s="1" t="s">
        <v>37</v>
      </c>
    </row>
    <row r="105" spans="1:23">
      <c r="A105" s="3" t="s">
        <v>753</v>
      </c>
      <c r="B105" s="3" t="s">
        <v>22</v>
      </c>
      <c r="C105" s="3" t="s">
        <v>23</v>
      </c>
      <c r="D105" s="3" t="s">
        <v>24</v>
      </c>
      <c r="E105" s="3" t="s">
        <v>25</v>
      </c>
      <c r="F105" s="3" t="s">
        <v>117</v>
      </c>
      <c r="G105" s="2">
        <v>58.26</v>
      </c>
      <c r="H105" s="2">
        <v>6</v>
      </c>
      <c r="I105" s="2">
        <v>17.478000000000002</v>
      </c>
      <c r="J105" s="2">
        <v>367.03800000000001</v>
      </c>
      <c r="K105" s="5">
        <v>43552</v>
      </c>
      <c r="L105" s="4">
        <v>0.69722222222222219</v>
      </c>
      <c r="M105" s="3" t="s">
        <v>49</v>
      </c>
      <c r="N105" s="2">
        <v>349.56</v>
      </c>
      <c r="O105" s="2">
        <v>4.7619047620000003</v>
      </c>
      <c r="P105" s="2">
        <v>17.478000000000002</v>
      </c>
      <c r="Q105" s="2">
        <v>9.9</v>
      </c>
      <c r="R105" s="3"/>
      <c r="S105" s="1"/>
      <c r="T105" s="1"/>
      <c r="U105" s="1" t="s">
        <v>37</v>
      </c>
      <c r="V105" s="1" t="s">
        <v>37</v>
      </c>
      <c r="W105" s="1" t="s">
        <v>37</v>
      </c>
    </row>
    <row r="106" spans="1:23">
      <c r="A106" s="3" t="s">
        <v>760</v>
      </c>
      <c r="B106" s="3" t="s">
        <v>115</v>
      </c>
      <c r="C106" s="3" t="s">
        <v>116</v>
      </c>
      <c r="D106" s="3" t="s">
        <v>24</v>
      </c>
      <c r="E106" s="3" t="s">
        <v>25</v>
      </c>
      <c r="F106" s="3" t="s">
        <v>26</v>
      </c>
      <c r="G106" s="2">
        <v>30.35</v>
      </c>
      <c r="H106" s="2">
        <v>7</v>
      </c>
      <c r="I106" s="2">
        <v>10.6225</v>
      </c>
      <c r="J106" s="2">
        <v>223.07249999999999</v>
      </c>
      <c r="K106" s="5">
        <v>43543</v>
      </c>
      <c r="L106" s="4">
        <v>0.7631944444444444</v>
      </c>
      <c r="M106" s="3" t="s">
        <v>49</v>
      </c>
      <c r="N106" s="2">
        <v>212.45</v>
      </c>
      <c r="O106" s="2">
        <v>4.7619047620000003</v>
      </c>
      <c r="P106" s="2">
        <v>10.6225</v>
      </c>
      <c r="Q106" s="2">
        <v>8</v>
      </c>
      <c r="R106" s="3"/>
      <c r="S106" s="1"/>
      <c r="T106" s="1"/>
      <c r="U106" s="1" t="s">
        <v>37</v>
      </c>
      <c r="V106" s="1" t="s">
        <v>37</v>
      </c>
      <c r="W106" s="1" t="s">
        <v>37</v>
      </c>
    </row>
    <row r="107" spans="1:23">
      <c r="A107" s="3" t="s">
        <v>766</v>
      </c>
      <c r="B107" s="3" t="s">
        <v>22</v>
      </c>
      <c r="C107" s="3" t="s">
        <v>23</v>
      </c>
      <c r="D107" s="3" t="s">
        <v>24</v>
      </c>
      <c r="E107" s="3" t="s">
        <v>25</v>
      </c>
      <c r="F107" s="3" t="s">
        <v>42</v>
      </c>
      <c r="G107" s="2">
        <v>88.67</v>
      </c>
      <c r="H107" s="2">
        <v>10</v>
      </c>
      <c r="I107" s="2">
        <v>44.335000000000001</v>
      </c>
      <c r="J107" s="2">
        <v>931.03499999999997</v>
      </c>
      <c r="K107" s="5">
        <v>43477</v>
      </c>
      <c r="L107" s="4">
        <v>0.61805555555555558</v>
      </c>
      <c r="M107" s="3" t="s">
        <v>33</v>
      </c>
      <c r="N107" s="2">
        <v>886.7</v>
      </c>
      <c r="O107" s="2">
        <v>4.7619047620000003</v>
      </c>
      <c r="P107" s="2">
        <v>44.335000000000001</v>
      </c>
      <c r="Q107" s="2">
        <v>7.3</v>
      </c>
      <c r="R107" s="3"/>
      <c r="S107" s="1"/>
      <c r="T107" s="1"/>
      <c r="U107" s="1" t="s">
        <v>37</v>
      </c>
      <c r="V107" s="1" t="s">
        <v>37</v>
      </c>
      <c r="W107" s="1" t="s">
        <v>37</v>
      </c>
    </row>
    <row r="108" spans="1:23">
      <c r="A108" s="3" t="s">
        <v>772</v>
      </c>
      <c r="B108" s="3" t="s">
        <v>39</v>
      </c>
      <c r="C108" s="3" t="s">
        <v>40</v>
      </c>
      <c r="D108" s="3" t="s">
        <v>24</v>
      </c>
      <c r="E108" s="3" t="s">
        <v>25</v>
      </c>
      <c r="F108" s="3" t="s">
        <v>127</v>
      </c>
      <c r="G108" s="2">
        <v>27.38</v>
      </c>
      <c r="H108" s="2">
        <v>6</v>
      </c>
      <c r="I108" s="2">
        <v>8.2140000000000004</v>
      </c>
      <c r="J108" s="2">
        <v>172.494</v>
      </c>
      <c r="K108" s="5">
        <v>43470</v>
      </c>
      <c r="L108" s="4">
        <v>0.87083333333333335</v>
      </c>
      <c r="M108" s="3" t="s">
        <v>59</v>
      </c>
      <c r="N108" s="2">
        <v>164.28</v>
      </c>
      <c r="O108" s="2">
        <v>4.7619047620000003</v>
      </c>
      <c r="P108" s="2">
        <v>8.2140000000000004</v>
      </c>
      <c r="Q108" s="2">
        <v>7.9</v>
      </c>
      <c r="R108" s="3"/>
      <c r="S108" s="1"/>
      <c r="T108" s="1"/>
      <c r="U108" s="1" t="s">
        <v>37</v>
      </c>
      <c r="V108" s="1" t="s">
        <v>37</v>
      </c>
      <c r="W108" s="1" t="s">
        <v>37</v>
      </c>
    </row>
    <row r="109" spans="1:23">
      <c r="A109" s="3" t="s">
        <v>778</v>
      </c>
      <c r="B109" s="3" t="s">
        <v>22</v>
      </c>
      <c r="C109" s="3" t="s">
        <v>23</v>
      </c>
      <c r="D109" s="3" t="s">
        <v>24</v>
      </c>
      <c r="E109" s="3" t="s">
        <v>25</v>
      </c>
      <c r="F109" s="3" t="s">
        <v>72</v>
      </c>
      <c r="G109" s="2">
        <v>62.13</v>
      </c>
      <c r="H109" s="2">
        <v>6</v>
      </c>
      <c r="I109" s="2">
        <v>18.638999999999999</v>
      </c>
      <c r="J109" s="2">
        <v>391.41899999999998</v>
      </c>
      <c r="K109" s="5">
        <v>43546</v>
      </c>
      <c r="L109" s="4">
        <v>0.84652777777777777</v>
      </c>
      <c r="M109" s="3" t="s">
        <v>49</v>
      </c>
      <c r="N109" s="2">
        <v>372.78</v>
      </c>
      <c r="O109" s="2">
        <v>4.7619047620000003</v>
      </c>
      <c r="P109" s="2">
        <v>18.638999999999999</v>
      </c>
      <c r="Q109" s="2">
        <v>7.4</v>
      </c>
      <c r="R109" s="3"/>
      <c r="S109" s="1"/>
      <c r="T109" s="1"/>
      <c r="U109" s="1" t="s">
        <v>37</v>
      </c>
      <c r="V109" s="1" t="s">
        <v>37</v>
      </c>
      <c r="W109" s="1" t="s">
        <v>37</v>
      </c>
    </row>
    <row r="110" spans="1:23">
      <c r="A110" s="3" t="s">
        <v>784</v>
      </c>
      <c r="B110" s="3" t="s">
        <v>39</v>
      </c>
      <c r="C110" s="3" t="s">
        <v>40</v>
      </c>
      <c r="D110" s="3" t="s">
        <v>24</v>
      </c>
      <c r="E110" s="3" t="s">
        <v>25</v>
      </c>
      <c r="F110" s="3" t="s">
        <v>117</v>
      </c>
      <c r="G110" s="2">
        <v>33.979999999999997</v>
      </c>
      <c r="H110" s="2">
        <v>9</v>
      </c>
      <c r="I110" s="2">
        <v>15.291</v>
      </c>
      <c r="J110" s="2">
        <v>321.11099999999999</v>
      </c>
      <c r="K110" s="5">
        <v>43548</v>
      </c>
      <c r="L110" s="4">
        <v>0.4465277777777778</v>
      </c>
      <c r="M110" s="3" t="s">
        <v>49</v>
      </c>
      <c r="N110" s="2">
        <v>305.82</v>
      </c>
      <c r="O110" s="2">
        <v>4.7619047620000003</v>
      </c>
      <c r="P110" s="2">
        <v>15.291</v>
      </c>
      <c r="Q110" s="2">
        <v>4.2</v>
      </c>
      <c r="R110" s="3"/>
      <c r="S110" s="1"/>
      <c r="T110" s="1"/>
      <c r="U110" s="1" t="s">
        <v>37</v>
      </c>
      <c r="V110" s="1" t="s">
        <v>37</v>
      </c>
      <c r="W110" s="1" t="s">
        <v>37</v>
      </c>
    </row>
    <row r="111" spans="1:23">
      <c r="A111" s="3" t="s">
        <v>792</v>
      </c>
      <c r="B111" s="3" t="s">
        <v>39</v>
      </c>
      <c r="C111" s="3" t="s">
        <v>40</v>
      </c>
      <c r="D111" s="3" t="s">
        <v>24</v>
      </c>
      <c r="E111" s="3" t="s">
        <v>25</v>
      </c>
      <c r="F111" s="3" t="s">
        <v>42</v>
      </c>
      <c r="G111" s="2">
        <v>81.97</v>
      </c>
      <c r="H111" s="2">
        <v>10</v>
      </c>
      <c r="I111" s="2">
        <v>40.984999999999999</v>
      </c>
      <c r="J111" s="2">
        <v>860.68499999999995</v>
      </c>
      <c r="K111" s="5">
        <v>43527</v>
      </c>
      <c r="L111" s="4">
        <v>0.60416666666666663</v>
      </c>
      <c r="M111" s="3" t="s">
        <v>49</v>
      </c>
      <c r="N111" s="2">
        <v>819.7</v>
      </c>
      <c r="O111" s="2">
        <v>4.7619047620000003</v>
      </c>
      <c r="P111" s="2">
        <v>40.984999999999999</v>
      </c>
      <c r="Q111" s="2">
        <v>9.1999999999999993</v>
      </c>
      <c r="R111" s="3"/>
      <c r="S111" s="1"/>
      <c r="T111" s="1"/>
      <c r="U111" s="1" t="s">
        <v>37</v>
      </c>
      <c r="V111" s="1" t="s">
        <v>37</v>
      </c>
      <c r="W111" s="1" t="s">
        <v>37</v>
      </c>
    </row>
    <row r="112" spans="1:23">
      <c r="A112" s="3" t="s">
        <v>799</v>
      </c>
      <c r="B112" s="3" t="s">
        <v>115</v>
      </c>
      <c r="C112" s="3" t="s">
        <v>116</v>
      </c>
      <c r="D112" s="3" t="s">
        <v>24</v>
      </c>
      <c r="E112" s="3" t="s">
        <v>25</v>
      </c>
      <c r="F112" s="3" t="s">
        <v>72</v>
      </c>
      <c r="G112" s="2">
        <v>16.489999999999998</v>
      </c>
      <c r="H112" s="2">
        <v>2</v>
      </c>
      <c r="I112" s="2">
        <v>1.649</v>
      </c>
      <c r="J112" s="2">
        <v>34.628999999999998</v>
      </c>
      <c r="K112" s="5">
        <v>43501</v>
      </c>
      <c r="L112" s="4">
        <v>0.48055555555555557</v>
      </c>
      <c r="M112" s="3" t="s">
        <v>33</v>
      </c>
      <c r="N112" s="2">
        <v>32.979999999999997</v>
      </c>
      <c r="O112" s="2">
        <v>4.7619047620000003</v>
      </c>
      <c r="P112" s="2">
        <v>1.649</v>
      </c>
      <c r="Q112" s="2">
        <v>4.5999999999999996</v>
      </c>
      <c r="R112" s="3"/>
      <c r="S112" s="1"/>
      <c r="T112" s="1"/>
      <c r="U112" s="1" t="s">
        <v>37</v>
      </c>
      <c r="V112" s="1" t="s">
        <v>37</v>
      </c>
      <c r="W112" s="1" t="s">
        <v>37</v>
      </c>
    </row>
    <row r="113" spans="1:23">
      <c r="A113" s="3" t="s">
        <v>806</v>
      </c>
      <c r="B113" s="3" t="s">
        <v>39</v>
      </c>
      <c r="C113" s="3" t="s">
        <v>40</v>
      </c>
      <c r="D113" s="3" t="s">
        <v>24</v>
      </c>
      <c r="E113" s="3" t="s">
        <v>25</v>
      </c>
      <c r="F113" s="3" t="s">
        <v>26</v>
      </c>
      <c r="G113" s="2">
        <v>98.21</v>
      </c>
      <c r="H113" s="2">
        <v>3</v>
      </c>
      <c r="I113" s="2">
        <v>14.7315</v>
      </c>
      <c r="J113" s="2">
        <v>309.36149999999998</v>
      </c>
      <c r="K113" s="5">
        <v>43501</v>
      </c>
      <c r="L113" s="4">
        <v>0.44513888888888886</v>
      </c>
      <c r="M113" s="3" t="s">
        <v>59</v>
      </c>
      <c r="N113" s="2">
        <v>294.63</v>
      </c>
      <c r="O113" s="2">
        <v>4.7619047620000003</v>
      </c>
      <c r="P113" s="2">
        <v>14.7315</v>
      </c>
      <c r="Q113" s="2">
        <v>7.8</v>
      </c>
      <c r="R113" s="3"/>
      <c r="S113" s="1"/>
      <c r="T113" s="1"/>
      <c r="U113" s="1" t="s">
        <v>37</v>
      </c>
      <c r="V113" s="1" t="s">
        <v>37</v>
      </c>
      <c r="W113" s="1" t="s">
        <v>37</v>
      </c>
    </row>
    <row r="114" spans="1:23">
      <c r="A114" s="3" t="s">
        <v>813</v>
      </c>
      <c r="B114" s="3" t="s">
        <v>115</v>
      </c>
      <c r="C114" s="3" t="s">
        <v>116</v>
      </c>
      <c r="D114" s="3" t="s">
        <v>24</v>
      </c>
      <c r="E114" s="3" t="s">
        <v>25</v>
      </c>
      <c r="F114" s="3" t="s">
        <v>127</v>
      </c>
      <c r="G114" s="2">
        <v>72.84</v>
      </c>
      <c r="H114" s="2">
        <v>7</v>
      </c>
      <c r="I114" s="2">
        <v>25.494</v>
      </c>
      <c r="J114" s="2">
        <v>535.37400000000002</v>
      </c>
      <c r="K114" s="5">
        <v>43511</v>
      </c>
      <c r="L114" s="4">
        <v>0.53055555555555556</v>
      </c>
      <c r="M114" s="3" t="s">
        <v>49</v>
      </c>
      <c r="N114" s="2">
        <v>509.88</v>
      </c>
      <c r="O114" s="2">
        <v>4.7619047620000003</v>
      </c>
      <c r="P114" s="2">
        <v>25.494</v>
      </c>
      <c r="Q114" s="2">
        <v>8.4</v>
      </c>
      <c r="R114" s="3"/>
      <c r="S114" s="1"/>
      <c r="T114" s="1"/>
      <c r="U114" s="1" t="s">
        <v>37</v>
      </c>
      <c r="V114" s="1" t="s">
        <v>37</v>
      </c>
      <c r="W114" s="1" t="s">
        <v>37</v>
      </c>
    </row>
    <row r="115" spans="1:23">
      <c r="A115" s="3" t="s">
        <v>819</v>
      </c>
      <c r="B115" s="3" t="s">
        <v>22</v>
      </c>
      <c r="C115" s="3" t="s">
        <v>23</v>
      </c>
      <c r="D115" s="3" t="s">
        <v>24</v>
      </c>
      <c r="E115" s="3" t="s">
        <v>25</v>
      </c>
      <c r="F115" s="3" t="s">
        <v>53</v>
      </c>
      <c r="G115" s="2">
        <v>58.07</v>
      </c>
      <c r="H115" s="2">
        <v>9</v>
      </c>
      <c r="I115" s="2">
        <v>26.131499999999999</v>
      </c>
      <c r="J115" s="2">
        <v>548.76149999999996</v>
      </c>
      <c r="K115" s="5">
        <v>43484</v>
      </c>
      <c r="L115" s="4">
        <v>0.83819444444444446</v>
      </c>
      <c r="M115" s="3" t="s">
        <v>33</v>
      </c>
      <c r="N115" s="2">
        <v>522.63</v>
      </c>
      <c r="O115" s="2">
        <v>4.7619047620000003</v>
      </c>
      <c r="P115" s="2">
        <v>26.131499999999999</v>
      </c>
      <c r="Q115" s="2">
        <v>4.3</v>
      </c>
      <c r="R115" s="3"/>
      <c r="S115" s="1"/>
      <c r="T115" s="1"/>
      <c r="U115" s="1" t="s">
        <v>37</v>
      </c>
      <c r="V115" s="1" t="s">
        <v>37</v>
      </c>
      <c r="W115" s="1" t="s">
        <v>37</v>
      </c>
    </row>
    <row r="116" spans="1:23">
      <c r="A116" s="3" t="s">
        <v>826</v>
      </c>
      <c r="B116" s="3" t="s">
        <v>39</v>
      </c>
      <c r="C116" s="3" t="s">
        <v>40</v>
      </c>
      <c r="D116" s="3" t="s">
        <v>24</v>
      </c>
      <c r="E116" s="3" t="s">
        <v>25</v>
      </c>
      <c r="F116" s="3" t="s">
        <v>53</v>
      </c>
      <c r="G116" s="2">
        <v>80.790000000000006</v>
      </c>
      <c r="H116" s="2">
        <v>9</v>
      </c>
      <c r="I116" s="2">
        <v>36.355499999999999</v>
      </c>
      <c r="J116" s="2">
        <v>763.46550000000002</v>
      </c>
      <c r="K116" s="5">
        <v>43497</v>
      </c>
      <c r="L116" s="4">
        <v>0.85486111111111107</v>
      </c>
      <c r="M116" s="3" t="s">
        <v>59</v>
      </c>
      <c r="N116" s="2">
        <v>727.11</v>
      </c>
      <c r="O116" s="2">
        <v>4.7619047620000003</v>
      </c>
      <c r="P116" s="2">
        <v>36.355499999999999</v>
      </c>
      <c r="Q116" s="2">
        <v>9.5</v>
      </c>
      <c r="R116" s="3"/>
      <c r="S116" s="1"/>
      <c r="T116" s="1"/>
      <c r="U116" s="1" t="s">
        <v>37</v>
      </c>
      <c r="V116" s="1" t="s">
        <v>37</v>
      </c>
      <c r="W116" s="1" t="s">
        <v>37</v>
      </c>
    </row>
    <row r="117" spans="1:23">
      <c r="A117" s="3" t="s">
        <v>832</v>
      </c>
      <c r="B117" s="3" t="s">
        <v>39</v>
      </c>
      <c r="C117" s="3" t="s">
        <v>40</v>
      </c>
      <c r="D117" s="3" t="s">
        <v>24</v>
      </c>
      <c r="E117" s="3" t="s">
        <v>25</v>
      </c>
      <c r="F117" s="3" t="s">
        <v>127</v>
      </c>
      <c r="G117" s="2">
        <v>27.02</v>
      </c>
      <c r="H117" s="2">
        <v>3</v>
      </c>
      <c r="I117" s="2">
        <v>4.0529999999999999</v>
      </c>
      <c r="J117" s="2">
        <v>85.113</v>
      </c>
      <c r="K117" s="5">
        <v>43526</v>
      </c>
      <c r="L117" s="4">
        <v>0.54236111111111107</v>
      </c>
      <c r="M117" s="3" t="s">
        <v>59</v>
      </c>
      <c r="N117" s="2">
        <v>81.06</v>
      </c>
      <c r="O117" s="2">
        <v>4.7619047620000003</v>
      </c>
      <c r="P117" s="2">
        <v>4.0529999999999999</v>
      </c>
      <c r="Q117" s="2">
        <v>7.1</v>
      </c>
      <c r="R117" s="3"/>
      <c r="S117" s="1"/>
      <c r="T117" s="1"/>
      <c r="U117" s="1" t="s">
        <v>37</v>
      </c>
      <c r="V117" s="1" t="s">
        <v>37</v>
      </c>
      <c r="W117" s="1" t="s">
        <v>37</v>
      </c>
    </row>
    <row r="118" spans="1:23">
      <c r="A118" s="3" t="s">
        <v>837</v>
      </c>
      <c r="B118" s="3" t="s">
        <v>115</v>
      </c>
      <c r="C118" s="3" t="s">
        <v>116</v>
      </c>
      <c r="D118" s="3" t="s">
        <v>24</v>
      </c>
      <c r="E118" s="3" t="s">
        <v>25</v>
      </c>
      <c r="F118" s="3" t="s">
        <v>127</v>
      </c>
      <c r="G118" s="2">
        <v>21.94</v>
      </c>
      <c r="H118" s="2">
        <v>5</v>
      </c>
      <c r="I118" s="2">
        <v>5.4850000000000003</v>
      </c>
      <c r="J118" s="2">
        <v>115.185</v>
      </c>
      <c r="K118" s="5">
        <v>43529</v>
      </c>
      <c r="L118" s="4">
        <v>0.52013888888888893</v>
      </c>
      <c r="M118" s="3" t="s">
        <v>33</v>
      </c>
      <c r="N118" s="2">
        <v>109.7</v>
      </c>
      <c r="O118" s="2">
        <v>4.7619047620000003</v>
      </c>
      <c r="P118" s="2">
        <v>5.4850000000000003</v>
      </c>
      <c r="Q118" s="2">
        <v>5.3</v>
      </c>
      <c r="R118" s="3"/>
      <c r="S118" s="1"/>
      <c r="T118" s="1"/>
      <c r="U118" s="1" t="s">
        <v>37</v>
      </c>
      <c r="V118" s="1" t="s">
        <v>37</v>
      </c>
      <c r="W118" s="1" t="s">
        <v>37</v>
      </c>
    </row>
    <row r="119" spans="1:23">
      <c r="A119" s="3" t="s">
        <v>843</v>
      </c>
      <c r="B119" s="3" t="s">
        <v>115</v>
      </c>
      <c r="C119" s="3" t="s">
        <v>116</v>
      </c>
      <c r="D119" s="3" t="s">
        <v>24</v>
      </c>
      <c r="E119" s="3" t="s">
        <v>25</v>
      </c>
      <c r="F119" s="3" t="s">
        <v>127</v>
      </c>
      <c r="G119" s="2">
        <v>51.36</v>
      </c>
      <c r="H119" s="2">
        <v>1</v>
      </c>
      <c r="I119" s="2">
        <v>2.5680000000000001</v>
      </c>
      <c r="J119" s="2">
        <v>53.927999999999997</v>
      </c>
      <c r="K119" s="5">
        <v>43481</v>
      </c>
      <c r="L119" s="4">
        <v>0.6430555555555556</v>
      </c>
      <c r="M119" s="3" t="s">
        <v>33</v>
      </c>
      <c r="N119" s="2">
        <v>51.36</v>
      </c>
      <c r="O119" s="2">
        <v>4.7619047620000003</v>
      </c>
      <c r="P119" s="2">
        <v>2.5680000000000001</v>
      </c>
      <c r="Q119" s="2">
        <v>5.2</v>
      </c>
      <c r="R119" s="3"/>
      <c r="S119" s="1"/>
      <c r="T119" s="1"/>
      <c r="U119" s="1" t="s">
        <v>37</v>
      </c>
      <c r="V119" s="1" t="s">
        <v>37</v>
      </c>
      <c r="W119" s="1" t="s">
        <v>37</v>
      </c>
    </row>
    <row r="120" spans="1:23">
      <c r="A120" s="3" t="s">
        <v>850</v>
      </c>
      <c r="B120" s="3" t="s">
        <v>22</v>
      </c>
      <c r="C120" s="3" t="s">
        <v>23</v>
      </c>
      <c r="D120" s="3" t="s">
        <v>24</v>
      </c>
      <c r="E120" s="3" t="s">
        <v>25</v>
      </c>
      <c r="F120" s="3" t="s">
        <v>117</v>
      </c>
      <c r="G120" s="2">
        <v>10.96</v>
      </c>
      <c r="H120" s="2">
        <v>10</v>
      </c>
      <c r="I120" s="2">
        <v>5.48</v>
      </c>
      <c r="J120" s="2">
        <v>115.08</v>
      </c>
      <c r="K120" s="5">
        <v>43498</v>
      </c>
      <c r="L120" s="4">
        <v>0.8666666666666667</v>
      </c>
      <c r="M120" s="3" t="s">
        <v>33</v>
      </c>
      <c r="N120" s="2">
        <v>109.6</v>
      </c>
      <c r="O120" s="2">
        <v>4.7619047620000003</v>
      </c>
      <c r="P120" s="2">
        <v>5.48</v>
      </c>
      <c r="Q120" s="2">
        <v>6</v>
      </c>
      <c r="R120" s="3"/>
      <c r="S120" s="1"/>
      <c r="T120" s="1"/>
      <c r="U120" s="1" t="s">
        <v>37</v>
      </c>
      <c r="V120" s="1" t="s">
        <v>37</v>
      </c>
      <c r="W120" s="1" t="s">
        <v>37</v>
      </c>
    </row>
    <row r="121" spans="1:23">
      <c r="A121" s="3" t="s">
        <v>856</v>
      </c>
      <c r="B121" s="3" t="s">
        <v>115</v>
      </c>
      <c r="C121" s="3" t="s">
        <v>116</v>
      </c>
      <c r="D121" s="3" t="s">
        <v>24</v>
      </c>
      <c r="E121" s="3" t="s">
        <v>25</v>
      </c>
      <c r="F121" s="3" t="s">
        <v>53</v>
      </c>
      <c r="G121" s="2">
        <v>53.44</v>
      </c>
      <c r="H121" s="2">
        <v>2</v>
      </c>
      <c r="I121" s="2">
        <v>5.3440000000000003</v>
      </c>
      <c r="J121" s="2">
        <v>112.224</v>
      </c>
      <c r="K121" s="5">
        <v>43485</v>
      </c>
      <c r="L121" s="4">
        <v>0.85972222222222228</v>
      </c>
      <c r="M121" s="3" t="s">
        <v>33</v>
      </c>
      <c r="N121" s="2">
        <v>106.88</v>
      </c>
      <c r="O121" s="2">
        <v>4.7619047620000003</v>
      </c>
      <c r="P121" s="2">
        <v>5.3440000000000003</v>
      </c>
      <c r="Q121" s="2">
        <v>4.0999999999999996</v>
      </c>
      <c r="R121" s="3"/>
      <c r="S121" s="1"/>
      <c r="T121" s="1"/>
      <c r="U121" s="1" t="s">
        <v>37</v>
      </c>
      <c r="V121" s="1" t="s">
        <v>37</v>
      </c>
      <c r="W121" s="1" t="s">
        <v>37</v>
      </c>
    </row>
    <row r="122" spans="1:23">
      <c r="A122" s="3" t="s">
        <v>861</v>
      </c>
      <c r="B122" s="3" t="s">
        <v>22</v>
      </c>
      <c r="C122" s="3" t="s">
        <v>23</v>
      </c>
      <c r="D122" s="3" t="s">
        <v>24</v>
      </c>
      <c r="E122" s="3" t="s">
        <v>25</v>
      </c>
      <c r="F122" s="3" t="s">
        <v>42</v>
      </c>
      <c r="G122" s="2">
        <v>99.56</v>
      </c>
      <c r="H122" s="2">
        <v>8</v>
      </c>
      <c r="I122" s="2">
        <v>39.823999999999998</v>
      </c>
      <c r="J122" s="2">
        <v>836.30399999999997</v>
      </c>
      <c r="K122" s="5">
        <v>43510</v>
      </c>
      <c r="L122" s="4">
        <v>0.7104166666666667</v>
      </c>
      <c r="M122" s="3" t="s">
        <v>59</v>
      </c>
      <c r="N122" s="2">
        <v>796.48</v>
      </c>
      <c r="O122" s="2">
        <v>4.7619047620000003</v>
      </c>
      <c r="P122" s="2">
        <v>39.823999999999998</v>
      </c>
      <c r="Q122" s="2">
        <v>5.2</v>
      </c>
      <c r="R122" s="3"/>
      <c r="S122" s="1"/>
      <c r="T122" s="1"/>
      <c r="U122" s="1" t="s">
        <v>37</v>
      </c>
      <c r="V122" s="1" t="s">
        <v>37</v>
      </c>
      <c r="W122" s="1" t="s">
        <v>37</v>
      </c>
    </row>
    <row r="123" spans="1:23">
      <c r="A123" s="3" t="s">
        <v>866</v>
      </c>
      <c r="B123" s="3" t="s">
        <v>39</v>
      </c>
      <c r="C123" s="3" t="s">
        <v>40</v>
      </c>
      <c r="D123" s="3" t="s">
        <v>24</v>
      </c>
      <c r="E123" s="3" t="s">
        <v>25</v>
      </c>
      <c r="F123" s="3" t="s">
        <v>72</v>
      </c>
      <c r="G123" s="2">
        <v>57.12</v>
      </c>
      <c r="H123" s="2">
        <v>7</v>
      </c>
      <c r="I123" s="2">
        <v>19.992000000000001</v>
      </c>
      <c r="J123" s="2">
        <v>419.83199999999999</v>
      </c>
      <c r="K123" s="5">
        <v>43477</v>
      </c>
      <c r="L123" s="4">
        <v>0.50138888888888888</v>
      </c>
      <c r="M123" s="3" t="s">
        <v>59</v>
      </c>
      <c r="N123" s="2">
        <v>399.84</v>
      </c>
      <c r="O123" s="2">
        <v>4.7619047620000003</v>
      </c>
      <c r="P123" s="2">
        <v>19.992000000000001</v>
      </c>
      <c r="Q123" s="2">
        <v>6.5</v>
      </c>
      <c r="R123" s="3"/>
      <c r="S123" s="1"/>
      <c r="T123" s="1"/>
      <c r="U123" s="1" t="s">
        <v>37</v>
      </c>
      <c r="V123" s="1" t="s">
        <v>37</v>
      </c>
      <c r="W123" s="1" t="s">
        <v>37</v>
      </c>
    </row>
    <row r="124" spans="1:23">
      <c r="A124" s="3" t="s">
        <v>872</v>
      </c>
      <c r="B124" s="3" t="s">
        <v>115</v>
      </c>
      <c r="C124" s="3" t="s">
        <v>116</v>
      </c>
      <c r="D124" s="3" t="s">
        <v>24</v>
      </c>
      <c r="E124" s="3" t="s">
        <v>25</v>
      </c>
      <c r="F124" s="3" t="s">
        <v>72</v>
      </c>
      <c r="G124" s="2">
        <v>99.96</v>
      </c>
      <c r="H124" s="2">
        <v>9</v>
      </c>
      <c r="I124" s="2">
        <v>44.981999999999999</v>
      </c>
      <c r="J124" s="2">
        <v>944.62199999999996</v>
      </c>
      <c r="K124" s="5">
        <v>43533</v>
      </c>
      <c r="L124" s="4">
        <v>0.72638888888888886</v>
      </c>
      <c r="M124" s="3" t="s">
        <v>59</v>
      </c>
      <c r="N124" s="2">
        <v>899.64</v>
      </c>
      <c r="O124" s="2">
        <v>4.7619047620000003</v>
      </c>
      <c r="P124" s="2">
        <v>44.981999999999999</v>
      </c>
      <c r="Q124" s="2">
        <v>4.2</v>
      </c>
      <c r="R124" s="3"/>
      <c r="S124" s="1"/>
      <c r="T124" s="1"/>
      <c r="U124" s="1" t="s">
        <v>37</v>
      </c>
      <c r="V124" s="1" t="s">
        <v>37</v>
      </c>
      <c r="W124" s="1" t="s">
        <v>37</v>
      </c>
    </row>
    <row r="125" spans="1:23">
      <c r="A125" s="3" t="s">
        <v>878</v>
      </c>
      <c r="B125" s="3" t="s">
        <v>39</v>
      </c>
      <c r="C125" s="3" t="s">
        <v>40</v>
      </c>
      <c r="D125" s="3" t="s">
        <v>24</v>
      </c>
      <c r="E125" s="3" t="s">
        <v>25</v>
      </c>
      <c r="F125" s="3" t="s">
        <v>53</v>
      </c>
      <c r="G125" s="2">
        <v>63.91</v>
      </c>
      <c r="H125" s="2">
        <v>8</v>
      </c>
      <c r="I125" s="2">
        <v>25.564</v>
      </c>
      <c r="J125" s="2">
        <v>536.84400000000005</v>
      </c>
      <c r="K125" s="5">
        <v>43537</v>
      </c>
      <c r="L125" s="4">
        <v>0.82777777777777772</v>
      </c>
      <c r="M125" s="3" t="s">
        <v>59</v>
      </c>
      <c r="N125" s="2">
        <v>511.28</v>
      </c>
      <c r="O125" s="2">
        <v>4.7619047620000003</v>
      </c>
      <c r="P125" s="2">
        <v>25.564</v>
      </c>
      <c r="Q125" s="2">
        <v>4.5999999999999996</v>
      </c>
      <c r="R125" s="3"/>
      <c r="S125" s="1"/>
      <c r="T125" s="1"/>
      <c r="U125" s="1" t="s">
        <v>37</v>
      </c>
      <c r="V125" s="1" t="s">
        <v>37</v>
      </c>
      <c r="W125" s="1" t="s">
        <v>37</v>
      </c>
    </row>
    <row r="126" spans="1:23">
      <c r="A126" s="3" t="s">
        <v>884</v>
      </c>
      <c r="B126" s="3" t="s">
        <v>115</v>
      </c>
      <c r="C126" s="3" t="s">
        <v>116</v>
      </c>
      <c r="D126" s="3" t="s">
        <v>24</v>
      </c>
      <c r="E126" s="3" t="s">
        <v>25</v>
      </c>
      <c r="F126" s="3" t="s">
        <v>127</v>
      </c>
      <c r="G126" s="2">
        <v>56.47</v>
      </c>
      <c r="H126" s="2">
        <v>8</v>
      </c>
      <c r="I126" s="2">
        <v>22.588000000000001</v>
      </c>
      <c r="J126" s="2">
        <v>474.34800000000001</v>
      </c>
      <c r="K126" s="5">
        <v>43533</v>
      </c>
      <c r="L126" s="4">
        <v>0.62291666666666667</v>
      </c>
      <c r="M126" s="3" t="s">
        <v>33</v>
      </c>
      <c r="N126" s="2">
        <v>451.76</v>
      </c>
      <c r="O126" s="2">
        <v>4.7619047620000003</v>
      </c>
      <c r="P126" s="2">
        <v>22.588000000000001</v>
      </c>
      <c r="Q126" s="2">
        <v>7.3</v>
      </c>
      <c r="R126" s="3"/>
      <c r="S126" s="1"/>
      <c r="T126" s="1"/>
      <c r="U126" s="1" t="s">
        <v>37</v>
      </c>
      <c r="V126" s="1" t="s">
        <v>37</v>
      </c>
      <c r="W126" s="1" t="s">
        <v>37</v>
      </c>
    </row>
    <row r="127" spans="1:23">
      <c r="A127" s="3" t="s">
        <v>890</v>
      </c>
      <c r="B127" s="3" t="s">
        <v>22</v>
      </c>
      <c r="C127" s="3" t="s">
        <v>23</v>
      </c>
      <c r="D127" s="3" t="s">
        <v>24</v>
      </c>
      <c r="E127" s="3" t="s">
        <v>25</v>
      </c>
      <c r="F127" s="3" t="s">
        <v>53</v>
      </c>
      <c r="G127" s="2">
        <v>93.69</v>
      </c>
      <c r="H127" s="2">
        <v>7</v>
      </c>
      <c r="I127" s="2">
        <v>32.791499999999999</v>
      </c>
      <c r="J127" s="2">
        <v>688.62149999999997</v>
      </c>
      <c r="K127" s="5">
        <v>43534</v>
      </c>
      <c r="L127" s="4">
        <v>0.78055555555555556</v>
      </c>
      <c r="M127" s="3" t="s">
        <v>59</v>
      </c>
      <c r="N127" s="2">
        <v>655.83</v>
      </c>
      <c r="O127" s="2">
        <v>4.7619047620000003</v>
      </c>
      <c r="P127" s="2">
        <v>32.791499999999999</v>
      </c>
      <c r="Q127" s="2">
        <v>4.5</v>
      </c>
      <c r="R127" s="3"/>
      <c r="S127" s="1"/>
      <c r="T127" s="1"/>
      <c r="U127" s="1" t="s">
        <v>37</v>
      </c>
      <c r="V127" s="1" t="s">
        <v>37</v>
      </c>
      <c r="W127" s="1" t="s">
        <v>37</v>
      </c>
    </row>
    <row r="128" spans="1:23">
      <c r="A128" s="3" t="s">
        <v>896</v>
      </c>
      <c r="B128" s="3" t="s">
        <v>22</v>
      </c>
      <c r="C128" s="3" t="s">
        <v>23</v>
      </c>
      <c r="D128" s="3" t="s">
        <v>24</v>
      </c>
      <c r="E128" s="3" t="s">
        <v>25</v>
      </c>
      <c r="F128" s="3" t="s">
        <v>72</v>
      </c>
      <c r="G128" s="2">
        <v>32.25</v>
      </c>
      <c r="H128" s="2">
        <v>5</v>
      </c>
      <c r="I128" s="2">
        <v>8.0625</v>
      </c>
      <c r="J128" s="2">
        <v>169.3125</v>
      </c>
      <c r="K128" s="5">
        <v>43492</v>
      </c>
      <c r="L128" s="4">
        <v>0.55972222222222223</v>
      </c>
      <c r="M128" s="3" t="s">
        <v>49</v>
      </c>
      <c r="N128" s="2">
        <v>161.25</v>
      </c>
      <c r="O128" s="2">
        <v>4.7619047620000003</v>
      </c>
      <c r="P128" s="2">
        <v>8.0625</v>
      </c>
      <c r="Q128" s="2">
        <v>9</v>
      </c>
      <c r="R128" s="3"/>
      <c r="S128" s="1"/>
      <c r="T128" s="1"/>
      <c r="U128" s="1" t="s">
        <v>37</v>
      </c>
      <c r="V128" s="1" t="s">
        <v>37</v>
      </c>
      <c r="W128" s="1" t="s">
        <v>37</v>
      </c>
    </row>
    <row r="129" spans="1:23">
      <c r="A129" s="3" t="s">
        <v>902</v>
      </c>
      <c r="B129" s="3" t="s">
        <v>39</v>
      </c>
      <c r="C129" s="3" t="s">
        <v>40</v>
      </c>
      <c r="D129" s="3" t="s">
        <v>24</v>
      </c>
      <c r="E129" s="3" t="s">
        <v>25</v>
      </c>
      <c r="F129" s="3" t="s">
        <v>127</v>
      </c>
      <c r="G129" s="2">
        <v>31.73</v>
      </c>
      <c r="H129" s="2">
        <v>9</v>
      </c>
      <c r="I129" s="2">
        <v>14.278499999999999</v>
      </c>
      <c r="J129" s="2">
        <v>299.8485</v>
      </c>
      <c r="K129" s="5">
        <v>43473</v>
      </c>
      <c r="L129" s="4">
        <v>0.67847222222222225</v>
      </c>
      <c r="M129" s="3" t="s">
        <v>59</v>
      </c>
      <c r="N129" s="2">
        <v>285.57</v>
      </c>
      <c r="O129" s="2">
        <v>4.7619047620000003</v>
      </c>
      <c r="P129" s="2">
        <v>14.278499999999999</v>
      </c>
      <c r="Q129" s="2">
        <v>5.9</v>
      </c>
      <c r="R129" s="3"/>
      <c r="S129" s="1"/>
      <c r="T129" s="1"/>
      <c r="U129" s="1" t="s">
        <v>37</v>
      </c>
      <c r="V129" s="1" t="s">
        <v>37</v>
      </c>
      <c r="W129" s="1" t="s">
        <v>37</v>
      </c>
    </row>
    <row r="130" spans="1:23">
      <c r="A130" s="3" t="s">
        <v>909</v>
      </c>
      <c r="B130" s="3" t="s">
        <v>39</v>
      </c>
      <c r="C130" s="3" t="s">
        <v>40</v>
      </c>
      <c r="D130" s="3" t="s">
        <v>24</v>
      </c>
      <c r="E130" s="3" t="s">
        <v>25</v>
      </c>
      <c r="F130" s="3" t="s">
        <v>117</v>
      </c>
      <c r="G130" s="2">
        <v>68.540000000000006</v>
      </c>
      <c r="H130" s="2">
        <v>8</v>
      </c>
      <c r="I130" s="2">
        <v>27.416</v>
      </c>
      <c r="J130" s="2">
        <v>575.73599999999999</v>
      </c>
      <c r="K130" s="5">
        <v>43473</v>
      </c>
      <c r="L130" s="4">
        <v>0.6645833333333333</v>
      </c>
      <c r="M130" s="3" t="s">
        <v>33</v>
      </c>
      <c r="N130" s="2">
        <v>548.32000000000005</v>
      </c>
      <c r="O130" s="2">
        <v>4.7619047620000003</v>
      </c>
      <c r="P130" s="2">
        <v>27.416</v>
      </c>
      <c r="Q130" s="2">
        <v>8.5</v>
      </c>
      <c r="R130" s="3"/>
      <c r="S130" s="1"/>
      <c r="T130" s="1"/>
      <c r="U130" s="1" t="s">
        <v>37</v>
      </c>
      <c r="V130" s="1" t="s">
        <v>37</v>
      </c>
      <c r="W130" s="1" t="s">
        <v>37</v>
      </c>
    </row>
    <row r="131" spans="1:23">
      <c r="A131" s="3" t="s">
        <v>915</v>
      </c>
      <c r="B131" s="3" t="s">
        <v>115</v>
      </c>
      <c r="C131" s="3" t="s">
        <v>116</v>
      </c>
      <c r="D131" s="3" t="s">
        <v>24</v>
      </c>
      <c r="E131" s="3" t="s">
        <v>25</v>
      </c>
      <c r="F131" s="3" t="s">
        <v>72</v>
      </c>
      <c r="G131" s="2">
        <v>90.28</v>
      </c>
      <c r="H131" s="2">
        <v>9</v>
      </c>
      <c r="I131" s="2">
        <v>40.625999999999998</v>
      </c>
      <c r="J131" s="2">
        <v>853.14599999999996</v>
      </c>
      <c r="K131" s="5">
        <v>43504</v>
      </c>
      <c r="L131" s="4">
        <v>0.46875</v>
      </c>
      <c r="M131" s="3" t="s">
        <v>33</v>
      </c>
      <c r="N131" s="2">
        <v>812.52</v>
      </c>
      <c r="O131" s="2">
        <v>4.7619047620000003</v>
      </c>
      <c r="P131" s="2">
        <v>40.625999999999998</v>
      </c>
      <c r="Q131" s="2">
        <v>7.2</v>
      </c>
      <c r="R131" s="3"/>
      <c r="S131" s="1"/>
      <c r="T131" s="1"/>
      <c r="U131" s="1" t="s">
        <v>37</v>
      </c>
      <c r="V131" s="1" t="s">
        <v>37</v>
      </c>
      <c r="W131" s="1" t="s">
        <v>37</v>
      </c>
    </row>
    <row r="132" spans="1:23">
      <c r="A132" s="3" t="s">
        <v>920</v>
      </c>
      <c r="B132" s="3" t="s">
        <v>115</v>
      </c>
      <c r="C132" s="3" t="s">
        <v>116</v>
      </c>
      <c r="D132" s="3" t="s">
        <v>41</v>
      </c>
      <c r="E132" s="3" t="s">
        <v>25</v>
      </c>
      <c r="F132" s="3" t="s">
        <v>127</v>
      </c>
      <c r="G132" s="2">
        <v>39.619999999999997</v>
      </c>
      <c r="H132" s="2">
        <v>7</v>
      </c>
      <c r="I132" s="2">
        <v>13.867000000000001</v>
      </c>
      <c r="J132" s="2">
        <v>291.20699999999999</v>
      </c>
      <c r="K132" s="5">
        <v>43490</v>
      </c>
      <c r="L132" s="4">
        <v>0.5541666666666667</v>
      </c>
      <c r="M132" s="3" t="s">
        <v>49</v>
      </c>
      <c r="N132" s="2">
        <v>277.33999999999997</v>
      </c>
      <c r="O132" s="2">
        <v>4.7619047620000003</v>
      </c>
      <c r="P132" s="2">
        <v>13.867000000000001</v>
      </c>
      <c r="Q132" s="2">
        <v>7.5</v>
      </c>
      <c r="R132" s="3"/>
      <c r="S132" s="1"/>
      <c r="T132" s="1"/>
      <c r="U132" s="1" t="s">
        <v>37</v>
      </c>
      <c r="V132" s="1" t="s">
        <v>37</v>
      </c>
      <c r="W132" s="1" t="s">
        <v>37</v>
      </c>
    </row>
    <row r="133" spans="1:23">
      <c r="A133" s="3" t="s">
        <v>926</v>
      </c>
      <c r="B133" s="3" t="s">
        <v>22</v>
      </c>
      <c r="C133" s="3" t="s">
        <v>23</v>
      </c>
      <c r="D133" s="3" t="s">
        <v>24</v>
      </c>
      <c r="E133" s="3" t="s">
        <v>25</v>
      </c>
      <c r="F133" s="3" t="s">
        <v>72</v>
      </c>
      <c r="G133" s="2">
        <v>92.13</v>
      </c>
      <c r="H133" s="2">
        <v>6</v>
      </c>
      <c r="I133" s="2">
        <v>27.638999999999999</v>
      </c>
      <c r="J133" s="2">
        <v>580.41899999999998</v>
      </c>
      <c r="K133" s="5">
        <v>43530</v>
      </c>
      <c r="L133" s="4">
        <v>0.8569444444444444</v>
      </c>
      <c r="M133" s="3" t="s">
        <v>49</v>
      </c>
      <c r="N133" s="2">
        <v>552.78</v>
      </c>
      <c r="O133" s="2">
        <v>4.7619047620000003</v>
      </c>
      <c r="P133" s="2">
        <v>27.638999999999999</v>
      </c>
      <c r="Q133" s="2">
        <v>8.3000000000000007</v>
      </c>
      <c r="R133" s="3"/>
      <c r="S133" s="1"/>
      <c r="T133" s="1"/>
      <c r="U133" s="1" t="s">
        <v>37</v>
      </c>
      <c r="V133" s="1" t="s">
        <v>37</v>
      </c>
      <c r="W133" s="1" t="s">
        <v>37</v>
      </c>
    </row>
    <row r="134" spans="1:23">
      <c r="A134" s="3" t="s">
        <v>932</v>
      </c>
      <c r="B134" s="3" t="s">
        <v>115</v>
      </c>
      <c r="C134" s="3" t="s">
        <v>116</v>
      </c>
      <c r="D134" s="3" t="s">
        <v>41</v>
      </c>
      <c r="E134" s="3" t="s">
        <v>25</v>
      </c>
      <c r="F134" s="3" t="s">
        <v>72</v>
      </c>
      <c r="G134" s="2">
        <v>34.840000000000003</v>
      </c>
      <c r="H134" s="2">
        <v>4</v>
      </c>
      <c r="I134" s="2">
        <v>6.968</v>
      </c>
      <c r="J134" s="2">
        <v>146.328</v>
      </c>
      <c r="K134" s="5">
        <v>43506</v>
      </c>
      <c r="L134" s="4">
        <v>0.77500000000000002</v>
      </c>
      <c r="M134" s="3" t="s">
        <v>49</v>
      </c>
      <c r="N134" s="2">
        <v>139.36000000000001</v>
      </c>
      <c r="O134" s="2">
        <v>4.7619047620000003</v>
      </c>
      <c r="P134" s="2">
        <v>6.968</v>
      </c>
      <c r="Q134" s="2">
        <v>7.4</v>
      </c>
      <c r="R134" s="3"/>
      <c r="S134" s="1"/>
      <c r="T134" s="1"/>
      <c r="U134" s="1" t="s">
        <v>37</v>
      </c>
      <c r="V134" s="1" t="s">
        <v>37</v>
      </c>
      <c r="W134" s="1" t="s">
        <v>37</v>
      </c>
    </row>
    <row r="135" spans="1:23">
      <c r="A135" s="3" t="s">
        <v>938</v>
      </c>
      <c r="B135" s="3" t="s">
        <v>115</v>
      </c>
      <c r="C135" s="3" t="s">
        <v>116</v>
      </c>
      <c r="D135" s="3" t="s">
        <v>24</v>
      </c>
      <c r="E135" s="3" t="s">
        <v>25</v>
      </c>
      <c r="F135" s="3" t="s">
        <v>42</v>
      </c>
      <c r="G135" s="2">
        <v>87.45</v>
      </c>
      <c r="H135" s="2">
        <v>6</v>
      </c>
      <c r="I135" s="2">
        <v>26.234999999999999</v>
      </c>
      <c r="J135" s="2">
        <v>550.93499999999995</v>
      </c>
      <c r="K135" s="5">
        <v>43513</v>
      </c>
      <c r="L135" s="4">
        <v>0.61111111111111116</v>
      </c>
      <c r="M135" s="3" t="s">
        <v>59</v>
      </c>
      <c r="N135" s="2">
        <v>524.70000000000005</v>
      </c>
      <c r="O135" s="2">
        <v>4.7619047620000003</v>
      </c>
      <c r="P135" s="2">
        <v>26.234999999999999</v>
      </c>
      <c r="Q135" s="2">
        <v>8.8000000000000007</v>
      </c>
      <c r="R135" s="3"/>
      <c r="S135" s="1"/>
      <c r="T135" s="1"/>
      <c r="U135" s="1" t="s">
        <v>37</v>
      </c>
      <c r="V135" s="1" t="s">
        <v>37</v>
      </c>
      <c r="W135" s="1" t="s">
        <v>37</v>
      </c>
    </row>
    <row r="136" spans="1:23">
      <c r="A136" s="3" t="s">
        <v>945</v>
      </c>
      <c r="B136" s="3" t="s">
        <v>39</v>
      </c>
      <c r="C136" s="3" t="s">
        <v>40</v>
      </c>
      <c r="D136" s="3" t="s">
        <v>41</v>
      </c>
      <c r="E136" s="3" t="s">
        <v>25</v>
      </c>
      <c r="F136" s="3" t="s">
        <v>26</v>
      </c>
      <c r="G136" s="2">
        <v>81.3</v>
      </c>
      <c r="H136" s="2">
        <v>6</v>
      </c>
      <c r="I136" s="2">
        <v>24.39</v>
      </c>
      <c r="J136" s="2">
        <v>512.19000000000005</v>
      </c>
      <c r="K136" s="5">
        <v>43532</v>
      </c>
      <c r="L136" s="4">
        <v>0.69652777777777775</v>
      </c>
      <c r="M136" s="3" t="s">
        <v>33</v>
      </c>
      <c r="N136" s="2">
        <v>487.8</v>
      </c>
      <c r="O136" s="2">
        <v>4.7619047620000003</v>
      </c>
      <c r="P136" s="2">
        <v>24.39</v>
      </c>
      <c r="Q136" s="2">
        <v>5.3</v>
      </c>
      <c r="R136" s="3"/>
      <c r="S136" s="1"/>
      <c r="T136" s="1"/>
      <c r="U136" s="1" t="s">
        <v>37</v>
      </c>
      <c r="V136" s="1" t="s">
        <v>37</v>
      </c>
      <c r="W136" s="1" t="s">
        <v>37</v>
      </c>
    </row>
    <row r="137" spans="1:23">
      <c r="A137" s="3" t="s">
        <v>951</v>
      </c>
      <c r="B137" s="3" t="s">
        <v>39</v>
      </c>
      <c r="C137" s="3" t="s">
        <v>40</v>
      </c>
      <c r="D137" s="3" t="s">
        <v>41</v>
      </c>
      <c r="E137" s="3" t="s">
        <v>25</v>
      </c>
      <c r="F137" s="3" t="s">
        <v>127</v>
      </c>
      <c r="G137" s="2">
        <v>90.22</v>
      </c>
      <c r="H137" s="2">
        <v>3</v>
      </c>
      <c r="I137" s="2">
        <v>13.532999999999999</v>
      </c>
      <c r="J137" s="2">
        <v>284.19299999999998</v>
      </c>
      <c r="K137" s="5">
        <v>43514</v>
      </c>
      <c r="L137" s="4">
        <v>0.81874999999999998</v>
      </c>
      <c r="M137" s="3" t="s">
        <v>49</v>
      </c>
      <c r="N137" s="2">
        <v>270.66000000000003</v>
      </c>
      <c r="O137" s="2">
        <v>4.7619047620000003</v>
      </c>
      <c r="P137" s="2">
        <v>13.532999999999999</v>
      </c>
      <c r="Q137" s="2">
        <v>6.2</v>
      </c>
      <c r="R137" s="3"/>
      <c r="S137" s="1"/>
      <c r="T137" s="1"/>
      <c r="U137" s="1" t="s">
        <v>37</v>
      </c>
      <c r="V137" s="1" t="s">
        <v>37</v>
      </c>
      <c r="W137" s="1" t="s">
        <v>37</v>
      </c>
    </row>
    <row r="138" spans="1:23">
      <c r="A138" s="3" t="s">
        <v>958</v>
      </c>
      <c r="B138" s="3" t="s">
        <v>22</v>
      </c>
      <c r="C138" s="3" t="s">
        <v>23</v>
      </c>
      <c r="D138" s="3" t="s">
        <v>41</v>
      </c>
      <c r="E138" s="3" t="s">
        <v>25</v>
      </c>
      <c r="F138" s="3" t="s">
        <v>42</v>
      </c>
      <c r="G138" s="2">
        <v>26.31</v>
      </c>
      <c r="H138" s="2">
        <v>5</v>
      </c>
      <c r="I138" s="2">
        <v>6.5774999999999997</v>
      </c>
      <c r="J138" s="2">
        <v>138.1275</v>
      </c>
      <c r="K138" s="5">
        <v>43483</v>
      </c>
      <c r="L138" s="4">
        <v>0.87430555555555556</v>
      </c>
      <c r="M138" s="3" t="s">
        <v>59</v>
      </c>
      <c r="N138" s="2">
        <v>131.55000000000001</v>
      </c>
      <c r="O138" s="2">
        <v>4.7619047620000003</v>
      </c>
      <c r="P138" s="2">
        <v>6.5774999999999997</v>
      </c>
      <c r="Q138" s="2">
        <v>8.8000000000000007</v>
      </c>
      <c r="R138" s="3"/>
      <c r="S138" s="1"/>
      <c r="T138" s="1"/>
      <c r="U138" s="1" t="s">
        <v>37</v>
      </c>
      <c r="V138" s="1" t="s">
        <v>37</v>
      </c>
      <c r="W138" s="1" t="s">
        <v>37</v>
      </c>
    </row>
    <row r="139" spans="1:23">
      <c r="A139" s="3" t="s">
        <v>965</v>
      </c>
      <c r="B139" s="3" t="s">
        <v>22</v>
      </c>
      <c r="C139" s="3" t="s">
        <v>23</v>
      </c>
      <c r="D139" s="3" t="s">
        <v>24</v>
      </c>
      <c r="E139" s="3" t="s">
        <v>25</v>
      </c>
      <c r="F139" s="3" t="s">
        <v>53</v>
      </c>
      <c r="G139" s="2">
        <v>34.42</v>
      </c>
      <c r="H139" s="2">
        <v>6</v>
      </c>
      <c r="I139" s="2">
        <v>10.326000000000001</v>
      </c>
      <c r="J139" s="2">
        <v>216.846</v>
      </c>
      <c r="K139" s="5">
        <v>43514</v>
      </c>
      <c r="L139" s="4">
        <v>0.65208333333333335</v>
      </c>
      <c r="M139" s="3" t="s">
        <v>49</v>
      </c>
      <c r="N139" s="2">
        <v>206.52</v>
      </c>
      <c r="O139" s="2">
        <v>4.7619047620000003</v>
      </c>
      <c r="P139" s="2">
        <v>10.326000000000001</v>
      </c>
      <c r="Q139" s="2">
        <v>9.8000000000000007</v>
      </c>
      <c r="R139" s="3"/>
      <c r="S139" s="1"/>
      <c r="T139" s="1"/>
      <c r="U139" s="1" t="s">
        <v>37</v>
      </c>
      <c r="V139" s="1" t="s">
        <v>37</v>
      </c>
      <c r="W139" s="1" t="s">
        <v>37</v>
      </c>
    </row>
    <row r="140" spans="1:23">
      <c r="A140" s="3" t="s">
        <v>972</v>
      </c>
      <c r="B140" s="3" t="s">
        <v>115</v>
      </c>
      <c r="C140" s="3" t="s">
        <v>116</v>
      </c>
      <c r="D140" s="3" t="s">
        <v>41</v>
      </c>
      <c r="E140" s="3" t="s">
        <v>25</v>
      </c>
      <c r="F140" s="3" t="s">
        <v>72</v>
      </c>
      <c r="G140" s="2">
        <v>51.91</v>
      </c>
      <c r="H140" s="2">
        <v>10</v>
      </c>
      <c r="I140" s="2">
        <v>25.954999999999998</v>
      </c>
      <c r="J140" s="2">
        <v>545.05499999999995</v>
      </c>
      <c r="K140" s="5">
        <v>43512</v>
      </c>
      <c r="L140" s="4">
        <v>0.51458333333333328</v>
      </c>
      <c r="M140" s="3" t="s">
        <v>49</v>
      </c>
      <c r="N140" s="2">
        <v>519.1</v>
      </c>
      <c r="O140" s="2">
        <v>4.7619047620000003</v>
      </c>
      <c r="P140" s="2">
        <v>25.954999999999998</v>
      </c>
      <c r="Q140" s="2">
        <v>8.1999999999999993</v>
      </c>
      <c r="R140" s="3"/>
      <c r="S140" s="1"/>
      <c r="T140" s="1"/>
      <c r="U140" s="1" t="s">
        <v>37</v>
      </c>
      <c r="V140" s="1" t="s">
        <v>37</v>
      </c>
      <c r="W140" s="1" t="s">
        <v>37</v>
      </c>
    </row>
    <row r="141" spans="1:23">
      <c r="A141" s="3" t="s">
        <v>979</v>
      </c>
      <c r="B141" s="3" t="s">
        <v>22</v>
      </c>
      <c r="C141" s="3" t="s">
        <v>23</v>
      </c>
      <c r="D141" s="3" t="s">
        <v>41</v>
      </c>
      <c r="E141" s="3" t="s">
        <v>25</v>
      </c>
      <c r="F141" s="3" t="s">
        <v>72</v>
      </c>
      <c r="G141" s="2">
        <v>72.5</v>
      </c>
      <c r="H141" s="2">
        <v>8</v>
      </c>
      <c r="I141" s="2">
        <v>29</v>
      </c>
      <c r="J141" s="2">
        <v>609</v>
      </c>
      <c r="K141" s="5">
        <v>43540</v>
      </c>
      <c r="L141" s="4">
        <v>0.80902777777777779</v>
      </c>
      <c r="M141" s="3" t="s">
        <v>33</v>
      </c>
      <c r="N141" s="2">
        <v>580</v>
      </c>
      <c r="O141" s="2">
        <v>4.7619047620000003</v>
      </c>
      <c r="P141" s="2">
        <v>29</v>
      </c>
      <c r="Q141" s="2">
        <v>9.1999999999999993</v>
      </c>
      <c r="R141" s="3"/>
      <c r="S141" s="1"/>
      <c r="T141" s="1"/>
      <c r="U141" s="1" t="s">
        <v>37</v>
      </c>
      <c r="V141" s="1" t="s">
        <v>37</v>
      </c>
      <c r="W141" s="1" t="s">
        <v>37</v>
      </c>
    </row>
    <row r="142" spans="1:23">
      <c r="A142" s="3" t="s">
        <v>985</v>
      </c>
      <c r="B142" s="3" t="s">
        <v>39</v>
      </c>
      <c r="C142" s="3" t="s">
        <v>40</v>
      </c>
      <c r="D142" s="3" t="s">
        <v>24</v>
      </c>
      <c r="E142" s="3" t="s">
        <v>25</v>
      </c>
      <c r="F142" s="3" t="s">
        <v>72</v>
      </c>
      <c r="G142" s="2">
        <v>89.8</v>
      </c>
      <c r="H142" s="2">
        <v>10</v>
      </c>
      <c r="I142" s="2">
        <v>44.9</v>
      </c>
      <c r="J142" s="2">
        <v>942.9</v>
      </c>
      <c r="K142" s="5">
        <v>43488</v>
      </c>
      <c r="L142" s="4">
        <v>0.54166666666666663</v>
      </c>
      <c r="M142" s="3" t="s">
        <v>59</v>
      </c>
      <c r="N142" s="2">
        <v>898</v>
      </c>
      <c r="O142" s="2">
        <v>4.7619047620000003</v>
      </c>
      <c r="P142" s="2">
        <v>44.9</v>
      </c>
      <c r="Q142" s="2">
        <v>5.4</v>
      </c>
      <c r="R142" s="3"/>
      <c r="S142" s="1"/>
      <c r="T142" s="1"/>
      <c r="U142" s="1" t="s">
        <v>37</v>
      </c>
      <c r="V142" s="1" t="s">
        <v>37</v>
      </c>
      <c r="W142" s="1" t="s">
        <v>37</v>
      </c>
    </row>
    <row r="143" spans="1:23">
      <c r="A143" s="3" t="s">
        <v>991</v>
      </c>
      <c r="B143" s="3" t="s">
        <v>39</v>
      </c>
      <c r="C143" s="3" t="s">
        <v>40</v>
      </c>
      <c r="D143" s="3" t="s">
        <v>24</v>
      </c>
      <c r="E143" s="3" t="s">
        <v>992</v>
      </c>
      <c r="F143" s="3" t="s">
        <v>26</v>
      </c>
      <c r="G143" s="2">
        <v>90.5</v>
      </c>
      <c r="H143" s="2">
        <v>10</v>
      </c>
      <c r="I143" s="2">
        <v>45.25</v>
      </c>
      <c r="J143" s="2">
        <v>950.25</v>
      </c>
      <c r="K143" s="5">
        <v>43490</v>
      </c>
      <c r="L143" s="4">
        <v>0.57499999999999996</v>
      </c>
      <c r="M143" s="3" t="s">
        <v>49</v>
      </c>
      <c r="N143" s="2">
        <v>905</v>
      </c>
      <c r="O143" s="2">
        <v>4.7619047620000003</v>
      </c>
      <c r="P143" s="2">
        <v>45.25</v>
      </c>
      <c r="Q143" s="2">
        <v>8.1</v>
      </c>
      <c r="R143" s="3"/>
      <c r="S143" s="1"/>
      <c r="T143" s="1"/>
      <c r="U143" s="1" t="s">
        <v>37</v>
      </c>
      <c r="V143" s="1" t="s">
        <v>37</v>
      </c>
      <c r="W143" s="1" t="s">
        <v>37</v>
      </c>
    </row>
    <row r="144" spans="1:23">
      <c r="A144" s="3" t="s">
        <v>998</v>
      </c>
      <c r="B144" s="3" t="s">
        <v>39</v>
      </c>
      <c r="C144" s="3" t="s">
        <v>40</v>
      </c>
      <c r="D144" s="3" t="s">
        <v>24</v>
      </c>
      <c r="E144" s="3" t="s">
        <v>25</v>
      </c>
      <c r="F144" s="3" t="s">
        <v>26</v>
      </c>
      <c r="G144" s="2">
        <v>68.599999999999994</v>
      </c>
      <c r="H144" s="2">
        <v>10</v>
      </c>
      <c r="I144" s="2">
        <v>34.299999999999997</v>
      </c>
      <c r="J144" s="2">
        <v>720.3</v>
      </c>
      <c r="K144" s="5">
        <v>43501</v>
      </c>
      <c r="L144" s="4">
        <v>0.83125000000000004</v>
      </c>
      <c r="M144" s="3" t="s">
        <v>49</v>
      </c>
      <c r="N144" s="2">
        <v>686</v>
      </c>
      <c r="O144" s="2">
        <v>4.7619047620000003</v>
      </c>
      <c r="P144" s="2">
        <v>34.299999999999997</v>
      </c>
      <c r="Q144" s="2">
        <v>9.1</v>
      </c>
      <c r="R144" s="3"/>
      <c r="S144" s="1"/>
      <c r="T144" s="1"/>
      <c r="U144" s="1" t="s">
        <v>37</v>
      </c>
      <c r="V144" s="1" t="s">
        <v>37</v>
      </c>
      <c r="W144" s="1" t="s">
        <v>37</v>
      </c>
    </row>
    <row r="145" spans="1:23">
      <c r="A145" s="3" t="s">
        <v>1004</v>
      </c>
      <c r="B145" s="3" t="s">
        <v>39</v>
      </c>
      <c r="C145" s="3" t="s">
        <v>40</v>
      </c>
      <c r="D145" s="3" t="s">
        <v>24</v>
      </c>
      <c r="E145" s="3" t="s">
        <v>25</v>
      </c>
      <c r="F145" s="3" t="s">
        <v>117</v>
      </c>
      <c r="G145" s="2">
        <v>30.41</v>
      </c>
      <c r="H145" s="2">
        <v>1</v>
      </c>
      <c r="I145" s="2">
        <v>1.5205</v>
      </c>
      <c r="J145" s="2">
        <v>31.930499999999999</v>
      </c>
      <c r="K145" s="5">
        <v>43518</v>
      </c>
      <c r="L145" s="4">
        <v>0.44166666666666665</v>
      </c>
      <c r="M145" s="3" t="s">
        <v>59</v>
      </c>
      <c r="N145" s="2">
        <v>30.41</v>
      </c>
      <c r="O145" s="2">
        <v>4.7619047620000003</v>
      </c>
      <c r="P145" s="2">
        <v>1.5205</v>
      </c>
      <c r="Q145" s="2">
        <v>8.4</v>
      </c>
      <c r="R145" s="3"/>
      <c r="S145" s="1"/>
      <c r="T145" s="1"/>
      <c r="U145" s="1" t="s">
        <v>37</v>
      </c>
      <c r="V145" s="1" t="s">
        <v>37</v>
      </c>
      <c r="W145" s="1" t="s">
        <v>37</v>
      </c>
    </row>
    <row r="146" spans="1:23">
      <c r="A146" s="3" t="s">
        <v>1010</v>
      </c>
      <c r="B146" s="3" t="s">
        <v>22</v>
      </c>
      <c r="C146" s="3" t="s">
        <v>23</v>
      </c>
      <c r="D146" s="3" t="s">
        <v>41</v>
      </c>
      <c r="E146" s="3" t="s">
        <v>25</v>
      </c>
      <c r="F146" s="3" t="s">
        <v>53</v>
      </c>
      <c r="G146" s="2">
        <v>77.95</v>
      </c>
      <c r="H146" s="2">
        <v>6</v>
      </c>
      <c r="I146" s="2">
        <v>23.385000000000002</v>
      </c>
      <c r="J146" s="2">
        <v>491.08499999999998</v>
      </c>
      <c r="K146" s="5">
        <v>43486</v>
      </c>
      <c r="L146" s="4">
        <v>0.69236111111111109</v>
      </c>
      <c r="M146" s="3" t="s">
        <v>33</v>
      </c>
      <c r="N146" s="2">
        <v>467.7</v>
      </c>
      <c r="O146" s="2">
        <v>4.7619047620000003</v>
      </c>
      <c r="P146" s="2">
        <v>23.385000000000002</v>
      </c>
      <c r="Q146" s="2">
        <v>8</v>
      </c>
      <c r="R146" s="3"/>
      <c r="S146" s="1"/>
      <c r="T146" s="1"/>
      <c r="U146" s="1" t="s">
        <v>37</v>
      </c>
      <c r="V146" s="1" t="s">
        <v>37</v>
      </c>
      <c r="W146" s="1" t="s">
        <v>37</v>
      </c>
    </row>
    <row r="147" spans="1:23">
      <c r="A147" s="3" t="s">
        <v>1016</v>
      </c>
      <c r="B147" s="3" t="s">
        <v>39</v>
      </c>
      <c r="C147" s="3" t="s">
        <v>40</v>
      </c>
      <c r="D147" s="3" t="s">
        <v>41</v>
      </c>
      <c r="E147" s="3" t="s">
        <v>25</v>
      </c>
      <c r="F147" s="3" t="s">
        <v>26</v>
      </c>
      <c r="G147" s="2">
        <v>46.26</v>
      </c>
      <c r="H147" s="2">
        <v>6</v>
      </c>
      <c r="I147" s="2">
        <v>13.878</v>
      </c>
      <c r="J147" s="2">
        <v>291.43799999999999</v>
      </c>
      <c r="K147" s="5">
        <v>43532</v>
      </c>
      <c r="L147" s="4">
        <v>0.71597222222222223</v>
      </c>
      <c r="M147" s="3" t="s">
        <v>59</v>
      </c>
      <c r="N147" s="2">
        <v>277.56</v>
      </c>
      <c r="O147" s="2">
        <v>4.7619047620000003</v>
      </c>
      <c r="P147" s="2">
        <v>13.878</v>
      </c>
      <c r="Q147" s="2">
        <v>9.5</v>
      </c>
      <c r="R147" s="3"/>
      <c r="S147" s="1"/>
      <c r="T147" s="1"/>
      <c r="U147" s="1" t="s">
        <v>37</v>
      </c>
      <c r="V147" s="1" t="s">
        <v>37</v>
      </c>
      <c r="W147" s="1" t="s">
        <v>37</v>
      </c>
    </row>
    <row r="148" spans="1:23">
      <c r="A148" s="3" t="s">
        <v>1022</v>
      </c>
      <c r="B148" s="3" t="s">
        <v>22</v>
      </c>
      <c r="C148" s="3" t="s">
        <v>23</v>
      </c>
      <c r="D148" s="3" t="s">
        <v>24</v>
      </c>
      <c r="E148" s="3" t="s">
        <v>25</v>
      </c>
      <c r="F148" s="3" t="s">
        <v>127</v>
      </c>
      <c r="G148" s="2">
        <v>30.14</v>
      </c>
      <c r="H148" s="2">
        <v>10</v>
      </c>
      <c r="I148" s="2">
        <v>15.07</v>
      </c>
      <c r="J148" s="2">
        <v>316.47000000000003</v>
      </c>
      <c r="K148" s="5">
        <v>43506</v>
      </c>
      <c r="L148" s="4">
        <v>0.51944444444444449</v>
      </c>
      <c r="M148" s="3" t="s">
        <v>33</v>
      </c>
      <c r="N148" s="2">
        <v>301.39999999999998</v>
      </c>
      <c r="O148" s="2">
        <v>4.7619047620000003</v>
      </c>
      <c r="P148" s="2">
        <v>15.07</v>
      </c>
      <c r="Q148" s="2">
        <v>9.1999999999999993</v>
      </c>
      <c r="R148" s="3"/>
      <c r="S148" s="1"/>
      <c r="T148" s="1"/>
      <c r="U148" s="1" t="s">
        <v>37</v>
      </c>
      <c r="V148" s="1" t="s">
        <v>37</v>
      </c>
      <c r="W148" s="1" t="s">
        <v>37</v>
      </c>
    </row>
    <row r="149" spans="1:23">
      <c r="A149" s="3" t="s">
        <v>1027</v>
      </c>
      <c r="B149" s="3" t="s">
        <v>39</v>
      </c>
      <c r="C149" s="3" t="s">
        <v>40</v>
      </c>
      <c r="D149" s="3" t="s">
        <v>41</v>
      </c>
      <c r="E149" s="3" t="s">
        <v>992</v>
      </c>
      <c r="F149" s="3" t="s">
        <v>26</v>
      </c>
      <c r="G149" s="2">
        <v>66.14</v>
      </c>
      <c r="H149" s="2">
        <v>4</v>
      </c>
      <c r="I149" s="2">
        <v>13.228</v>
      </c>
      <c r="J149" s="2">
        <v>277.78800000000001</v>
      </c>
      <c r="K149" s="5">
        <v>43543</v>
      </c>
      <c r="L149" s="4">
        <v>0.53194444444444444</v>
      </c>
      <c r="M149" s="3" t="s">
        <v>59</v>
      </c>
      <c r="N149" s="2">
        <v>264.56</v>
      </c>
      <c r="O149" s="2">
        <v>4.7619047620000003</v>
      </c>
      <c r="P149" s="2">
        <v>13.228</v>
      </c>
      <c r="Q149" s="2">
        <v>5.6</v>
      </c>
      <c r="R149" s="3"/>
      <c r="S149" s="1"/>
      <c r="T149" s="1"/>
      <c r="U149" s="1" t="s">
        <v>37</v>
      </c>
      <c r="V149" s="1" t="s">
        <v>37</v>
      </c>
      <c r="W149" s="1" t="s">
        <v>37</v>
      </c>
    </row>
    <row r="150" spans="1:23">
      <c r="A150" s="3" t="s">
        <v>1032</v>
      </c>
      <c r="B150" s="3" t="s">
        <v>115</v>
      </c>
      <c r="C150" s="3" t="s">
        <v>116</v>
      </c>
      <c r="D150" s="3" t="s">
        <v>24</v>
      </c>
      <c r="E150" s="3" t="s">
        <v>992</v>
      </c>
      <c r="F150" s="3" t="s">
        <v>53</v>
      </c>
      <c r="G150" s="2">
        <v>71.86</v>
      </c>
      <c r="H150" s="2">
        <v>8</v>
      </c>
      <c r="I150" s="2">
        <v>28.744</v>
      </c>
      <c r="J150" s="2">
        <v>603.62400000000002</v>
      </c>
      <c r="K150" s="5">
        <v>43530</v>
      </c>
      <c r="L150" s="4">
        <v>0.62986111111111109</v>
      </c>
      <c r="M150" s="3" t="s">
        <v>59</v>
      </c>
      <c r="N150" s="2">
        <v>574.88</v>
      </c>
      <c r="O150" s="2">
        <v>4.7619047620000003</v>
      </c>
      <c r="P150" s="2">
        <v>28.744</v>
      </c>
      <c r="Q150" s="2">
        <v>6.2</v>
      </c>
      <c r="R150" s="3"/>
      <c r="S150" s="1"/>
      <c r="T150" s="1"/>
      <c r="U150" s="1" t="s">
        <v>37</v>
      </c>
      <c r="V150" s="1" t="s">
        <v>37</v>
      </c>
      <c r="W150" s="1" t="s">
        <v>37</v>
      </c>
    </row>
    <row r="151" spans="1:23">
      <c r="A151" s="3" t="s">
        <v>1038</v>
      </c>
      <c r="B151" s="3" t="s">
        <v>22</v>
      </c>
      <c r="C151" s="3" t="s">
        <v>23</v>
      </c>
      <c r="D151" s="3" t="s">
        <v>41</v>
      </c>
      <c r="E151" s="3" t="s">
        <v>992</v>
      </c>
      <c r="F151" s="3" t="s">
        <v>26</v>
      </c>
      <c r="G151" s="2">
        <v>32.46</v>
      </c>
      <c r="H151" s="2">
        <v>8</v>
      </c>
      <c r="I151" s="2">
        <v>12.984</v>
      </c>
      <c r="J151" s="2">
        <v>272.66399999999999</v>
      </c>
      <c r="K151" s="5">
        <v>43551</v>
      </c>
      <c r="L151" s="4">
        <v>0.57499999999999996</v>
      </c>
      <c r="M151" s="3" t="s">
        <v>59</v>
      </c>
      <c r="N151" s="2">
        <v>259.68</v>
      </c>
      <c r="O151" s="2">
        <v>4.7619047620000003</v>
      </c>
      <c r="P151" s="2">
        <v>12.984</v>
      </c>
      <c r="Q151" s="2">
        <v>4.9000000000000004</v>
      </c>
      <c r="R151" s="3"/>
      <c r="S151" s="1"/>
      <c r="T151" s="1"/>
      <c r="U151" s="1" t="s">
        <v>37</v>
      </c>
      <c r="V151" s="1" t="s">
        <v>37</v>
      </c>
      <c r="W151" s="1" t="s">
        <v>37</v>
      </c>
    </row>
    <row r="152" spans="1:23">
      <c r="A152" s="3" t="s">
        <v>1043</v>
      </c>
      <c r="B152" s="3" t="s">
        <v>115</v>
      </c>
      <c r="C152" s="3" t="s">
        <v>116</v>
      </c>
      <c r="D152" s="3" t="s">
        <v>24</v>
      </c>
      <c r="E152" s="3" t="s">
        <v>25</v>
      </c>
      <c r="F152" s="3" t="s">
        <v>127</v>
      </c>
      <c r="G152" s="2">
        <v>91.54</v>
      </c>
      <c r="H152" s="2">
        <v>4</v>
      </c>
      <c r="I152" s="2">
        <v>18.308</v>
      </c>
      <c r="J152" s="2">
        <v>384.46800000000002</v>
      </c>
      <c r="K152" s="5">
        <v>43547</v>
      </c>
      <c r="L152" s="4">
        <v>0.80555555555555558</v>
      </c>
      <c r="M152" s="3" t="s">
        <v>59</v>
      </c>
      <c r="N152" s="2">
        <v>366.16</v>
      </c>
      <c r="O152" s="2">
        <v>4.7619047620000003</v>
      </c>
      <c r="P152" s="2">
        <v>18.308</v>
      </c>
      <c r="Q152" s="2">
        <v>4.8</v>
      </c>
      <c r="R152" s="3"/>
      <c r="S152" s="1"/>
      <c r="T152" s="1"/>
      <c r="U152" s="1" t="s">
        <v>37</v>
      </c>
      <c r="V152" s="1" t="s">
        <v>37</v>
      </c>
      <c r="W152" s="1" t="s">
        <v>37</v>
      </c>
    </row>
    <row r="153" spans="1:23">
      <c r="A153" s="3" t="s">
        <v>1048</v>
      </c>
      <c r="B153" s="3" t="s">
        <v>39</v>
      </c>
      <c r="C153" s="3" t="s">
        <v>40</v>
      </c>
      <c r="D153" s="3" t="s">
        <v>24</v>
      </c>
      <c r="E153" s="3" t="s">
        <v>992</v>
      </c>
      <c r="F153" s="3" t="s">
        <v>72</v>
      </c>
      <c r="G153" s="2">
        <v>34.56</v>
      </c>
      <c r="H153" s="2">
        <v>7</v>
      </c>
      <c r="I153" s="2">
        <v>12.096</v>
      </c>
      <c r="J153" s="2">
        <v>254.01599999999999</v>
      </c>
      <c r="K153" s="5">
        <v>43535</v>
      </c>
      <c r="L153" s="4">
        <v>0.67152777777777772</v>
      </c>
      <c r="M153" s="3" t="s">
        <v>59</v>
      </c>
      <c r="N153" s="2">
        <v>241.92</v>
      </c>
      <c r="O153" s="2">
        <v>4.7619047620000003</v>
      </c>
      <c r="P153" s="2">
        <v>12.096</v>
      </c>
      <c r="Q153" s="2">
        <v>7.3</v>
      </c>
      <c r="R153" s="3"/>
      <c r="S153" s="1"/>
      <c r="T153" s="1"/>
      <c r="U153" s="1" t="s">
        <v>37</v>
      </c>
      <c r="V153" s="1" t="s">
        <v>37</v>
      </c>
      <c r="W153" s="1" t="s">
        <v>37</v>
      </c>
    </row>
    <row r="154" spans="1:23">
      <c r="A154" s="3" t="s">
        <v>1053</v>
      </c>
      <c r="B154" s="3" t="s">
        <v>22</v>
      </c>
      <c r="C154" s="3" t="s">
        <v>23</v>
      </c>
      <c r="D154" s="3" t="s">
        <v>41</v>
      </c>
      <c r="E154" s="3" t="s">
        <v>992</v>
      </c>
      <c r="F154" s="3" t="s">
        <v>127</v>
      </c>
      <c r="G154" s="2">
        <v>83.24</v>
      </c>
      <c r="H154" s="2">
        <v>9</v>
      </c>
      <c r="I154" s="2">
        <v>37.457999999999998</v>
      </c>
      <c r="J154" s="2">
        <v>786.61800000000005</v>
      </c>
      <c r="K154" s="5">
        <v>43494</v>
      </c>
      <c r="L154" s="4">
        <v>0.49722222222222223</v>
      </c>
      <c r="M154" s="3" t="s">
        <v>59</v>
      </c>
      <c r="N154" s="2">
        <v>749.16</v>
      </c>
      <c r="O154" s="2">
        <v>4.7619047620000003</v>
      </c>
      <c r="P154" s="2">
        <v>37.457999999999998</v>
      </c>
      <c r="Q154" s="2">
        <v>7.4</v>
      </c>
      <c r="R154" s="3"/>
      <c r="S154" s="1"/>
      <c r="T154" s="1"/>
      <c r="U154" s="1" t="s">
        <v>37</v>
      </c>
      <c r="V154" s="1" t="s">
        <v>37</v>
      </c>
      <c r="W154" s="1" t="s">
        <v>37</v>
      </c>
    </row>
    <row r="155" spans="1:23">
      <c r="A155" s="3" t="s">
        <v>1060</v>
      </c>
      <c r="B155" s="3" t="s">
        <v>39</v>
      </c>
      <c r="C155" s="3" t="s">
        <v>40</v>
      </c>
      <c r="D155" s="3" t="s">
        <v>41</v>
      </c>
      <c r="E155" s="3" t="s">
        <v>25</v>
      </c>
      <c r="F155" s="3" t="s">
        <v>117</v>
      </c>
      <c r="G155" s="2">
        <v>16.48</v>
      </c>
      <c r="H155" s="2">
        <v>6</v>
      </c>
      <c r="I155" s="2">
        <v>4.944</v>
      </c>
      <c r="J155" s="2">
        <v>103.824</v>
      </c>
      <c r="K155" s="5">
        <v>43503</v>
      </c>
      <c r="L155" s="4">
        <v>0.76597222222222228</v>
      </c>
      <c r="M155" s="3" t="s">
        <v>33</v>
      </c>
      <c r="N155" s="2">
        <v>98.88</v>
      </c>
      <c r="O155" s="2">
        <v>4.7619047620000003</v>
      </c>
      <c r="P155" s="2">
        <v>4.944</v>
      </c>
      <c r="Q155" s="2">
        <v>9.9</v>
      </c>
      <c r="R155" s="3"/>
      <c r="S155" s="1"/>
      <c r="T155" s="1"/>
      <c r="U155" s="1" t="s">
        <v>37</v>
      </c>
      <c r="V155" s="1" t="s">
        <v>37</v>
      </c>
      <c r="W155" s="1" t="s">
        <v>37</v>
      </c>
    </row>
    <row r="156" spans="1:23">
      <c r="A156" s="3" t="s">
        <v>1066</v>
      </c>
      <c r="B156" s="3" t="s">
        <v>39</v>
      </c>
      <c r="C156" s="3" t="s">
        <v>40</v>
      </c>
      <c r="D156" s="3" t="s">
        <v>41</v>
      </c>
      <c r="E156" s="3" t="s">
        <v>25</v>
      </c>
      <c r="F156" s="3" t="s">
        <v>72</v>
      </c>
      <c r="G156" s="2">
        <v>80.97</v>
      </c>
      <c r="H156" s="2">
        <v>8</v>
      </c>
      <c r="I156" s="2">
        <v>32.387999999999998</v>
      </c>
      <c r="J156" s="2">
        <v>680.14800000000002</v>
      </c>
      <c r="K156" s="5">
        <v>43493</v>
      </c>
      <c r="L156" s="4">
        <v>0.54513888888888884</v>
      </c>
      <c r="M156" s="3" t="s">
        <v>49</v>
      </c>
      <c r="N156" s="2">
        <v>647.76</v>
      </c>
      <c r="O156" s="2">
        <v>4.7619047620000003</v>
      </c>
      <c r="P156" s="2">
        <v>32.387999999999998</v>
      </c>
      <c r="Q156" s="2">
        <v>9.3000000000000007</v>
      </c>
      <c r="R156" s="3"/>
      <c r="S156" s="1"/>
      <c r="T156" s="1"/>
      <c r="U156" s="1" t="s">
        <v>37</v>
      </c>
      <c r="V156" s="1" t="s">
        <v>37</v>
      </c>
      <c r="W156" s="1" t="s">
        <v>37</v>
      </c>
    </row>
    <row r="157" spans="1:23">
      <c r="A157" s="3" t="s">
        <v>1072</v>
      </c>
      <c r="B157" s="3" t="s">
        <v>22</v>
      </c>
      <c r="C157" s="3" t="s">
        <v>23</v>
      </c>
      <c r="D157" s="3" t="s">
        <v>24</v>
      </c>
      <c r="E157" s="3" t="s">
        <v>992</v>
      </c>
      <c r="F157" s="3" t="s">
        <v>117</v>
      </c>
      <c r="G157" s="2">
        <v>92.29</v>
      </c>
      <c r="H157" s="2">
        <v>5</v>
      </c>
      <c r="I157" s="2">
        <v>23.072500000000002</v>
      </c>
      <c r="J157" s="2">
        <v>484.52249999999998</v>
      </c>
      <c r="K157" s="5">
        <v>43516</v>
      </c>
      <c r="L157" s="4">
        <v>0.66319444444444442</v>
      </c>
      <c r="M157" s="3" t="s">
        <v>59</v>
      </c>
      <c r="N157" s="2">
        <v>461.45</v>
      </c>
      <c r="O157" s="2">
        <v>4.7619047620000003</v>
      </c>
      <c r="P157" s="2">
        <v>23.072500000000002</v>
      </c>
      <c r="Q157" s="2">
        <v>9</v>
      </c>
      <c r="R157" s="3"/>
      <c r="S157" s="1"/>
      <c r="T157" s="1"/>
      <c r="U157" s="1" t="s">
        <v>37</v>
      </c>
      <c r="V157" s="1" t="s">
        <v>37</v>
      </c>
      <c r="W157" s="1" t="s">
        <v>37</v>
      </c>
    </row>
    <row r="158" spans="1:23">
      <c r="A158" s="3" t="s">
        <v>1077</v>
      </c>
      <c r="B158" s="3" t="s">
        <v>115</v>
      </c>
      <c r="C158" s="3" t="s">
        <v>116</v>
      </c>
      <c r="D158" s="3" t="s">
        <v>24</v>
      </c>
      <c r="E158" s="3" t="s">
        <v>992</v>
      </c>
      <c r="F158" s="3" t="s">
        <v>42</v>
      </c>
      <c r="G158" s="2">
        <v>72.17</v>
      </c>
      <c r="H158" s="2">
        <v>1</v>
      </c>
      <c r="I158" s="2">
        <v>3.6084999999999998</v>
      </c>
      <c r="J158" s="2">
        <v>75.778499999999994</v>
      </c>
      <c r="K158" s="5">
        <v>43469</v>
      </c>
      <c r="L158" s="4">
        <v>0.81944444444444442</v>
      </c>
      <c r="M158" s="3" t="s">
        <v>49</v>
      </c>
      <c r="N158" s="2">
        <v>72.17</v>
      </c>
      <c r="O158" s="2">
        <v>4.7619047620000003</v>
      </c>
      <c r="P158" s="2">
        <v>3.6084999999999998</v>
      </c>
      <c r="Q158" s="2">
        <v>6.1</v>
      </c>
      <c r="R158" s="3"/>
      <c r="S158" s="1"/>
      <c r="T158" s="1"/>
      <c r="U158" s="1" t="s">
        <v>37</v>
      </c>
      <c r="V158" s="1" t="s">
        <v>37</v>
      </c>
      <c r="W158" s="1" t="s">
        <v>37</v>
      </c>
    </row>
    <row r="159" spans="1:23">
      <c r="A159" s="3" t="s">
        <v>1083</v>
      </c>
      <c r="B159" s="3" t="s">
        <v>115</v>
      </c>
      <c r="C159" s="3" t="s">
        <v>116</v>
      </c>
      <c r="D159" s="3" t="s">
        <v>41</v>
      </c>
      <c r="E159" s="3" t="s">
        <v>992</v>
      </c>
      <c r="F159" s="3" t="s">
        <v>53</v>
      </c>
      <c r="G159" s="2">
        <v>50.28</v>
      </c>
      <c r="H159" s="2">
        <v>5</v>
      </c>
      <c r="I159" s="2">
        <v>12.57</v>
      </c>
      <c r="J159" s="2">
        <v>263.97000000000003</v>
      </c>
      <c r="K159" s="5">
        <v>43531</v>
      </c>
      <c r="L159" s="4">
        <v>0.58194444444444449</v>
      </c>
      <c r="M159" s="3" t="s">
        <v>33</v>
      </c>
      <c r="N159" s="2">
        <v>251.4</v>
      </c>
      <c r="O159" s="2">
        <v>4.7619047620000003</v>
      </c>
      <c r="P159" s="2">
        <v>12.57</v>
      </c>
      <c r="Q159" s="2">
        <v>9.6999999999999993</v>
      </c>
      <c r="R159" s="3"/>
      <c r="S159" s="1"/>
      <c r="T159" s="1"/>
      <c r="U159" s="1" t="s">
        <v>37</v>
      </c>
      <c r="V159" s="1" t="s">
        <v>37</v>
      </c>
      <c r="W159" s="1" t="s">
        <v>37</v>
      </c>
    </row>
    <row r="160" spans="1:23">
      <c r="A160" s="3" t="s">
        <v>1090</v>
      </c>
      <c r="B160" s="3" t="s">
        <v>115</v>
      </c>
      <c r="C160" s="3" t="s">
        <v>116</v>
      </c>
      <c r="D160" s="3" t="s">
        <v>24</v>
      </c>
      <c r="E160" s="3" t="s">
        <v>992</v>
      </c>
      <c r="F160" s="3" t="s">
        <v>26</v>
      </c>
      <c r="G160" s="2">
        <v>97.22</v>
      </c>
      <c r="H160" s="2">
        <v>9</v>
      </c>
      <c r="I160" s="2">
        <v>43.749000000000002</v>
      </c>
      <c r="J160" s="2">
        <v>918.72900000000004</v>
      </c>
      <c r="K160" s="5">
        <v>43554</v>
      </c>
      <c r="L160" s="4">
        <v>0.61319444444444449</v>
      </c>
      <c r="M160" s="3" t="s">
        <v>33</v>
      </c>
      <c r="N160" s="2">
        <v>874.98</v>
      </c>
      <c r="O160" s="2">
        <v>4.7619047620000003</v>
      </c>
      <c r="P160" s="2">
        <v>43.749000000000002</v>
      </c>
      <c r="Q160" s="2">
        <v>6</v>
      </c>
      <c r="R160" s="3"/>
      <c r="S160" s="1"/>
      <c r="T160" s="1"/>
      <c r="U160" s="1" t="s">
        <v>37</v>
      </c>
      <c r="V160" s="1" t="s">
        <v>37</v>
      </c>
      <c r="W160" s="1" t="s">
        <v>37</v>
      </c>
    </row>
    <row r="161" spans="1:23">
      <c r="A161" s="3" t="s">
        <v>1097</v>
      </c>
      <c r="B161" s="3" t="s">
        <v>115</v>
      </c>
      <c r="C161" s="3" t="s">
        <v>116</v>
      </c>
      <c r="D161" s="3" t="s">
        <v>41</v>
      </c>
      <c r="E161" s="3" t="s">
        <v>992</v>
      </c>
      <c r="F161" s="3" t="s">
        <v>72</v>
      </c>
      <c r="G161" s="2">
        <v>93.39</v>
      </c>
      <c r="H161" s="2">
        <v>6</v>
      </c>
      <c r="I161" s="2">
        <v>28.016999999999999</v>
      </c>
      <c r="J161" s="2">
        <v>588.35699999999997</v>
      </c>
      <c r="K161" s="5">
        <v>43551</v>
      </c>
      <c r="L161" s="4">
        <v>0.8041666666666667</v>
      </c>
      <c r="M161" s="3" t="s">
        <v>33</v>
      </c>
      <c r="N161" s="2">
        <v>560.34</v>
      </c>
      <c r="O161" s="2">
        <v>4.7619047620000003</v>
      </c>
      <c r="P161" s="2">
        <v>28.016999999999999</v>
      </c>
      <c r="Q161" s="2">
        <v>10</v>
      </c>
      <c r="R161" s="3"/>
      <c r="S161" s="1"/>
      <c r="T161" s="1"/>
      <c r="U161" s="1" t="s">
        <v>37</v>
      </c>
      <c r="V161" s="1" t="s">
        <v>37</v>
      </c>
      <c r="W161" s="1" t="s">
        <v>37</v>
      </c>
    </row>
    <row r="162" spans="1:23">
      <c r="A162" s="3" t="s">
        <v>1103</v>
      </c>
      <c r="B162" s="3" t="s">
        <v>39</v>
      </c>
      <c r="C162" s="3" t="s">
        <v>40</v>
      </c>
      <c r="D162" s="3" t="s">
        <v>41</v>
      </c>
      <c r="E162" s="3" t="s">
        <v>25</v>
      </c>
      <c r="F162" s="3" t="s">
        <v>117</v>
      </c>
      <c r="G162" s="2">
        <v>43.18</v>
      </c>
      <c r="H162" s="2">
        <v>8</v>
      </c>
      <c r="I162" s="2">
        <v>17.271999999999998</v>
      </c>
      <c r="J162" s="2">
        <v>362.71199999999999</v>
      </c>
      <c r="K162" s="5">
        <v>43484</v>
      </c>
      <c r="L162" s="4">
        <v>0.81874999999999998</v>
      </c>
      <c r="M162" s="3" t="s">
        <v>59</v>
      </c>
      <c r="N162" s="2">
        <v>345.44</v>
      </c>
      <c r="O162" s="2">
        <v>4.7619047620000003</v>
      </c>
      <c r="P162" s="2">
        <v>17.271999999999998</v>
      </c>
      <c r="Q162" s="2">
        <v>8.3000000000000007</v>
      </c>
      <c r="R162" s="3"/>
      <c r="S162" s="1"/>
      <c r="T162" s="1"/>
      <c r="U162" s="1" t="s">
        <v>37</v>
      </c>
      <c r="V162" s="1" t="s">
        <v>37</v>
      </c>
      <c r="W162" s="1" t="s">
        <v>37</v>
      </c>
    </row>
    <row r="163" spans="1:23">
      <c r="A163" s="3" t="s">
        <v>1108</v>
      </c>
      <c r="B163" s="3" t="s">
        <v>22</v>
      </c>
      <c r="C163" s="3" t="s">
        <v>23</v>
      </c>
      <c r="D163" s="3" t="s">
        <v>41</v>
      </c>
      <c r="E163" s="3" t="s">
        <v>992</v>
      </c>
      <c r="F163" s="3" t="s">
        <v>72</v>
      </c>
      <c r="G163" s="2">
        <v>63.69</v>
      </c>
      <c r="H163" s="2">
        <v>1</v>
      </c>
      <c r="I163" s="2">
        <v>3.1844999999999999</v>
      </c>
      <c r="J163" s="2">
        <v>66.874499999999998</v>
      </c>
      <c r="K163" s="5">
        <v>43521</v>
      </c>
      <c r="L163" s="4">
        <v>0.68125000000000002</v>
      </c>
      <c r="M163" s="3" t="s">
        <v>49</v>
      </c>
      <c r="N163" s="2">
        <v>63.69</v>
      </c>
      <c r="O163" s="2">
        <v>4.7619047620000003</v>
      </c>
      <c r="P163" s="2">
        <v>3.1844999999999999</v>
      </c>
      <c r="Q163" s="2">
        <v>6</v>
      </c>
      <c r="R163" s="3"/>
      <c r="S163" s="1"/>
      <c r="T163" s="1"/>
      <c r="U163" s="1" t="s">
        <v>37</v>
      </c>
      <c r="V163" s="1" t="s">
        <v>37</v>
      </c>
      <c r="W163" s="1" t="s">
        <v>37</v>
      </c>
    </row>
    <row r="164" spans="1:23">
      <c r="A164" s="3" t="s">
        <v>1113</v>
      </c>
      <c r="B164" s="3" t="s">
        <v>22</v>
      </c>
      <c r="C164" s="3" t="s">
        <v>23</v>
      </c>
      <c r="D164" s="3" t="s">
        <v>41</v>
      </c>
      <c r="E164" s="3" t="s">
        <v>992</v>
      </c>
      <c r="F164" s="3" t="s">
        <v>117</v>
      </c>
      <c r="G164" s="2">
        <v>45.79</v>
      </c>
      <c r="H164" s="2">
        <v>7</v>
      </c>
      <c r="I164" s="2">
        <v>16.026499999999999</v>
      </c>
      <c r="J164" s="2">
        <v>336.55650000000003</v>
      </c>
      <c r="K164" s="5">
        <v>43537</v>
      </c>
      <c r="L164" s="4">
        <v>0.82222222222222219</v>
      </c>
      <c r="M164" s="3" t="s">
        <v>59</v>
      </c>
      <c r="N164" s="2">
        <v>320.52999999999997</v>
      </c>
      <c r="O164" s="2">
        <v>4.7619047620000003</v>
      </c>
      <c r="P164" s="2">
        <v>16.026499999999999</v>
      </c>
      <c r="Q164" s="2">
        <v>7</v>
      </c>
      <c r="R164" s="3"/>
      <c r="S164" s="1"/>
      <c r="T164" s="1"/>
      <c r="U164" s="1" t="s">
        <v>37</v>
      </c>
      <c r="V164" s="1" t="s">
        <v>37</v>
      </c>
      <c r="W164" s="1" t="s">
        <v>37</v>
      </c>
    </row>
    <row r="165" spans="1:23">
      <c r="A165" s="3" t="s">
        <v>1119</v>
      </c>
      <c r="B165" s="3" t="s">
        <v>39</v>
      </c>
      <c r="C165" s="3" t="s">
        <v>40</v>
      </c>
      <c r="D165" s="3" t="s">
        <v>41</v>
      </c>
      <c r="E165" s="3" t="s">
        <v>992</v>
      </c>
      <c r="F165" s="3" t="s">
        <v>72</v>
      </c>
      <c r="G165" s="2">
        <v>76.400000000000006</v>
      </c>
      <c r="H165" s="2">
        <v>2</v>
      </c>
      <c r="I165" s="2">
        <v>7.64</v>
      </c>
      <c r="J165" s="2">
        <v>160.44</v>
      </c>
      <c r="K165" s="5">
        <v>43495</v>
      </c>
      <c r="L165" s="4">
        <v>0.8208333333333333</v>
      </c>
      <c r="M165" s="3" t="s">
        <v>33</v>
      </c>
      <c r="N165" s="2">
        <v>152.80000000000001</v>
      </c>
      <c r="O165" s="2">
        <v>4.7619047620000003</v>
      </c>
      <c r="P165" s="2">
        <v>7.64</v>
      </c>
      <c r="Q165" s="2">
        <v>6.5</v>
      </c>
      <c r="R165" s="3"/>
      <c r="S165" s="1"/>
      <c r="T165" s="1"/>
      <c r="U165" s="1" t="s">
        <v>37</v>
      </c>
      <c r="V165" s="1" t="s">
        <v>37</v>
      </c>
      <c r="W165" s="1" t="s">
        <v>37</v>
      </c>
    </row>
    <row r="166" spans="1:23">
      <c r="A166" s="3" t="s">
        <v>1125</v>
      </c>
      <c r="B166" s="3" t="s">
        <v>115</v>
      </c>
      <c r="C166" s="3" t="s">
        <v>116</v>
      </c>
      <c r="D166" s="3" t="s">
        <v>41</v>
      </c>
      <c r="E166" s="3" t="s">
        <v>992</v>
      </c>
      <c r="F166" s="3" t="s">
        <v>117</v>
      </c>
      <c r="G166" s="2">
        <v>39.9</v>
      </c>
      <c r="H166" s="2">
        <v>10</v>
      </c>
      <c r="I166" s="2">
        <v>19.95</v>
      </c>
      <c r="J166" s="2">
        <v>418.95</v>
      </c>
      <c r="K166" s="5">
        <v>43516</v>
      </c>
      <c r="L166" s="4">
        <v>0.64166666666666672</v>
      </c>
      <c r="M166" s="3" t="s">
        <v>59</v>
      </c>
      <c r="N166" s="2">
        <v>399</v>
      </c>
      <c r="O166" s="2">
        <v>4.7619047620000003</v>
      </c>
      <c r="P166" s="2">
        <v>19.95</v>
      </c>
      <c r="Q166" s="2">
        <v>5.9</v>
      </c>
      <c r="R166" s="3"/>
      <c r="S166" s="1"/>
      <c r="T166" s="1"/>
      <c r="U166" s="1" t="s">
        <v>37</v>
      </c>
      <c r="V166" s="1" t="s">
        <v>37</v>
      </c>
      <c r="W166" s="1" t="s">
        <v>37</v>
      </c>
    </row>
    <row r="167" spans="1:23">
      <c r="A167" s="3" t="s">
        <v>1131</v>
      </c>
      <c r="B167" s="3" t="s">
        <v>115</v>
      </c>
      <c r="C167" s="3" t="s">
        <v>116</v>
      </c>
      <c r="D167" s="3" t="s">
        <v>24</v>
      </c>
      <c r="E167" s="3" t="s">
        <v>992</v>
      </c>
      <c r="F167" s="3" t="s">
        <v>26</v>
      </c>
      <c r="G167" s="2">
        <v>42.57</v>
      </c>
      <c r="H167" s="2">
        <v>8</v>
      </c>
      <c r="I167" s="2">
        <v>17.027999999999999</v>
      </c>
      <c r="J167" s="2">
        <v>357.58800000000002</v>
      </c>
      <c r="K167" s="5">
        <v>43521</v>
      </c>
      <c r="L167" s="4">
        <v>0.59166666666666667</v>
      </c>
      <c r="M167" s="3" t="s">
        <v>33</v>
      </c>
      <c r="N167" s="2">
        <v>340.56</v>
      </c>
      <c r="O167" s="2">
        <v>4.7619047620000003</v>
      </c>
      <c r="P167" s="2">
        <v>17.027999999999999</v>
      </c>
      <c r="Q167" s="2">
        <v>5.6</v>
      </c>
      <c r="R167" s="3"/>
      <c r="S167" s="1"/>
      <c r="T167" s="1"/>
      <c r="U167" s="1" t="s">
        <v>37</v>
      </c>
      <c r="V167" s="1" t="s">
        <v>37</v>
      </c>
      <c r="W167" s="1" t="s">
        <v>37</v>
      </c>
    </row>
    <row r="168" spans="1:23">
      <c r="A168" s="3" t="s">
        <v>1137</v>
      </c>
      <c r="B168" s="3" t="s">
        <v>39</v>
      </c>
      <c r="C168" s="3" t="s">
        <v>40</v>
      </c>
      <c r="D168" s="3" t="s">
        <v>41</v>
      </c>
      <c r="E168" s="3" t="s">
        <v>992</v>
      </c>
      <c r="F168" s="3" t="s">
        <v>53</v>
      </c>
      <c r="G168" s="2">
        <v>95.58</v>
      </c>
      <c r="H168" s="2">
        <v>10</v>
      </c>
      <c r="I168" s="2">
        <v>47.79</v>
      </c>
      <c r="J168" s="2">
        <v>1003.59</v>
      </c>
      <c r="K168" s="5">
        <v>43481</v>
      </c>
      <c r="L168" s="4">
        <v>0.56388888888888888</v>
      </c>
      <c r="M168" s="3" t="s">
        <v>49</v>
      </c>
      <c r="N168" s="2">
        <v>955.8</v>
      </c>
      <c r="O168" s="2">
        <v>4.7619047620000003</v>
      </c>
      <c r="P168" s="2">
        <v>47.79</v>
      </c>
      <c r="Q168" s="2">
        <v>4.8</v>
      </c>
      <c r="R168" s="3"/>
      <c r="S168" s="1"/>
      <c r="T168" s="1"/>
      <c r="U168" s="1" t="s">
        <v>37</v>
      </c>
      <c r="V168" s="1" t="s">
        <v>37</v>
      </c>
      <c r="W168" s="1" t="s">
        <v>37</v>
      </c>
    </row>
    <row r="169" spans="1:23">
      <c r="A169" s="3" t="s">
        <v>1143</v>
      </c>
      <c r="B169" s="3" t="s">
        <v>22</v>
      </c>
      <c r="C169" s="3" t="s">
        <v>23</v>
      </c>
      <c r="D169" s="3" t="s">
        <v>41</v>
      </c>
      <c r="E169" s="3" t="s">
        <v>992</v>
      </c>
      <c r="F169" s="3" t="s">
        <v>127</v>
      </c>
      <c r="G169" s="2">
        <v>98.98</v>
      </c>
      <c r="H169" s="2">
        <v>10</v>
      </c>
      <c r="I169" s="2">
        <v>49.49</v>
      </c>
      <c r="J169" s="2">
        <v>1039.29</v>
      </c>
      <c r="K169" s="5">
        <v>43504</v>
      </c>
      <c r="L169" s="4">
        <v>0.68055555555555558</v>
      </c>
      <c r="M169" s="3" t="s">
        <v>59</v>
      </c>
      <c r="N169" s="2">
        <v>989.8</v>
      </c>
      <c r="O169" s="2">
        <v>4.7619047620000003</v>
      </c>
      <c r="P169" s="2">
        <v>49.49</v>
      </c>
      <c r="Q169" s="2">
        <v>8.6999999999999993</v>
      </c>
      <c r="R169" s="3"/>
      <c r="S169" s="1"/>
      <c r="T169" s="1"/>
      <c r="U169" s="1" t="s">
        <v>37</v>
      </c>
      <c r="V169" s="1" t="s">
        <v>37</v>
      </c>
      <c r="W169" s="1" t="s">
        <v>37</v>
      </c>
    </row>
    <row r="170" spans="1:23">
      <c r="A170" s="3" t="s">
        <v>1149</v>
      </c>
      <c r="B170" s="3" t="s">
        <v>22</v>
      </c>
      <c r="C170" s="3" t="s">
        <v>23</v>
      </c>
      <c r="D170" s="3" t="s">
        <v>41</v>
      </c>
      <c r="E170" s="3" t="s">
        <v>992</v>
      </c>
      <c r="F170" s="3" t="s">
        <v>117</v>
      </c>
      <c r="G170" s="2">
        <v>51.28</v>
      </c>
      <c r="H170" s="2">
        <v>6</v>
      </c>
      <c r="I170" s="2">
        <v>15.384</v>
      </c>
      <c r="J170" s="2">
        <v>323.06400000000002</v>
      </c>
      <c r="K170" s="5">
        <v>43484</v>
      </c>
      <c r="L170" s="4">
        <v>0.68819444444444444</v>
      </c>
      <c r="M170" s="3" t="s">
        <v>49</v>
      </c>
      <c r="N170" s="2">
        <v>307.68</v>
      </c>
      <c r="O170" s="2">
        <v>4.7619047620000003</v>
      </c>
      <c r="P170" s="2">
        <v>15.384</v>
      </c>
      <c r="Q170" s="2">
        <v>6.5</v>
      </c>
      <c r="R170" s="3"/>
      <c r="S170" s="1"/>
      <c r="T170" s="1"/>
      <c r="U170" s="1" t="s">
        <v>37</v>
      </c>
      <c r="V170" s="1" t="s">
        <v>37</v>
      </c>
      <c r="W170" s="1" t="s">
        <v>37</v>
      </c>
    </row>
    <row r="171" spans="1:23">
      <c r="A171" s="3" t="s">
        <v>1155</v>
      </c>
      <c r="B171" s="3" t="s">
        <v>22</v>
      </c>
      <c r="C171" s="3" t="s">
        <v>23</v>
      </c>
      <c r="D171" s="3" t="s">
        <v>24</v>
      </c>
      <c r="E171" s="3" t="s">
        <v>992</v>
      </c>
      <c r="F171" s="3" t="s">
        <v>72</v>
      </c>
      <c r="G171" s="2">
        <v>69.52</v>
      </c>
      <c r="H171" s="2">
        <v>7</v>
      </c>
      <c r="I171" s="2">
        <v>24.332000000000001</v>
      </c>
      <c r="J171" s="2">
        <v>510.97199999999998</v>
      </c>
      <c r="K171" s="5">
        <v>43497</v>
      </c>
      <c r="L171" s="4">
        <v>0.63194444444444442</v>
      </c>
      <c r="M171" s="3" t="s">
        <v>59</v>
      </c>
      <c r="N171" s="2">
        <v>486.64</v>
      </c>
      <c r="O171" s="2">
        <v>4.7619047620000003</v>
      </c>
      <c r="P171" s="2">
        <v>24.332000000000001</v>
      </c>
      <c r="Q171" s="2">
        <v>8.5</v>
      </c>
      <c r="R171" s="3"/>
      <c r="S171" s="1"/>
      <c r="T171" s="1"/>
      <c r="U171" s="1" t="s">
        <v>37</v>
      </c>
      <c r="V171" s="1" t="s">
        <v>37</v>
      </c>
      <c r="W171" s="1" t="s">
        <v>37</v>
      </c>
    </row>
    <row r="172" spans="1:23">
      <c r="A172" s="3" t="s">
        <v>1160</v>
      </c>
      <c r="B172" s="3" t="s">
        <v>22</v>
      </c>
      <c r="C172" s="3" t="s">
        <v>23</v>
      </c>
      <c r="D172" s="3" t="s">
        <v>41</v>
      </c>
      <c r="E172" s="3" t="s">
        <v>992</v>
      </c>
      <c r="F172" s="3" t="s">
        <v>26</v>
      </c>
      <c r="G172" s="2">
        <v>70.010000000000005</v>
      </c>
      <c r="H172" s="2">
        <v>5</v>
      </c>
      <c r="I172" s="2">
        <v>17.502500000000001</v>
      </c>
      <c r="J172" s="2">
        <v>367.55250000000001</v>
      </c>
      <c r="K172" s="5">
        <v>43468</v>
      </c>
      <c r="L172" s="4">
        <v>0.48333333333333334</v>
      </c>
      <c r="M172" s="3" t="s">
        <v>33</v>
      </c>
      <c r="N172" s="2">
        <v>350.05</v>
      </c>
      <c r="O172" s="2">
        <v>4.7619047620000003</v>
      </c>
      <c r="P172" s="2">
        <v>17.502500000000001</v>
      </c>
      <c r="Q172" s="2">
        <v>5.5</v>
      </c>
      <c r="R172" s="3"/>
      <c r="S172" s="1"/>
      <c r="T172" s="1"/>
      <c r="U172" s="1" t="s">
        <v>37</v>
      </c>
      <c r="V172" s="1" t="s">
        <v>37</v>
      </c>
      <c r="W172" s="1" t="s">
        <v>37</v>
      </c>
    </row>
    <row r="173" spans="1:23">
      <c r="A173" s="3" t="s">
        <v>1167</v>
      </c>
      <c r="B173" s="3" t="s">
        <v>115</v>
      </c>
      <c r="C173" s="3" t="s">
        <v>116</v>
      </c>
      <c r="D173" s="3" t="s">
        <v>24</v>
      </c>
      <c r="E173" s="3" t="s">
        <v>992</v>
      </c>
      <c r="F173" s="3" t="s">
        <v>117</v>
      </c>
      <c r="G173" s="2">
        <v>80.05</v>
      </c>
      <c r="H173" s="2">
        <v>5</v>
      </c>
      <c r="I173" s="2">
        <v>20.012499999999999</v>
      </c>
      <c r="J173" s="2">
        <v>420.26249999999999</v>
      </c>
      <c r="K173" s="5">
        <v>43491</v>
      </c>
      <c r="L173" s="4">
        <v>0.53125</v>
      </c>
      <c r="M173" s="3" t="s">
        <v>59</v>
      </c>
      <c r="N173" s="2">
        <v>400.25</v>
      </c>
      <c r="O173" s="2">
        <v>4.7619047620000003</v>
      </c>
      <c r="P173" s="2">
        <v>20.012499999999999</v>
      </c>
      <c r="Q173" s="2">
        <v>9.4</v>
      </c>
      <c r="R173" s="3"/>
      <c r="S173" s="1"/>
      <c r="T173" s="1"/>
      <c r="U173" s="1" t="s">
        <v>37</v>
      </c>
      <c r="V173" s="1" t="s">
        <v>37</v>
      </c>
      <c r="W173" s="1" t="s">
        <v>37</v>
      </c>
    </row>
    <row r="174" spans="1:23">
      <c r="A174" s="3" t="s">
        <v>1172</v>
      </c>
      <c r="B174" s="3" t="s">
        <v>39</v>
      </c>
      <c r="C174" s="3" t="s">
        <v>40</v>
      </c>
      <c r="D174" s="3" t="s">
        <v>41</v>
      </c>
      <c r="E174" s="3" t="s">
        <v>992</v>
      </c>
      <c r="F174" s="3" t="s">
        <v>42</v>
      </c>
      <c r="G174" s="2">
        <v>20.85</v>
      </c>
      <c r="H174" s="2">
        <v>8</v>
      </c>
      <c r="I174" s="2">
        <v>8.34</v>
      </c>
      <c r="J174" s="2">
        <v>175.14</v>
      </c>
      <c r="K174" s="5">
        <v>43527</v>
      </c>
      <c r="L174" s="4">
        <v>0.80347222222222225</v>
      </c>
      <c r="M174" s="3" t="s">
        <v>49</v>
      </c>
      <c r="N174" s="2">
        <v>166.8</v>
      </c>
      <c r="O174" s="2">
        <v>4.7619047620000003</v>
      </c>
      <c r="P174" s="2">
        <v>8.34</v>
      </c>
      <c r="Q174" s="2">
        <v>6.3</v>
      </c>
      <c r="R174" s="3"/>
      <c r="S174" s="1"/>
      <c r="T174" s="1"/>
      <c r="U174" s="1" t="s">
        <v>37</v>
      </c>
      <c r="V174" s="1" t="s">
        <v>37</v>
      </c>
      <c r="W174" s="1" t="s">
        <v>37</v>
      </c>
    </row>
    <row r="175" spans="1:23">
      <c r="A175" s="3" t="s">
        <v>1178</v>
      </c>
      <c r="B175" s="3" t="s">
        <v>115</v>
      </c>
      <c r="C175" s="3" t="s">
        <v>116</v>
      </c>
      <c r="D175" s="3" t="s">
        <v>24</v>
      </c>
      <c r="E175" s="3" t="s">
        <v>992</v>
      </c>
      <c r="F175" s="3" t="s">
        <v>42</v>
      </c>
      <c r="G175" s="2">
        <v>52.89</v>
      </c>
      <c r="H175" s="2">
        <v>6</v>
      </c>
      <c r="I175" s="2">
        <v>15.867000000000001</v>
      </c>
      <c r="J175" s="2">
        <v>333.20699999999999</v>
      </c>
      <c r="K175" s="5">
        <v>43484</v>
      </c>
      <c r="L175" s="4">
        <v>0.7319444444444444</v>
      </c>
      <c r="M175" s="3" t="s">
        <v>59</v>
      </c>
      <c r="N175" s="2">
        <v>317.33999999999997</v>
      </c>
      <c r="O175" s="2">
        <v>4.7619047620000003</v>
      </c>
      <c r="P175" s="2">
        <v>15.867000000000001</v>
      </c>
      <c r="Q175" s="2">
        <v>9.8000000000000007</v>
      </c>
      <c r="R175" s="3"/>
      <c r="S175" s="1"/>
      <c r="T175" s="1"/>
      <c r="U175" s="1" t="s">
        <v>37</v>
      </c>
      <c r="V175" s="1" t="s">
        <v>37</v>
      </c>
      <c r="W175" s="1" t="s">
        <v>37</v>
      </c>
    </row>
    <row r="176" spans="1:23">
      <c r="A176" s="3" t="s">
        <v>1184</v>
      </c>
      <c r="B176" s="3" t="s">
        <v>115</v>
      </c>
      <c r="C176" s="3" t="s">
        <v>116</v>
      </c>
      <c r="D176" s="3" t="s">
        <v>41</v>
      </c>
      <c r="E176" s="3" t="s">
        <v>992</v>
      </c>
      <c r="F176" s="3" t="s">
        <v>117</v>
      </c>
      <c r="G176" s="2">
        <v>19.79</v>
      </c>
      <c r="H176" s="2">
        <v>8</v>
      </c>
      <c r="I176" s="2">
        <v>7.9160000000000004</v>
      </c>
      <c r="J176" s="2">
        <v>166.23599999999999</v>
      </c>
      <c r="K176" s="5">
        <v>43483</v>
      </c>
      <c r="L176" s="4">
        <v>0.50277777777777777</v>
      </c>
      <c r="M176" s="3" t="s">
        <v>33</v>
      </c>
      <c r="N176" s="2">
        <v>158.32</v>
      </c>
      <c r="O176" s="2">
        <v>4.7619047620000003</v>
      </c>
      <c r="P176" s="2">
        <v>7.9160000000000004</v>
      </c>
      <c r="Q176" s="2">
        <v>8.6999999999999993</v>
      </c>
      <c r="R176" s="3"/>
      <c r="S176" s="1"/>
      <c r="T176" s="1"/>
      <c r="U176" s="1" t="s">
        <v>37</v>
      </c>
      <c r="V176" s="1" t="s">
        <v>37</v>
      </c>
      <c r="W176" s="1" t="s">
        <v>37</v>
      </c>
    </row>
    <row r="177" spans="1:23">
      <c r="A177" s="3" t="s">
        <v>1190</v>
      </c>
      <c r="B177" s="3" t="s">
        <v>22</v>
      </c>
      <c r="C177" s="3" t="s">
        <v>23</v>
      </c>
      <c r="D177" s="3" t="s">
        <v>24</v>
      </c>
      <c r="E177" s="3" t="s">
        <v>992</v>
      </c>
      <c r="F177" s="3" t="s">
        <v>53</v>
      </c>
      <c r="G177" s="2">
        <v>33.840000000000003</v>
      </c>
      <c r="H177" s="2">
        <v>9</v>
      </c>
      <c r="I177" s="2">
        <v>15.228</v>
      </c>
      <c r="J177" s="2">
        <v>319.78800000000001</v>
      </c>
      <c r="K177" s="5">
        <v>43545</v>
      </c>
      <c r="L177" s="4">
        <v>0.68125000000000002</v>
      </c>
      <c r="M177" s="3" t="s">
        <v>33</v>
      </c>
      <c r="N177" s="2">
        <v>304.56</v>
      </c>
      <c r="O177" s="2">
        <v>4.7619047620000003</v>
      </c>
      <c r="P177" s="2">
        <v>15.228</v>
      </c>
      <c r="Q177" s="2">
        <v>8.8000000000000007</v>
      </c>
      <c r="R177" s="3"/>
      <c r="S177" s="1"/>
      <c r="T177" s="1"/>
      <c r="U177" s="1" t="s">
        <v>37</v>
      </c>
      <c r="V177" s="1" t="s">
        <v>37</v>
      </c>
      <c r="W177" s="1" t="s">
        <v>37</v>
      </c>
    </row>
    <row r="178" spans="1:23">
      <c r="A178" s="3" t="s">
        <v>1196</v>
      </c>
      <c r="B178" s="3" t="s">
        <v>22</v>
      </c>
      <c r="C178" s="3" t="s">
        <v>23</v>
      </c>
      <c r="D178" s="3" t="s">
        <v>24</v>
      </c>
      <c r="E178" s="3" t="s">
        <v>992</v>
      </c>
      <c r="F178" s="3" t="s">
        <v>117</v>
      </c>
      <c r="G178" s="2">
        <v>22.17</v>
      </c>
      <c r="H178" s="2">
        <v>8</v>
      </c>
      <c r="I178" s="2">
        <v>8.8680000000000003</v>
      </c>
      <c r="J178" s="2">
        <v>186.22800000000001</v>
      </c>
      <c r="K178" s="5">
        <v>43527</v>
      </c>
      <c r="L178" s="4">
        <v>0.70902777777777781</v>
      </c>
      <c r="M178" s="3" t="s">
        <v>59</v>
      </c>
      <c r="N178" s="2">
        <v>177.36</v>
      </c>
      <c r="O178" s="2">
        <v>4.7619047620000003</v>
      </c>
      <c r="P178" s="2">
        <v>8.8680000000000003</v>
      </c>
      <c r="Q178" s="2">
        <v>9.6</v>
      </c>
      <c r="R178" s="3"/>
      <c r="S178" s="1"/>
      <c r="T178" s="1"/>
      <c r="U178" s="1" t="s">
        <v>37</v>
      </c>
      <c r="V178" s="1" t="s">
        <v>37</v>
      </c>
      <c r="W178" s="1" t="s">
        <v>37</v>
      </c>
    </row>
    <row r="179" spans="1:23">
      <c r="A179" s="3" t="s">
        <v>1202</v>
      </c>
      <c r="B179" s="3" t="s">
        <v>39</v>
      </c>
      <c r="C179" s="3" t="s">
        <v>40</v>
      </c>
      <c r="D179" s="3" t="s">
        <v>41</v>
      </c>
      <c r="E179" s="3" t="s">
        <v>25</v>
      </c>
      <c r="F179" s="3" t="s">
        <v>127</v>
      </c>
      <c r="G179" s="2">
        <v>22.51</v>
      </c>
      <c r="H179" s="2">
        <v>7</v>
      </c>
      <c r="I179" s="2">
        <v>7.8784999999999998</v>
      </c>
      <c r="J179" s="2">
        <v>165.4485</v>
      </c>
      <c r="K179" s="5">
        <v>43509</v>
      </c>
      <c r="L179" s="4">
        <v>0.4513888888888889</v>
      </c>
      <c r="M179" s="3" t="s">
        <v>59</v>
      </c>
      <c r="N179" s="2">
        <v>157.57</v>
      </c>
      <c r="O179" s="2">
        <v>4.7619047620000003</v>
      </c>
      <c r="P179" s="2">
        <v>7.8784999999999998</v>
      </c>
      <c r="Q179" s="2">
        <v>4.8</v>
      </c>
      <c r="R179" s="3"/>
      <c r="S179" s="1"/>
      <c r="T179" s="1"/>
      <c r="U179" s="1" t="s">
        <v>37</v>
      </c>
      <c r="V179" s="1" t="s">
        <v>37</v>
      </c>
      <c r="W179" s="1" t="s">
        <v>37</v>
      </c>
    </row>
    <row r="180" spans="1:23">
      <c r="A180" s="3" t="s">
        <v>1209</v>
      </c>
      <c r="B180" s="3" t="s">
        <v>22</v>
      </c>
      <c r="C180" s="3" t="s">
        <v>23</v>
      </c>
      <c r="D180" s="3" t="s">
        <v>41</v>
      </c>
      <c r="E180" s="3" t="s">
        <v>992</v>
      </c>
      <c r="F180" s="3" t="s">
        <v>117</v>
      </c>
      <c r="G180" s="2">
        <v>73.88</v>
      </c>
      <c r="H180" s="2">
        <v>6</v>
      </c>
      <c r="I180" s="2">
        <v>22.164000000000001</v>
      </c>
      <c r="J180" s="2">
        <v>465.44400000000002</v>
      </c>
      <c r="K180" s="5">
        <v>43547</v>
      </c>
      <c r="L180" s="4">
        <v>0.80277777777777781</v>
      </c>
      <c r="M180" s="3" t="s">
        <v>33</v>
      </c>
      <c r="N180" s="2">
        <v>443.28</v>
      </c>
      <c r="O180" s="2">
        <v>4.7619047620000003</v>
      </c>
      <c r="P180" s="2">
        <v>22.164000000000001</v>
      </c>
      <c r="Q180" s="2">
        <v>4.4000000000000004</v>
      </c>
      <c r="R180" s="3"/>
      <c r="S180" s="1"/>
      <c r="T180" s="1"/>
      <c r="U180" s="1" t="s">
        <v>37</v>
      </c>
      <c r="V180" s="1" t="s">
        <v>37</v>
      </c>
      <c r="W180" s="1" t="s">
        <v>37</v>
      </c>
    </row>
    <row r="181" spans="1:23">
      <c r="A181" s="3" t="s">
        <v>1215</v>
      </c>
      <c r="B181" s="3" t="s">
        <v>39</v>
      </c>
      <c r="C181" s="3" t="s">
        <v>40</v>
      </c>
      <c r="D181" s="3" t="s">
        <v>24</v>
      </c>
      <c r="E181" s="3" t="s">
        <v>992</v>
      </c>
      <c r="F181" s="3" t="s">
        <v>26</v>
      </c>
      <c r="G181" s="2">
        <v>86.8</v>
      </c>
      <c r="H181" s="2">
        <v>3</v>
      </c>
      <c r="I181" s="2">
        <v>13.02</v>
      </c>
      <c r="J181" s="2">
        <v>273.42</v>
      </c>
      <c r="K181" s="5">
        <v>43493</v>
      </c>
      <c r="L181" s="4">
        <v>0.69930555555555551</v>
      </c>
      <c r="M181" s="3" t="s">
        <v>33</v>
      </c>
      <c r="N181" s="2">
        <v>260.39999999999998</v>
      </c>
      <c r="O181" s="2">
        <v>4.7619047620000003</v>
      </c>
      <c r="P181" s="2">
        <v>13.02</v>
      </c>
      <c r="Q181" s="2">
        <v>9.9</v>
      </c>
      <c r="R181" s="3"/>
      <c r="S181" s="1"/>
      <c r="T181" s="1"/>
      <c r="U181" s="1" t="s">
        <v>37</v>
      </c>
      <c r="V181" s="1" t="s">
        <v>37</v>
      </c>
      <c r="W181" s="1" t="s">
        <v>37</v>
      </c>
    </row>
    <row r="182" spans="1:23">
      <c r="A182" s="3" t="s">
        <v>1221</v>
      </c>
      <c r="B182" s="3" t="s">
        <v>39</v>
      </c>
      <c r="C182" s="3" t="s">
        <v>40</v>
      </c>
      <c r="D182" s="3" t="s">
        <v>41</v>
      </c>
      <c r="E182" s="3" t="s">
        <v>992</v>
      </c>
      <c r="F182" s="3" t="s">
        <v>127</v>
      </c>
      <c r="G182" s="2">
        <v>64.260000000000005</v>
      </c>
      <c r="H182" s="2">
        <v>7</v>
      </c>
      <c r="I182" s="2">
        <v>22.491</v>
      </c>
      <c r="J182" s="2">
        <v>472.31099999999998</v>
      </c>
      <c r="K182" s="5">
        <v>43505</v>
      </c>
      <c r="L182" s="4">
        <v>0.41666666666666669</v>
      </c>
      <c r="M182" s="3" t="s">
        <v>49</v>
      </c>
      <c r="N182" s="2">
        <v>449.82</v>
      </c>
      <c r="O182" s="2">
        <v>4.7619047620000003</v>
      </c>
      <c r="P182" s="2">
        <v>22.491</v>
      </c>
      <c r="Q182" s="2">
        <v>5.7</v>
      </c>
      <c r="R182" s="3"/>
      <c r="S182" s="1"/>
      <c r="T182" s="1"/>
      <c r="U182" s="1" t="s">
        <v>37</v>
      </c>
      <c r="V182" s="1" t="s">
        <v>37</v>
      </c>
      <c r="W182" s="1" t="s">
        <v>37</v>
      </c>
    </row>
    <row r="183" spans="1:23">
      <c r="A183" s="3" t="s">
        <v>1227</v>
      </c>
      <c r="B183" s="3" t="s">
        <v>39</v>
      </c>
      <c r="C183" s="3" t="s">
        <v>40</v>
      </c>
      <c r="D183" s="3" t="s">
        <v>24</v>
      </c>
      <c r="E183" s="3" t="s">
        <v>992</v>
      </c>
      <c r="F183" s="3" t="s">
        <v>117</v>
      </c>
      <c r="G183" s="2">
        <v>38.47</v>
      </c>
      <c r="H183" s="2">
        <v>8</v>
      </c>
      <c r="I183" s="2">
        <v>15.388</v>
      </c>
      <c r="J183" s="2">
        <v>323.14800000000002</v>
      </c>
      <c r="K183" s="5">
        <v>43488</v>
      </c>
      <c r="L183" s="4">
        <v>0.49375000000000002</v>
      </c>
      <c r="M183" s="3" t="s">
        <v>49</v>
      </c>
      <c r="N183" s="2">
        <v>307.76</v>
      </c>
      <c r="O183" s="2">
        <v>4.7619047620000003</v>
      </c>
      <c r="P183" s="2">
        <v>15.388</v>
      </c>
      <c r="Q183" s="2">
        <v>7.7</v>
      </c>
      <c r="R183" s="3"/>
      <c r="S183" s="1"/>
      <c r="T183" s="1"/>
      <c r="U183" s="1" t="s">
        <v>37</v>
      </c>
      <c r="V183" s="1" t="s">
        <v>37</v>
      </c>
      <c r="W183" s="1" t="s">
        <v>37</v>
      </c>
    </row>
    <row r="184" spans="1:23">
      <c r="A184" s="3" t="s">
        <v>1233</v>
      </c>
      <c r="B184" s="3" t="s">
        <v>22</v>
      </c>
      <c r="C184" s="3" t="s">
        <v>23</v>
      </c>
      <c r="D184" s="3" t="s">
        <v>24</v>
      </c>
      <c r="E184" s="3" t="s">
        <v>992</v>
      </c>
      <c r="F184" s="3" t="s">
        <v>72</v>
      </c>
      <c r="G184" s="2">
        <v>15.5</v>
      </c>
      <c r="H184" s="2">
        <v>10</v>
      </c>
      <c r="I184" s="2">
        <v>7.75</v>
      </c>
      <c r="J184" s="2">
        <v>162.75</v>
      </c>
      <c r="K184" s="5">
        <v>43547</v>
      </c>
      <c r="L184" s="4">
        <v>0.4548611111111111</v>
      </c>
      <c r="M184" s="3" t="s">
        <v>33</v>
      </c>
      <c r="N184" s="2">
        <v>155</v>
      </c>
      <c r="O184" s="2">
        <v>4.7619047620000003</v>
      </c>
      <c r="P184" s="2">
        <v>7.75</v>
      </c>
      <c r="Q184" s="2">
        <v>8</v>
      </c>
      <c r="R184" s="3"/>
      <c r="S184" s="1"/>
      <c r="T184" s="1"/>
      <c r="U184" s="1" t="s">
        <v>37</v>
      </c>
      <c r="V184" s="1" t="s">
        <v>37</v>
      </c>
      <c r="W184" s="1" t="s">
        <v>37</v>
      </c>
    </row>
    <row r="185" spans="1:23">
      <c r="A185" s="3" t="s">
        <v>1238</v>
      </c>
      <c r="B185" s="3" t="s">
        <v>39</v>
      </c>
      <c r="C185" s="3" t="s">
        <v>40</v>
      </c>
      <c r="D185" s="3" t="s">
        <v>41</v>
      </c>
      <c r="E185" s="3" t="s">
        <v>992</v>
      </c>
      <c r="F185" s="3" t="s">
        <v>26</v>
      </c>
      <c r="G185" s="2">
        <v>34.31</v>
      </c>
      <c r="H185" s="2">
        <v>8</v>
      </c>
      <c r="I185" s="2">
        <v>13.724</v>
      </c>
      <c r="J185" s="2">
        <v>288.20400000000001</v>
      </c>
      <c r="K185" s="5">
        <v>43490</v>
      </c>
      <c r="L185" s="4">
        <v>0.625</v>
      </c>
      <c r="M185" s="3" t="s">
        <v>33</v>
      </c>
      <c r="N185" s="2">
        <v>274.48</v>
      </c>
      <c r="O185" s="2">
        <v>4.7619047620000003</v>
      </c>
      <c r="P185" s="2">
        <v>13.724</v>
      </c>
      <c r="Q185" s="2">
        <v>5.7</v>
      </c>
      <c r="R185" s="3"/>
      <c r="S185" s="1"/>
      <c r="T185" s="1"/>
      <c r="U185" s="1" t="s">
        <v>37</v>
      </c>
      <c r="V185" s="1" t="s">
        <v>37</v>
      </c>
      <c r="W185" s="1" t="s">
        <v>37</v>
      </c>
    </row>
    <row r="186" spans="1:23">
      <c r="A186" s="3" t="s">
        <v>1244</v>
      </c>
      <c r="B186" s="3" t="s">
        <v>22</v>
      </c>
      <c r="C186" s="3" t="s">
        <v>23</v>
      </c>
      <c r="D186" s="3" t="s">
        <v>41</v>
      </c>
      <c r="E186" s="3" t="s">
        <v>25</v>
      </c>
      <c r="F186" s="3" t="s">
        <v>72</v>
      </c>
      <c r="G186" s="2">
        <v>12.34</v>
      </c>
      <c r="H186" s="2">
        <v>7</v>
      </c>
      <c r="I186" s="2">
        <v>4.319</v>
      </c>
      <c r="J186" s="2">
        <v>90.698999999999998</v>
      </c>
      <c r="K186" s="5">
        <v>43528</v>
      </c>
      <c r="L186" s="4">
        <v>0.47152777777777777</v>
      </c>
      <c r="M186" s="3" t="s">
        <v>59</v>
      </c>
      <c r="N186" s="2">
        <v>86.38</v>
      </c>
      <c r="O186" s="2">
        <v>4.7619047620000003</v>
      </c>
      <c r="P186" s="2">
        <v>4.319</v>
      </c>
      <c r="Q186" s="2">
        <v>6.7</v>
      </c>
      <c r="R186" s="3"/>
      <c r="S186" s="1"/>
      <c r="T186" s="1"/>
      <c r="U186" s="1" t="s">
        <v>37</v>
      </c>
      <c r="V186" s="1" t="s">
        <v>37</v>
      </c>
      <c r="W186" s="1" t="s">
        <v>37</v>
      </c>
    </row>
    <row r="187" spans="1:23">
      <c r="A187" s="3" t="s">
        <v>1250</v>
      </c>
      <c r="B187" s="3" t="s">
        <v>115</v>
      </c>
      <c r="C187" s="3" t="s">
        <v>116</v>
      </c>
      <c r="D187" s="3" t="s">
        <v>24</v>
      </c>
      <c r="E187" s="3" t="s">
        <v>992</v>
      </c>
      <c r="F187" s="3" t="s">
        <v>117</v>
      </c>
      <c r="G187" s="2">
        <v>18.079999999999998</v>
      </c>
      <c r="H187" s="2">
        <v>3</v>
      </c>
      <c r="I187" s="2">
        <v>2.7120000000000002</v>
      </c>
      <c r="J187" s="2">
        <v>56.951999999999998</v>
      </c>
      <c r="K187" s="5">
        <v>43529</v>
      </c>
      <c r="L187" s="4">
        <v>0.82361111111111107</v>
      </c>
      <c r="M187" s="3" t="s">
        <v>33</v>
      </c>
      <c r="N187" s="2">
        <v>54.24</v>
      </c>
      <c r="O187" s="2">
        <v>4.7619047620000003</v>
      </c>
      <c r="P187" s="2">
        <v>2.7120000000000002</v>
      </c>
      <c r="Q187" s="2">
        <v>8</v>
      </c>
      <c r="R187" s="3"/>
      <c r="S187" s="1"/>
      <c r="T187" s="1"/>
      <c r="U187" s="1" t="s">
        <v>37</v>
      </c>
      <c r="V187" s="1" t="s">
        <v>37</v>
      </c>
      <c r="W187" s="1" t="s">
        <v>37</v>
      </c>
    </row>
    <row r="188" spans="1:23">
      <c r="A188" s="3" t="s">
        <v>1256</v>
      </c>
      <c r="B188" s="3" t="s">
        <v>115</v>
      </c>
      <c r="C188" s="3" t="s">
        <v>116</v>
      </c>
      <c r="D188" s="3" t="s">
        <v>24</v>
      </c>
      <c r="E188" s="3" t="s">
        <v>25</v>
      </c>
      <c r="F188" s="3" t="s">
        <v>53</v>
      </c>
      <c r="G188" s="2">
        <v>94.49</v>
      </c>
      <c r="H188" s="2">
        <v>8</v>
      </c>
      <c r="I188" s="2">
        <v>37.795999999999999</v>
      </c>
      <c r="J188" s="2">
        <v>793.71600000000001</v>
      </c>
      <c r="K188" s="5">
        <v>43527</v>
      </c>
      <c r="L188" s="4">
        <v>0.79166666666666663</v>
      </c>
      <c r="M188" s="3" t="s">
        <v>33</v>
      </c>
      <c r="N188" s="2">
        <v>755.92</v>
      </c>
      <c r="O188" s="2">
        <v>4.7619047620000003</v>
      </c>
      <c r="P188" s="2">
        <v>37.795999999999999</v>
      </c>
      <c r="Q188" s="2">
        <v>7.5</v>
      </c>
      <c r="R188" s="3"/>
      <c r="S188" s="1"/>
      <c r="T188" s="1"/>
      <c r="U188" s="1" t="s">
        <v>37</v>
      </c>
      <c r="V188" s="1" t="s">
        <v>37</v>
      </c>
      <c r="W188" s="1" t="s">
        <v>37</v>
      </c>
    </row>
    <row r="189" spans="1:23">
      <c r="A189" s="3" t="s">
        <v>1262</v>
      </c>
      <c r="B189" s="3" t="s">
        <v>115</v>
      </c>
      <c r="C189" s="3" t="s">
        <v>116</v>
      </c>
      <c r="D189" s="3" t="s">
        <v>24</v>
      </c>
      <c r="E189" s="3" t="s">
        <v>992</v>
      </c>
      <c r="F189" s="3" t="s">
        <v>53</v>
      </c>
      <c r="G189" s="2">
        <v>46.47</v>
      </c>
      <c r="H189" s="2">
        <v>4</v>
      </c>
      <c r="I189" s="2">
        <v>9.2940000000000005</v>
      </c>
      <c r="J189" s="2">
        <v>195.17400000000001</v>
      </c>
      <c r="K189" s="5">
        <v>43504</v>
      </c>
      <c r="L189" s="4">
        <v>0.45347222222222222</v>
      </c>
      <c r="M189" s="3" t="s">
        <v>49</v>
      </c>
      <c r="N189" s="2">
        <v>185.88</v>
      </c>
      <c r="O189" s="2">
        <v>4.7619047620000003</v>
      </c>
      <c r="P189" s="2">
        <v>9.2940000000000005</v>
      </c>
      <c r="Q189" s="2">
        <v>7</v>
      </c>
      <c r="R189" s="3"/>
      <c r="S189" s="1"/>
      <c r="T189" s="1"/>
      <c r="U189" s="1" t="s">
        <v>37</v>
      </c>
      <c r="V189" s="1" t="s">
        <v>37</v>
      </c>
      <c r="W189" s="1" t="s">
        <v>37</v>
      </c>
    </row>
    <row r="190" spans="1:23">
      <c r="A190" s="3" t="s">
        <v>1268</v>
      </c>
      <c r="B190" s="3" t="s">
        <v>22</v>
      </c>
      <c r="C190" s="3" t="s">
        <v>23</v>
      </c>
      <c r="D190" s="3" t="s">
        <v>41</v>
      </c>
      <c r="E190" s="3" t="s">
        <v>992</v>
      </c>
      <c r="F190" s="3" t="s">
        <v>53</v>
      </c>
      <c r="G190" s="2">
        <v>74.069999999999993</v>
      </c>
      <c r="H190" s="2">
        <v>1</v>
      </c>
      <c r="I190" s="2">
        <v>3.7035</v>
      </c>
      <c r="J190" s="2">
        <v>77.773499999999999</v>
      </c>
      <c r="K190" s="5">
        <v>43506</v>
      </c>
      <c r="L190" s="4">
        <v>0.53472222222222221</v>
      </c>
      <c r="M190" s="3" t="s">
        <v>33</v>
      </c>
      <c r="N190" s="2">
        <v>74.069999999999993</v>
      </c>
      <c r="O190" s="2">
        <v>4.7619047620000003</v>
      </c>
      <c r="P190" s="2">
        <v>3.7035</v>
      </c>
      <c r="Q190" s="2">
        <v>9.9</v>
      </c>
      <c r="R190" s="3"/>
      <c r="S190" s="1"/>
      <c r="T190" s="1"/>
      <c r="U190" s="1" t="s">
        <v>37</v>
      </c>
      <c r="V190" s="1" t="s">
        <v>37</v>
      </c>
      <c r="W190" s="1" t="s">
        <v>37</v>
      </c>
    </row>
    <row r="191" spans="1:23">
      <c r="A191" s="3" t="s">
        <v>1273</v>
      </c>
      <c r="B191" s="3" t="s">
        <v>39</v>
      </c>
      <c r="C191" s="3" t="s">
        <v>40</v>
      </c>
      <c r="D191" s="3" t="s">
        <v>41</v>
      </c>
      <c r="E191" s="3" t="s">
        <v>25</v>
      </c>
      <c r="F191" s="3" t="s">
        <v>53</v>
      </c>
      <c r="G191" s="2">
        <v>69.81</v>
      </c>
      <c r="H191" s="2">
        <v>4</v>
      </c>
      <c r="I191" s="2">
        <v>13.962</v>
      </c>
      <c r="J191" s="2">
        <v>293.202</v>
      </c>
      <c r="K191" s="5">
        <v>43493</v>
      </c>
      <c r="L191" s="4">
        <v>0.86805555555555558</v>
      </c>
      <c r="M191" s="3" t="s">
        <v>59</v>
      </c>
      <c r="N191" s="2">
        <v>279.24</v>
      </c>
      <c r="O191" s="2">
        <v>4.7619047620000003</v>
      </c>
      <c r="P191" s="2">
        <v>13.962</v>
      </c>
      <c r="Q191" s="2">
        <v>5.9</v>
      </c>
      <c r="R191" s="3"/>
      <c r="S191" s="1"/>
      <c r="T191" s="1"/>
      <c r="U191" s="1" t="s">
        <v>37</v>
      </c>
      <c r="V191" s="1" t="s">
        <v>37</v>
      </c>
      <c r="W191" s="1" t="s">
        <v>37</v>
      </c>
    </row>
    <row r="192" spans="1:23">
      <c r="A192" s="3" t="s">
        <v>1279</v>
      </c>
      <c r="B192" s="3" t="s">
        <v>115</v>
      </c>
      <c r="C192" s="3" t="s">
        <v>116</v>
      </c>
      <c r="D192" s="3" t="s">
        <v>41</v>
      </c>
      <c r="E192" s="3" t="s">
        <v>25</v>
      </c>
      <c r="F192" s="3" t="s">
        <v>53</v>
      </c>
      <c r="G192" s="2">
        <v>77.040000000000006</v>
      </c>
      <c r="H192" s="2">
        <v>3</v>
      </c>
      <c r="I192" s="2">
        <v>11.555999999999999</v>
      </c>
      <c r="J192" s="2">
        <v>242.67599999999999</v>
      </c>
      <c r="K192" s="5">
        <v>43507</v>
      </c>
      <c r="L192" s="4">
        <v>0.44374999999999998</v>
      </c>
      <c r="M192" s="3" t="s">
        <v>59</v>
      </c>
      <c r="N192" s="2">
        <v>231.12</v>
      </c>
      <c r="O192" s="2">
        <v>4.7619047620000003</v>
      </c>
      <c r="P192" s="2">
        <v>11.555999999999999</v>
      </c>
      <c r="Q192" s="2">
        <v>7.2</v>
      </c>
      <c r="R192" s="3"/>
      <c r="S192" s="1"/>
      <c r="T192" s="1"/>
      <c r="U192" s="1" t="s">
        <v>37</v>
      </c>
      <c r="V192" s="1" t="s">
        <v>37</v>
      </c>
      <c r="W192" s="1" t="s">
        <v>37</v>
      </c>
    </row>
    <row r="193" spans="1:23">
      <c r="A193" s="3" t="s">
        <v>1284</v>
      </c>
      <c r="B193" s="3" t="s">
        <v>115</v>
      </c>
      <c r="C193" s="3" t="s">
        <v>116</v>
      </c>
      <c r="D193" s="3" t="s">
        <v>41</v>
      </c>
      <c r="E193" s="3" t="s">
        <v>25</v>
      </c>
      <c r="F193" s="3" t="s">
        <v>127</v>
      </c>
      <c r="G193" s="2">
        <v>73.52</v>
      </c>
      <c r="H193" s="2">
        <v>2</v>
      </c>
      <c r="I193" s="2">
        <v>7.3520000000000003</v>
      </c>
      <c r="J193" s="2">
        <v>154.392</v>
      </c>
      <c r="K193" s="5">
        <v>43480</v>
      </c>
      <c r="L193" s="4">
        <v>0.57013888888888886</v>
      </c>
      <c r="M193" s="3" t="s">
        <v>33</v>
      </c>
      <c r="N193" s="2">
        <v>147.04</v>
      </c>
      <c r="O193" s="2">
        <v>4.7619047620000003</v>
      </c>
      <c r="P193" s="2">
        <v>7.3520000000000003</v>
      </c>
      <c r="Q193" s="2">
        <v>4.5999999999999996</v>
      </c>
      <c r="R193" s="3"/>
      <c r="S193" s="1"/>
      <c r="T193" s="1"/>
      <c r="U193" s="1" t="s">
        <v>37</v>
      </c>
      <c r="V193" s="1" t="s">
        <v>37</v>
      </c>
      <c r="W193" s="1" t="s">
        <v>37</v>
      </c>
    </row>
    <row r="194" spans="1:23">
      <c r="A194" s="3" t="s">
        <v>1290</v>
      </c>
      <c r="B194" s="3" t="s">
        <v>39</v>
      </c>
      <c r="C194" s="3" t="s">
        <v>40</v>
      </c>
      <c r="D194" s="3" t="s">
        <v>41</v>
      </c>
      <c r="E194" s="3" t="s">
        <v>25</v>
      </c>
      <c r="F194" s="3" t="s">
        <v>117</v>
      </c>
      <c r="G194" s="2">
        <v>87.8</v>
      </c>
      <c r="H194" s="2">
        <v>9</v>
      </c>
      <c r="I194" s="2">
        <v>39.51</v>
      </c>
      <c r="J194" s="2">
        <v>829.71</v>
      </c>
      <c r="K194" s="5">
        <v>43540</v>
      </c>
      <c r="L194" s="4">
        <v>0.79722222222222228</v>
      </c>
      <c r="M194" s="3" t="s">
        <v>49</v>
      </c>
      <c r="N194" s="2">
        <v>790.2</v>
      </c>
      <c r="O194" s="2">
        <v>4.7619047620000003</v>
      </c>
      <c r="P194" s="2">
        <v>39.51</v>
      </c>
      <c r="Q194" s="2">
        <v>9.1999999999999993</v>
      </c>
      <c r="R194" s="3"/>
      <c r="S194" s="1"/>
      <c r="T194" s="1"/>
      <c r="U194" s="1" t="s">
        <v>37</v>
      </c>
      <c r="V194" s="1" t="s">
        <v>37</v>
      </c>
      <c r="W194" s="1" t="s">
        <v>37</v>
      </c>
    </row>
    <row r="195" spans="1:23">
      <c r="A195" s="3" t="s">
        <v>1296</v>
      </c>
      <c r="B195" s="3" t="s">
        <v>115</v>
      </c>
      <c r="C195" s="3" t="s">
        <v>116</v>
      </c>
      <c r="D195" s="3" t="s">
        <v>41</v>
      </c>
      <c r="E195" s="3" t="s">
        <v>992</v>
      </c>
      <c r="F195" s="3" t="s">
        <v>53</v>
      </c>
      <c r="G195" s="2">
        <v>25.55</v>
      </c>
      <c r="H195" s="2">
        <v>4</v>
      </c>
      <c r="I195" s="2">
        <v>5.1100000000000003</v>
      </c>
      <c r="J195" s="2">
        <v>107.31</v>
      </c>
      <c r="K195" s="5">
        <v>43491</v>
      </c>
      <c r="L195" s="4">
        <v>0.84930555555555554</v>
      </c>
      <c r="M195" s="3" t="s">
        <v>33</v>
      </c>
      <c r="N195" s="2">
        <v>102.2</v>
      </c>
      <c r="O195" s="2">
        <v>4.7619047620000003</v>
      </c>
      <c r="P195" s="2">
        <v>5.1100000000000003</v>
      </c>
      <c r="Q195" s="2">
        <v>5.7</v>
      </c>
      <c r="R195" s="3"/>
      <c r="S195" s="1"/>
      <c r="T195" s="1"/>
      <c r="U195" s="1" t="s">
        <v>37</v>
      </c>
      <c r="V195" s="1" t="s">
        <v>37</v>
      </c>
      <c r="W195" s="1" t="s">
        <v>37</v>
      </c>
    </row>
    <row r="196" spans="1:23">
      <c r="A196" s="3" t="s">
        <v>1302</v>
      </c>
      <c r="B196" s="3" t="s">
        <v>22</v>
      </c>
      <c r="C196" s="3" t="s">
        <v>23</v>
      </c>
      <c r="D196" s="3" t="s">
        <v>41</v>
      </c>
      <c r="E196" s="3" t="s">
        <v>992</v>
      </c>
      <c r="F196" s="3" t="s">
        <v>42</v>
      </c>
      <c r="G196" s="2">
        <v>32.71</v>
      </c>
      <c r="H196" s="2">
        <v>5</v>
      </c>
      <c r="I196" s="2">
        <v>8.1775000000000002</v>
      </c>
      <c r="J196" s="2">
        <v>171.72749999999999</v>
      </c>
      <c r="K196" s="5">
        <v>43543</v>
      </c>
      <c r="L196" s="4">
        <v>0.47916666666666669</v>
      </c>
      <c r="M196" s="3" t="s">
        <v>59</v>
      </c>
      <c r="N196" s="2">
        <v>163.55000000000001</v>
      </c>
      <c r="O196" s="2">
        <v>4.7619047620000003</v>
      </c>
      <c r="P196" s="2">
        <v>8.1775000000000002</v>
      </c>
      <c r="Q196" s="2">
        <v>9.9</v>
      </c>
      <c r="R196" s="3"/>
      <c r="S196" s="1"/>
      <c r="T196" s="1"/>
      <c r="U196" s="1" t="s">
        <v>37</v>
      </c>
      <c r="V196" s="1" t="s">
        <v>37</v>
      </c>
      <c r="W196" s="1" t="s">
        <v>37</v>
      </c>
    </row>
    <row r="197" spans="1:23">
      <c r="A197" s="3" t="s">
        <v>1308</v>
      </c>
      <c r="B197" s="3" t="s">
        <v>39</v>
      </c>
      <c r="C197" s="3" t="s">
        <v>40</v>
      </c>
      <c r="D197" s="3" t="s">
        <v>24</v>
      </c>
      <c r="E197" s="3" t="s">
        <v>25</v>
      </c>
      <c r="F197" s="3" t="s">
        <v>127</v>
      </c>
      <c r="G197" s="2">
        <v>74.290000000000006</v>
      </c>
      <c r="H197" s="2">
        <v>1</v>
      </c>
      <c r="I197" s="2">
        <v>3.7145000000000001</v>
      </c>
      <c r="J197" s="2">
        <v>78.004499999999993</v>
      </c>
      <c r="K197" s="5">
        <v>43478</v>
      </c>
      <c r="L197" s="4">
        <v>0.8125</v>
      </c>
      <c r="M197" s="3" t="s">
        <v>49</v>
      </c>
      <c r="N197" s="2">
        <v>74.290000000000006</v>
      </c>
      <c r="O197" s="2">
        <v>4.7619047620000003</v>
      </c>
      <c r="P197" s="2">
        <v>3.7145000000000001</v>
      </c>
      <c r="Q197" s="2">
        <v>5</v>
      </c>
      <c r="R197" s="3"/>
      <c r="S197" s="1"/>
      <c r="T197" s="1"/>
      <c r="U197" s="1" t="s">
        <v>37</v>
      </c>
      <c r="V197" s="1" t="s">
        <v>37</v>
      </c>
      <c r="W197" s="1" t="s">
        <v>37</v>
      </c>
    </row>
    <row r="198" spans="1:23">
      <c r="A198" s="3" t="s">
        <v>1313</v>
      </c>
      <c r="B198" s="3" t="s">
        <v>39</v>
      </c>
      <c r="C198" s="3" t="s">
        <v>40</v>
      </c>
      <c r="D198" s="3" t="s">
        <v>24</v>
      </c>
      <c r="E198" s="3" t="s">
        <v>992</v>
      </c>
      <c r="F198" s="3" t="s">
        <v>26</v>
      </c>
      <c r="G198" s="2">
        <v>43.7</v>
      </c>
      <c r="H198" s="2">
        <v>2</v>
      </c>
      <c r="I198" s="2">
        <v>4.37</v>
      </c>
      <c r="J198" s="2">
        <v>91.77</v>
      </c>
      <c r="K198" s="5">
        <v>43550</v>
      </c>
      <c r="L198" s="4">
        <v>0.75208333333333333</v>
      </c>
      <c r="M198" s="3" t="s">
        <v>49</v>
      </c>
      <c r="N198" s="2">
        <v>87.4</v>
      </c>
      <c r="O198" s="2">
        <v>4.7619047620000003</v>
      </c>
      <c r="P198" s="2">
        <v>4.37</v>
      </c>
      <c r="Q198" s="2">
        <v>4.9000000000000004</v>
      </c>
      <c r="R198" s="3"/>
      <c r="S198" s="1"/>
      <c r="T198" s="1"/>
      <c r="U198" s="1" t="s">
        <v>37</v>
      </c>
      <c r="V198" s="1" t="s">
        <v>37</v>
      </c>
      <c r="W198" s="1" t="s">
        <v>37</v>
      </c>
    </row>
    <row r="199" spans="1:23">
      <c r="A199" s="3" t="s">
        <v>1319</v>
      </c>
      <c r="B199" s="3" t="s">
        <v>22</v>
      </c>
      <c r="C199" s="3" t="s">
        <v>23</v>
      </c>
      <c r="D199" s="3" t="s">
        <v>41</v>
      </c>
      <c r="E199" s="3" t="s">
        <v>25</v>
      </c>
      <c r="F199" s="3" t="s">
        <v>53</v>
      </c>
      <c r="G199" s="2">
        <v>25.29</v>
      </c>
      <c r="H199" s="2">
        <v>1</v>
      </c>
      <c r="I199" s="2">
        <v>1.2645</v>
      </c>
      <c r="J199" s="2">
        <v>26.554500000000001</v>
      </c>
      <c r="K199" s="5">
        <v>43547</v>
      </c>
      <c r="L199" s="4">
        <v>0.42569444444444443</v>
      </c>
      <c r="M199" s="3" t="s">
        <v>33</v>
      </c>
      <c r="N199" s="2">
        <v>25.29</v>
      </c>
      <c r="O199" s="2">
        <v>4.7619047620000003</v>
      </c>
      <c r="P199" s="2">
        <v>1.2645</v>
      </c>
      <c r="Q199" s="2">
        <v>6.1</v>
      </c>
      <c r="R199" s="3"/>
      <c r="S199" s="1"/>
      <c r="T199" s="1"/>
      <c r="U199" s="1" t="s">
        <v>37</v>
      </c>
      <c r="V199" s="1" t="s">
        <v>37</v>
      </c>
      <c r="W199" s="1" t="s">
        <v>37</v>
      </c>
    </row>
    <row r="200" spans="1:23">
      <c r="A200" s="3" t="s">
        <v>1324</v>
      </c>
      <c r="B200" s="3" t="s">
        <v>39</v>
      </c>
      <c r="C200" s="3" t="s">
        <v>40</v>
      </c>
      <c r="D200" s="3" t="s">
        <v>41</v>
      </c>
      <c r="E200" s="3" t="s">
        <v>992</v>
      </c>
      <c r="F200" s="3" t="s">
        <v>26</v>
      </c>
      <c r="G200" s="2">
        <v>41.5</v>
      </c>
      <c r="H200" s="2">
        <v>4</v>
      </c>
      <c r="I200" s="2">
        <v>8.3000000000000007</v>
      </c>
      <c r="J200" s="2">
        <v>174.3</v>
      </c>
      <c r="K200" s="5">
        <v>43536</v>
      </c>
      <c r="L200" s="4">
        <v>0.83194444444444449</v>
      </c>
      <c r="M200" s="3" t="s">
        <v>59</v>
      </c>
      <c r="N200" s="2">
        <v>166</v>
      </c>
      <c r="O200" s="2">
        <v>4.7619047620000003</v>
      </c>
      <c r="P200" s="2">
        <v>8.3000000000000007</v>
      </c>
      <c r="Q200" s="2">
        <v>8.1999999999999993</v>
      </c>
      <c r="R200" s="3"/>
      <c r="S200" s="1"/>
      <c r="T200" s="1"/>
      <c r="U200" s="1" t="s">
        <v>37</v>
      </c>
      <c r="V200" s="1" t="s">
        <v>37</v>
      </c>
      <c r="W200" s="1" t="s">
        <v>37</v>
      </c>
    </row>
    <row r="201" spans="1:23">
      <c r="A201" s="3" t="s">
        <v>1329</v>
      </c>
      <c r="B201" s="3" t="s">
        <v>39</v>
      </c>
      <c r="C201" s="3" t="s">
        <v>40</v>
      </c>
      <c r="D201" s="3" t="s">
        <v>24</v>
      </c>
      <c r="E201" s="3" t="s">
        <v>25</v>
      </c>
      <c r="F201" s="3" t="s">
        <v>117</v>
      </c>
      <c r="G201" s="2">
        <v>71.39</v>
      </c>
      <c r="H201" s="2">
        <v>5</v>
      </c>
      <c r="I201" s="2">
        <v>17.8475</v>
      </c>
      <c r="J201" s="2">
        <v>374.79750000000001</v>
      </c>
      <c r="K201" s="5">
        <v>43513</v>
      </c>
      <c r="L201" s="4">
        <v>0.83125000000000004</v>
      </c>
      <c r="M201" s="3" t="s">
        <v>59</v>
      </c>
      <c r="N201" s="2">
        <v>356.95</v>
      </c>
      <c r="O201" s="2">
        <v>4.7619047620000003</v>
      </c>
      <c r="P201" s="2">
        <v>17.8475</v>
      </c>
      <c r="Q201" s="2">
        <v>5.5</v>
      </c>
      <c r="R201" s="3"/>
      <c r="S201" s="1"/>
      <c r="T201" s="1"/>
      <c r="U201" s="1" t="s">
        <v>37</v>
      </c>
      <c r="V201" s="1" t="s">
        <v>37</v>
      </c>
      <c r="W201" s="1" t="s">
        <v>37</v>
      </c>
    </row>
    <row r="202" spans="1:23">
      <c r="A202" s="3" t="s">
        <v>1334</v>
      </c>
      <c r="B202" s="3" t="s">
        <v>39</v>
      </c>
      <c r="C202" s="3" t="s">
        <v>40</v>
      </c>
      <c r="D202" s="3" t="s">
        <v>24</v>
      </c>
      <c r="E202" s="3" t="s">
        <v>25</v>
      </c>
      <c r="F202" s="3" t="s">
        <v>72</v>
      </c>
      <c r="G202" s="2">
        <v>19.149999999999999</v>
      </c>
      <c r="H202" s="2">
        <v>6</v>
      </c>
      <c r="I202" s="2">
        <v>5.7450000000000001</v>
      </c>
      <c r="J202" s="2">
        <v>120.645</v>
      </c>
      <c r="K202" s="5">
        <v>43494</v>
      </c>
      <c r="L202" s="4">
        <v>0.41736111111111113</v>
      </c>
      <c r="M202" s="3" t="s">
        <v>59</v>
      </c>
      <c r="N202" s="2">
        <v>114.9</v>
      </c>
      <c r="O202" s="2">
        <v>4.7619047620000003</v>
      </c>
      <c r="P202" s="2">
        <v>5.7450000000000001</v>
      </c>
      <c r="Q202" s="2">
        <v>6.8</v>
      </c>
      <c r="R202" s="3"/>
      <c r="S202" s="1"/>
      <c r="T202" s="1"/>
      <c r="U202" s="1" t="s">
        <v>37</v>
      </c>
      <c r="V202" s="1" t="s">
        <v>37</v>
      </c>
      <c r="W202" s="1" t="s">
        <v>37</v>
      </c>
    </row>
    <row r="203" spans="1:23">
      <c r="A203" s="3" t="s">
        <v>1340</v>
      </c>
      <c r="B203" s="3" t="s">
        <v>115</v>
      </c>
      <c r="C203" s="3" t="s">
        <v>116</v>
      </c>
      <c r="D203" s="3" t="s">
        <v>24</v>
      </c>
      <c r="E203" s="3" t="s">
        <v>25</v>
      </c>
      <c r="F203" s="3" t="s">
        <v>42</v>
      </c>
      <c r="G203" s="2">
        <v>57.49</v>
      </c>
      <c r="H203" s="2">
        <v>4</v>
      </c>
      <c r="I203" s="2">
        <v>11.497999999999999</v>
      </c>
      <c r="J203" s="2">
        <v>241.458</v>
      </c>
      <c r="K203" s="5">
        <v>43539</v>
      </c>
      <c r="L203" s="4">
        <v>0.49791666666666667</v>
      </c>
      <c r="M203" s="3" t="s">
        <v>49</v>
      </c>
      <c r="N203" s="2">
        <v>229.96</v>
      </c>
      <c r="O203" s="2">
        <v>4.7619047620000003</v>
      </c>
      <c r="P203" s="2">
        <v>11.497999999999999</v>
      </c>
      <c r="Q203" s="2">
        <v>6.6</v>
      </c>
      <c r="R203" s="3"/>
      <c r="S203" s="1"/>
      <c r="T203" s="1"/>
      <c r="U203" s="1" t="s">
        <v>37</v>
      </c>
      <c r="V203" s="1" t="s">
        <v>37</v>
      </c>
      <c r="W203" s="1" t="s">
        <v>37</v>
      </c>
    </row>
    <row r="204" spans="1:23">
      <c r="A204" s="3" t="s">
        <v>1346</v>
      </c>
      <c r="B204" s="3" t="s">
        <v>39</v>
      </c>
      <c r="C204" s="3" t="s">
        <v>40</v>
      </c>
      <c r="D204" s="3" t="s">
        <v>41</v>
      </c>
      <c r="E204" s="3" t="s">
        <v>992</v>
      </c>
      <c r="F204" s="3" t="s">
        <v>42</v>
      </c>
      <c r="G204" s="2">
        <v>61.41</v>
      </c>
      <c r="H204" s="2">
        <v>7</v>
      </c>
      <c r="I204" s="2">
        <v>21.493500000000001</v>
      </c>
      <c r="J204" s="2">
        <v>451.36349999999999</v>
      </c>
      <c r="K204" s="5">
        <v>43479</v>
      </c>
      <c r="L204" s="4">
        <v>0.41805555555555557</v>
      </c>
      <c r="M204" s="3" t="s">
        <v>49</v>
      </c>
      <c r="N204" s="2">
        <v>429.87</v>
      </c>
      <c r="O204" s="2">
        <v>4.7619047620000003</v>
      </c>
      <c r="P204" s="2">
        <v>21.493500000000001</v>
      </c>
      <c r="Q204" s="2">
        <v>9.8000000000000007</v>
      </c>
      <c r="R204" s="3"/>
      <c r="S204" s="1"/>
      <c r="T204" s="1"/>
      <c r="U204" s="1" t="s">
        <v>37</v>
      </c>
      <c r="V204" s="1" t="s">
        <v>37</v>
      </c>
      <c r="W204" s="1" t="s">
        <v>37</v>
      </c>
    </row>
    <row r="205" spans="1:23">
      <c r="A205" s="3" t="s">
        <v>1353</v>
      </c>
      <c r="B205" s="3" t="s">
        <v>115</v>
      </c>
      <c r="C205" s="3" t="s">
        <v>116</v>
      </c>
      <c r="D205" s="3" t="s">
        <v>24</v>
      </c>
      <c r="E205" s="3" t="s">
        <v>992</v>
      </c>
      <c r="F205" s="3" t="s">
        <v>26</v>
      </c>
      <c r="G205" s="2">
        <v>25.9</v>
      </c>
      <c r="H205" s="2">
        <v>10</v>
      </c>
      <c r="I205" s="2">
        <v>12.95</v>
      </c>
      <c r="J205" s="2">
        <v>271.95</v>
      </c>
      <c r="K205" s="5">
        <v>43502</v>
      </c>
      <c r="L205" s="4">
        <v>0.61875000000000002</v>
      </c>
      <c r="M205" s="3" t="s">
        <v>33</v>
      </c>
      <c r="N205" s="2">
        <v>259</v>
      </c>
      <c r="O205" s="2">
        <v>4.7619047620000003</v>
      </c>
      <c r="P205" s="2">
        <v>12.95</v>
      </c>
      <c r="Q205" s="2">
        <v>8.6999999999999993</v>
      </c>
      <c r="R205" s="3"/>
      <c r="S205" s="1"/>
      <c r="T205" s="1"/>
      <c r="U205" s="1" t="s">
        <v>37</v>
      </c>
      <c r="V205" s="1" t="s">
        <v>37</v>
      </c>
      <c r="W205" s="1" t="s">
        <v>37</v>
      </c>
    </row>
    <row r="206" spans="1:23">
      <c r="A206" s="3" t="s">
        <v>1359</v>
      </c>
      <c r="B206" s="3" t="s">
        <v>115</v>
      </c>
      <c r="C206" s="3" t="s">
        <v>116</v>
      </c>
      <c r="D206" s="3" t="s">
        <v>24</v>
      </c>
      <c r="E206" s="3" t="s">
        <v>992</v>
      </c>
      <c r="F206" s="3" t="s">
        <v>53</v>
      </c>
      <c r="G206" s="2">
        <v>17.77</v>
      </c>
      <c r="H206" s="2">
        <v>5</v>
      </c>
      <c r="I206" s="2">
        <v>4.4424999999999999</v>
      </c>
      <c r="J206" s="2">
        <v>93.292500000000004</v>
      </c>
      <c r="K206" s="5">
        <v>43511</v>
      </c>
      <c r="L206" s="4">
        <v>0.52916666666666667</v>
      </c>
      <c r="M206" s="3" t="s">
        <v>59</v>
      </c>
      <c r="N206" s="2">
        <v>88.85</v>
      </c>
      <c r="O206" s="2">
        <v>4.7619047620000003</v>
      </c>
      <c r="P206" s="2">
        <v>4.4424999999999999</v>
      </c>
      <c r="Q206" s="2">
        <v>5.4</v>
      </c>
      <c r="R206" s="3"/>
      <c r="S206" s="1"/>
      <c r="T206" s="1"/>
      <c r="U206" s="1" t="s">
        <v>37</v>
      </c>
      <c r="V206" s="1" t="s">
        <v>37</v>
      </c>
      <c r="W206" s="1" t="s">
        <v>37</v>
      </c>
    </row>
    <row r="207" spans="1:23">
      <c r="A207" s="3" t="s">
        <v>1365</v>
      </c>
      <c r="B207" s="3" t="s">
        <v>22</v>
      </c>
      <c r="C207" s="3" t="s">
        <v>23</v>
      </c>
      <c r="D207" s="3" t="s">
        <v>41</v>
      </c>
      <c r="E207" s="3" t="s">
        <v>25</v>
      </c>
      <c r="F207" s="3" t="s">
        <v>26</v>
      </c>
      <c r="G207" s="2">
        <v>23.03</v>
      </c>
      <c r="H207" s="2">
        <v>9</v>
      </c>
      <c r="I207" s="2">
        <v>10.3635</v>
      </c>
      <c r="J207" s="2">
        <v>217.6335</v>
      </c>
      <c r="K207" s="5">
        <v>43468</v>
      </c>
      <c r="L207" s="4">
        <v>0.50138888888888888</v>
      </c>
      <c r="M207" s="3" t="s">
        <v>33</v>
      </c>
      <c r="N207" s="2">
        <v>207.27</v>
      </c>
      <c r="O207" s="2">
        <v>4.7619047620000003</v>
      </c>
      <c r="P207" s="2">
        <v>10.3635</v>
      </c>
      <c r="Q207" s="2">
        <v>7.9</v>
      </c>
      <c r="R207" s="3"/>
      <c r="S207" s="1"/>
      <c r="T207" s="1"/>
      <c r="U207" s="1" t="s">
        <v>37</v>
      </c>
      <c r="V207" s="1" t="s">
        <v>37</v>
      </c>
      <c r="W207" s="1" t="s">
        <v>37</v>
      </c>
    </row>
    <row r="208" spans="1:23">
      <c r="A208" s="3" t="s">
        <v>1370</v>
      </c>
      <c r="B208" s="3" t="s">
        <v>39</v>
      </c>
      <c r="C208" s="3" t="s">
        <v>40</v>
      </c>
      <c r="D208" s="3" t="s">
        <v>24</v>
      </c>
      <c r="E208" s="3" t="s">
        <v>25</v>
      </c>
      <c r="F208" s="3" t="s">
        <v>42</v>
      </c>
      <c r="G208" s="2">
        <v>66.650000000000006</v>
      </c>
      <c r="H208" s="2">
        <v>9</v>
      </c>
      <c r="I208" s="2">
        <v>29.9925</v>
      </c>
      <c r="J208" s="2">
        <v>629.84249999999997</v>
      </c>
      <c r="K208" s="5">
        <v>43469</v>
      </c>
      <c r="L208" s="4">
        <v>0.7631944444444444</v>
      </c>
      <c r="M208" s="3" t="s">
        <v>59</v>
      </c>
      <c r="N208" s="2">
        <v>599.85</v>
      </c>
      <c r="O208" s="2">
        <v>4.7619047620000003</v>
      </c>
      <c r="P208" s="2">
        <v>29.9925</v>
      </c>
      <c r="Q208" s="2">
        <v>9.6999999999999993</v>
      </c>
      <c r="R208" s="3"/>
      <c r="S208" s="1"/>
      <c r="T208" s="1"/>
      <c r="U208" s="1" t="s">
        <v>37</v>
      </c>
      <c r="V208" s="1" t="s">
        <v>37</v>
      </c>
      <c r="W208" s="1" t="s">
        <v>37</v>
      </c>
    </row>
    <row r="209" spans="1:23">
      <c r="A209" s="3" t="s">
        <v>1375</v>
      </c>
      <c r="B209" s="3" t="s">
        <v>39</v>
      </c>
      <c r="C209" s="3" t="s">
        <v>40</v>
      </c>
      <c r="D209" s="3" t="s">
        <v>24</v>
      </c>
      <c r="E209" s="3" t="s">
        <v>25</v>
      </c>
      <c r="F209" s="3" t="s">
        <v>53</v>
      </c>
      <c r="G209" s="2">
        <v>28.53</v>
      </c>
      <c r="H209" s="2">
        <v>10</v>
      </c>
      <c r="I209" s="2">
        <v>14.265000000000001</v>
      </c>
      <c r="J209" s="2">
        <v>299.565</v>
      </c>
      <c r="K209" s="5">
        <v>43542</v>
      </c>
      <c r="L209" s="4">
        <v>0.73472222222222228</v>
      </c>
      <c r="M209" s="3" t="s">
        <v>33</v>
      </c>
      <c r="N209" s="2">
        <v>285.3</v>
      </c>
      <c r="O209" s="2">
        <v>4.7619047620000003</v>
      </c>
      <c r="P209" s="2">
        <v>14.265000000000001</v>
      </c>
      <c r="Q209" s="2">
        <v>7.8</v>
      </c>
      <c r="R209" s="3"/>
      <c r="S209" s="1"/>
      <c r="T209" s="1"/>
      <c r="U209" s="1" t="s">
        <v>37</v>
      </c>
      <c r="V209" s="1" t="s">
        <v>37</v>
      </c>
      <c r="W209" s="1" t="s">
        <v>37</v>
      </c>
    </row>
    <row r="210" spans="1:23">
      <c r="A210" s="3" t="s">
        <v>1382</v>
      </c>
      <c r="B210" s="3" t="s">
        <v>115</v>
      </c>
      <c r="C210" s="3" t="s">
        <v>116</v>
      </c>
      <c r="D210" s="3" t="s">
        <v>41</v>
      </c>
      <c r="E210" s="3" t="s">
        <v>25</v>
      </c>
      <c r="F210" s="3" t="s">
        <v>127</v>
      </c>
      <c r="G210" s="2">
        <v>30.37</v>
      </c>
      <c r="H210" s="2">
        <v>3</v>
      </c>
      <c r="I210" s="2">
        <v>4.5555000000000003</v>
      </c>
      <c r="J210" s="2">
        <v>95.665499999999994</v>
      </c>
      <c r="K210" s="5">
        <v>43552</v>
      </c>
      <c r="L210" s="4">
        <v>0.57013888888888886</v>
      </c>
      <c r="M210" s="3" t="s">
        <v>33</v>
      </c>
      <c r="N210" s="2">
        <v>91.11</v>
      </c>
      <c r="O210" s="2">
        <v>4.7619047620000003</v>
      </c>
      <c r="P210" s="2">
        <v>4.5555000000000003</v>
      </c>
      <c r="Q210" s="2">
        <v>5.0999999999999996</v>
      </c>
      <c r="R210" s="3"/>
      <c r="S210" s="1"/>
      <c r="T210" s="1"/>
      <c r="U210" s="1" t="s">
        <v>37</v>
      </c>
      <c r="V210" s="1" t="s">
        <v>37</v>
      </c>
      <c r="W210" s="1" t="s">
        <v>37</v>
      </c>
    </row>
    <row r="211" spans="1:23">
      <c r="A211" s="3" t="s">
        <v>1387</v>
      </c>
      <c r="B211" s="3" t="s">
        <v>115</v>
      </c>
      <c r="C211" s="3" t="s">
        <v>116</v>
      </c>
      <c r="D211" s="3" t="s">
        <v>41</v>
      </c>
      <c r="E211" s="3" t="s">
        <v>25</v>
      </c>
      <c r="F211" s="3" t="s">
        <v>42</v>
      </c>
      <c r="G211" s="2">
        <v>99.73</v>
      </c>
      <c r="H211" s="2">
        <v>9</v>
      </c>
      <c r="I211" s="2">
        <v>44.878500000000003</v>
      </c>
      <c r="J211" s="2">
        <v>942.44849999999997</v>
      </c>
      <c r="K211" s="5">
        <v>43526</v>
      </c>
      <c r="L211" s="4">
        <v>0.8208333333333333</v>
      </c>
      <c r="M211" s="3" t="s">
        <v>59</v>
      </c>
      <c r="N211" s="2">
        <v>897.57</v>
      </c>
      <c r="O211" s="2">
        <v>4.7619047620000003</v>
      </c>
      <c r="P211" s="2">
        <v>44.878500000000003</v>
      </c>
      <c r="Q211" s="2">
        <v>6.5</v>
      </c>
      <c r="R211" s="3"/>
      <c r="S211" s="1"/>
      <c r="T211" s="1"/>
      <c r="U211" s="1" t="s">
        <v>37</v>
      </c>
      <c r="V211" s="1" t="s">
        <v>37</v>
      </c>
      <c r="W211" s="1" t="s">
        <v>37</v>
      </c>
    </row>
    <row r="212" spans="1:23">
      <c r="A212" s="3" t="s">
        <v>1392</v>
      </c>
      <c r="B212" s="3" t="s">
        <v>22</v>
      </c>
      <c r="C212" s="3" t="s">
        <v>23</v>
      </c>
      <c r="D212" s="3" t="s">
        <v>41</v>
      </c>
      <c r="E212" s="3" t="s">
        <v>992</v>
      </c>
      <c r="F212" s="3" t="s">
        <v>42</v>
      </c>
      <c r="G212" s="2">
        <v>26.23</v>
      </c>
      <c r="H212" s="2">
        <v>9</v>
      </c>
      <c r="I212" s="2">
        <v>11.8035</v>
      </c>
      <c r="J212" s="2">
        <v>247.87350000000001</v>
      </c>
      <c r="K212" s="5">
        <v>43490</v>
      </c>
      <c r="L212" s="4">
        <v>0.85</v>
      </c>
      <c r="M212" s="3" t="s">
        <v>33</v>
      </c>
      <c r="N212" s="2">
        <v>236.07</v>
      </c>
      <c r="O212" s="2">
        <v>4.7619047620000003</v>
      </c>
      <c r="P212" s="2">
        <v>11.8035</v>
      </c>
      <c r="Q212" s="2">
        <v>5.9</v>
      </c>
      <c r="R212" s="3"/>
      <c r="S212" s="1"/>
      <c r="T212" s="1"/>
      <c r="U212" s="1" t="s">
        <v>37</v>
      </c>
      <c r="V212" s="1" t="s">
        <v>37</v>
      </c>
      <c r="W212" s="1" t="s">
        <v>37</v>
      </c>
    </row>
    <row r="213" spans="1:23">
      <c r="A213" s="3" t="s">
        <v>1398</v>
      </c>
      <c r="B213" s="3" t="s">
        <v>39</v>
      </c>
      <c r="C213" s="3" t="s">
        <v>40</v>
      </c>
      <c r="D213" s="3" t="s">
        <v>41</v>
      </c>
      <c r="E213" s="3" t="s">
        <v>25</v>
      </c>
      <c r="F213" s="3" t="s">
        <v>117</v>
      </c>
      <c r="G213" s="2">
        <v>93.26</v>
      </c>
      <c r="H213" s="2">
        <v>9</v>
      </c>
      <c r="I213" s="2">
        <v>41.966999999999999</v>
      </c>
      <c r="J213" s="2">
        <v>881.30700000000002</v>
      </c>
      <c r="K213" s="5">
        <v>43481</v>
      </c>
      <c r="L213" s="4">
        <v>0.75555555555555554</v>
      </c>
      <c r="M213" s="3" t="s">
        <v>49</v>
      </c>
      <c r="N213" s="2">
        <v>839.34</v>
      </c>
      <c r="O213" s="2">
        <v>4.7619047620000003</v>
      </c>
      <c r="P213" s="2">
        <v>41.966999999999999</v>
      </c>
      <c r="Q213" s="2">
        <v>8.8000000000000007</v>
      </c>
      <c r="R213" s="3"/>
      <c r="S213" s="1"/>
      <c r="T213" s="1"/>
      <c r="U213" s="1" t="s">
        <v>37</v>
      </c>
      <c r="V213" s="1" t="s">
        <v>37</v>
      </c>
      <c r="W213" s="1" t="s">
        <v>37</v>
      </c>
    </row>
    <row r="214" spans="1:23">
      <c r="A214" s="3" t="s">
        <v>1404</v>
      </c>
      <c r="B214" s="3" t="s">
        <v>115</v>
      </c>
      <c r="C214" s="3" t="s">
        <v>116</v>
      </c>
      <c r="D214" s="3" t="s">
        <v>41</v>
      </c>
      <c r="E214" s="3" t="s">
        <v>992</v>
      </c>
      <c r="F214" s="3" t="s">
        <v>53</v>
      </c>
      <c r="G214" s="2">
        <v>92.36</v>
      </c>
      <c r="H214" s="2">
        <v>5</v>
      </c>
      <c r="I214" s="2">
        <v>23.09</v>
      </c>
      <c r="J214" s="2">
        <v>484.89</v>
      </c>
      <c r="K214" s="5">
        <v>43544</v>
      </c>
      <c r="L214" s="4">
        <v>0.80347222222222225</v>
      </c>
      <c r="M214" s="3" t="s">
        <v>33</v>
      </c>
      <c r="N214" s="2">
        <v>461.8</v>
      </c>
      <c r="O214" s="2">
        <v>4.7619047620000003</v>
      </c>
      <c r="P214" s="2">
        <v>23.09</v>
      </c>
      <c r="Q214" s="2">
        <v>4.9000000000000004</v>
      </c>
      <c r="R214" s="3"/>
      <c r="S214" s="1"/>
      <c r="T214" s="1"/>
      <c r="U214" s="1" t="s">
        <v>37</v>
      </c>
      <c r="V214" s="1" t="s">
        <v>37</v>
      </c>
      <c r="W214" s="1" t="s">
        <v>37</v>
      </c>
    </row>
    <row r="215" spans="1:23">
      <c r="A215" s="3" t="s">
        <v>1410</v>
      </c>
      <c r="B215" s="3" t="s">
        <v>115</v>
      </c>
      <c r="C215" s="3" t="s">
        <v>116</v>
      </c>
      <c r="D215" s="3" t="s">
        <v>41</v>
      </c>
      <c r="E215" s="3" t="s">
        <v>992</v>
      </c>
      <c r="F215" s="3" t="s">
        <v>72</v>
      </c>
      <c r="G215" s="2">
        <v>46.42</v>
      </c>
      <c r="H215" s="2">
        <v>3</v>
      </c>
      <c r="I215" s="2">
        <v>6.9630000000000001</v>
      </c>
      <c r="J215" s="2">
        <v>146.22300000000001</v>
      </c>
      <c r="K215" s="5">
        <v>43469</v>
      </c>
      <c r="L215" s="4">
        <v>0.55833333333333335</v>
      </c>
      <c r="M215" s="3" t="s">
        <v>59</v>
      </c>
      <c r="N215" s="2">
        <v>139.26</v>
      </c>
      <c r="O215" s="2">
        <v>4.7619047620000003</v>
      </c>
      <c r="P215" s="2">
        <v>6.9630000000000001</v>
      </c>
      <c r="Q215" s="2">
        <v>4.4000000000000004</v>
      </c>
      <c r="R215" s="3"/>
      <c r="S215" s="1"/>
      <c r="T215" s="1"/>
      <c r="U215" s="1" t="s">
        <v>37</v>
      </c>
      <c r="V215" s="1" t="s">
        <v>37</v>
      </c>
      <c r="W215" s="1" t="s">
        <v>37</v>
      </c>
    </row>
    <row r="216" spans="1:23">
      <c r="A216" s="3" t="s">
        <v>1415</v>
      </c>
      <c r="B216" s="3" t="s">
        <v>115</v>
      </c>
      <c r="C216" s="3" t="s">
        <v>116</v>
      </c>
      <c r="D216" s="3" t="s">
        <v>24</v>
      </c>
      <c r="E216" s="3" t="s">
        <v>25</v>
      </c>
      <c r="F216" s="3" t="s">
        <v>72</v>
      </c>
      <c r="G216" s="2">
        <v>29.61</v>
      </c>
      <c r="H216" s="2">
        <v>7</v>
      </c>
      <c r="I216" s="2">
        <v>10.3635</v>
      </c>
      <c r="J216" s="2">
        <v>217.6335</v>
      </c>
      <c r="K216" s="5">
        <v>43535</v>
      </c>
      <c r="L216" s="4">
        <v>0.66180555555555554</v>
      </c>
      <c r="M216" s="3" t="s">
        <v>49</v>
      </c>
      <c r="N216" s="2">
        <v>207.27</v>
      </c>
      <c r="O216" s="2">
        <v>4.7619047620000003</v>
      </c>
      <c r="P216" s="2">
        <v>10.3635</v>
      </c>
      <c r="Q216" s="2">
        <v>6.5</v>
      </c>
      <c r="R216" s="3"/>
      <c r="S216" s="1"/>
      <c r="T216" s="1"/>
      <c r="U216" s="1" t="s">
        <v>37</v>
      </c>
      <c r="V216" s="1" t="s">
        <v>37</v>
      </c>
      <c r="W216" s="1" t="s">
        <v>37</v>
      </c>
    </row>
    <row r="217" spans="1:23">
      <c r="A217" s="3" t="s">
        <v>1418</v>
      </c>
      <c r="B217" s="3" t="s">
        <v>22</v>
      </c>
      <c r="C217" s="3" t="s">
        <v>23</v>
      </c>
      <c r="D217" s="3" t="s">
        <v>41</v>
      </c>
      <c r="E217" s="3" t="s">
        <v>992</v>
      </c>
      <c r="F217" s="3" t="s">
        <v>53</v>
      </c>
      <c r="G217" s="2">
        <v>18.28</v>
      </c>
      <c r="H217" s="2">
        <v>1</v>
      </c>
      <c r="I217" s="2">
        <v>0.91400000000000003</v>
      </c>
      <c r="J217" s="2">
        <v>19.193999999999999</v>
      </c>
      <c r="K217" s="5">
        <v>43546</v>
      </c>
      <c r="L217" s="4">
        <v>0.62847222222222221</v>
      </c>
      <c r="M217" s="3" t="s">
        <v>59</v>
      </c>
      <c r="N217" s="2">
        <v>18.28</v>
      </c>
      <c r="O217" s="2">
        <v>4.7619047620000003</v>
      </c>
      <c r="P217" s="2">
        <v>0.91400000000000003</v>
      </c>
      <c r="Q217" s="2">
        <v>8.3000000000000007</v>
      </c>
      <c r="R217" s="3"/>
      <c r="S217" s="1"/>
      <c r="T217" s="1"/>
      <c r="U217" s="1" t="s">
        <v>37</v>
      </c>
      <c r="V217" s="1" t="s">
        <v>37</v>
      </c>
      <c r="W217" s="1" t="s">
        <v>37</v>
      </c>
    </row>
    <row r="218" spans="1:23">
      <c r="A218" s="3" t="s">
        <v>1423</v>
      </c>
      <c r="B218" s="3" t="s">
        <v>115</v>
      </c>
      <c r="C218" s="3" t="s">
        <v>116</v>
      </c>
      <c r="D218" s="3" t="s">
        <v>41</v>
      </c>
      <c r="E218" s="3" t="s">
        <v>25</v>
      </c>
      <c r="F218" s="3" t="s">
        <v>72</v>
      </c>
      <c r="G218" s="2">
        <v>24.77</v>
      </c>
      <c r="H218" s="2">
        <v>5</v>
      </c>
      <c r="I218" s="2">
        <v>6.1924999999999999</v>
      </c>
      <c r="J218" s="2">
        <v>130.04249999999999</v>
      </c>
      <c r="K218" s="5">
        <v>43548</v>
      </c>
      <c r="L218" s="4">
        <v>0.76875000000000004</v>
      </c>
      <c r="M218" s="3" t="s">
        <v>49</v>
      </c>
      <c r="N218" s="2">
        <v>123.85</v>
      </c>
      <c r="O218" s="2">
        <v>4.7619047620000003</v>
      </c>
      <c r="P218" s="2">
        <v>6.1924999999999999</v>
      </c>
      <c r="Q218" s="2">
        <v>8.5</v>
      </c>
      <c r="R218" s="3"/>
      <c r="S218" s="1"/>
      <c r="T218" s="1"/>
      <c r="U218" s="1" t="s">
        <v>37</v>
      </c>
      <c r="V218" s="1" t="s">
        <v>37</v>
      </c>
      <c r="W218" s="1" t="s">
        <v>37</v>
      </c>
    </row>
    <row r="219" spans="1:23">
      <c r="A219" s="3" t="s">
        <v>1429</v>
      </c>
      <c r="B219" s="3" t="s">
        <v>22</v>
      </c>
      <c r="C219" s="3" t="s">
        <v>23</v>
      </c>
      <c r="D219" s="3" t="s">
        <v>24</v>
      </c>
      <c r="E219" s="3" t="s">
        <v>25</v>
      </c>
      <c r="F219" s="3" t="s">
        <v>42</v>
      </c>
      <c r="G219" s="2">
        <v>94.64</v>
      </c>
      <c r="H219" s="2">
        <v>3</v>
      </c>
      <c r="I219" s="2">
        <v>14.196</v>
      </c>
      <c r="J219" s="2">
        <v>298.11599999999999</v>
      </c>
      <c r="K219" s="5">
        <v>43517</v>
      </c>
      <c r="L219" s="4">
        <v>0.70486111111111116</v>
      </c>
      <c r="M219" s="3" t="s">
        <v>49</v>
      </c>
      <c r="N219" s="2">
        <v>283.92</v>
      </c>
      <c r="O219" s="2">
        <v>4.7619047620000003</v>
      </c>
      <c r="P219" s="2">
        <v>14.196</v>
      </c>
      <c r="Q219" s="2">
        <v>5.5</v>
      </c>
      <c r="R219" s="3"/>
      <c r="S219" s="1"/>
      <c r="T219" s="1"/>
      <c r="U219" s="1" t="s">
        <v>37</v>
      </c>
      <c r="V219" s="1" t="s">
        <v>37</v>
      </c>
      <c r="W219" s="1" t="s">
        <v>37</v>
      </c>
    </row>
    <row r="220" spans="1:23">
      <c r="A220" s="3" t="s">
        <v>1436</v>
      </c>
      <c r="B220" s="3" t="s">
        <v>115</v>
      </c>
      <c r="C220" s="3" t="s">
        <v>116</v>
      </c>
      <c r="D220" s="3" t="s">
        <v>41</v>
      </c>
      <c r="E220" s="3" t="s">
        <v>992</v>
      </c>
      <c r="F220" s="3" t="s">
        <v>127</v>
      </c>
      <c r="G220" s="2">
        <v>94.87</v>
      </c>
      <c r="H220" s="2">
        <v>8</v>
      </c>
      <c r="I220" s="2">
        <v>37.948</v>
      </c>
      <c r="J220" s="2">
        <v>796.90800000000002</v>
      </c>
      <c r="K220" s="5">
        <v>43508</v>
      </c>
      <c r="L220" s="4">
        <v>0.54027777777777775</v>
      </c>
      <c r="M220" s="3" t="s">
        <v>33</v>
      </c>
      <c r="N220" s="2">
        <v>758.96</v>
      </c>
      <c r="O220" s="2">
        <v>4.7619047620000003</v>
      </c>
      <c r="P220" s="2">
        <v>37.948</v>
      </c>
      <c r="Q220" s="2">
        <v>8.6999999999999993</v>
      </c>
      <c r="R220" s="3"/>
      <c r="S220" s="1"/>
      <c r="T220" s="1"/>
      <c r="U220" s="1" t="s">
        <v>37</v>
      </c>
      <c r="V220" s="1" t="s">
        <v>37</v>
      </c>
      <c r="W220" s="1" t="s">
        <v>37</v>
      </c>
    </row>
    <row r="221" spans="1:23">
      <c r="A221" s="3" t="s">
        <v>1442</v>
      </c>
      <c r="B221" s="3" t="s">
        <v>115</v>
      </c>
      <c r="C221" s="3" t="s">
        <v>116</v>
      </c>
      <c r="D221" s="3" t="s">
        <v>41</v>
      </c>
      <c r="E221" s="3" t="s">
        <v>25</v>
      </c>
      <c r="F221" s="3" t="s">
        <v>117</v>
      </c>
      <c r="G221" s="2">
        <v>57.34</v>
      </c>
      <c r="H221" s="2">
        <v>3</v>
      </c>
      <c r="I221" s="2">
        <v>8.6010000000000009</v>
      </c>
      <c r="J221" s="2">
        <v>180.62100000000001</v>
      </c>
      <c r="K221" s="5">
        <v>43534</v>
      </c>
      <c r="L221" s="4">
        <v>0.79097222222222219</v>
      </c>
      <c r="M221" s="3" t="s">
        <v>59</v>
      </c>
      <c r="N221" s="2">
        <v>172.02</v>
      </c>
      <c r="O221" s="2">
        <v>4.7619047620000003</v>
      </c>
      <c r="P221" s="2">
        <v>8.6010000000000009</v>
      </c>
      <c r="Q221" s="2">
        <v>7.9</v>
      </c>
      <c r="R221" s="3"/>
      <c r="S221" s="1"/>
      <c r="T221" s="1"/>
      <c r="U221" s="1" t="s">
        <v>37</v>
      </c>
      <c r="V221" s="1" t="s">
        <v>37</v>
      </c>
      <c r="W221" s="1" t="s">
        <v>37</v>
      </c>
    </row>
    <row r="222" spans="1:23">
      <c r="A222" s="3" t="s">
        <v>1448</v>
      </c>
      <c r="B222" s="3" t="s">
        <v>115</v>
      </c>
      <c r="C222" s="3" t="s">
        <v>116</v>
      </c>
      <c r="D222" s="3" t="s">
        <v>41</v>
      </c>
      <c r="E222" s="3" t="s">
        <v>992</v>
      </c>
      <c r="F222" s="3" t="s">
        <v>42</v>
      </c>
      <c r="G222" s="2">
        <v>45.35</v>
      </c>
      <c r="H222" s="2">
        <v>6</v>
      </c>
      <c r="I222" s="2">
        <v>13.605</v>
      </c>
      <c r="J222" s="2">
        <v>285.70499999999998</v>
      </c>
      <c r="K222" s="5">
        <v>43496</v>
      </c>
      <c r="L222" s="4">
        <v>0.57222222222222219</v>
      </c>
      <c r="M222" s="3" t="s">
        <v>33</v>
      </c>
      <c r="N222" s="2">
        <v>272.10000000000002</v>
      </c>
      <c r="O222" s="2">
        <v>4.7619047620000003</v>
      </c>
      <c r="P222" s="2">
        <v>13.605</v>
      </c>
      <c r="Q222" s="2">
        <v>6.1</v>
      </c>
      <c r="R222" s="3"/>
      <c r="S222" s="1"/>
      <c r="T222" s="1"/>
      <c r="U222" s="1" t="s">
        <v>37</v>
      </c>
      <c r="V222" s="1" t="s">
        <v>37</v>
      </c>
      <c r="W222" s="1" t="s">
        <v>37</v>
      </c>
    </row>
    <row r="223" spans="1:23">
      <c r="A223" s="3" t="s">
        <v>1455</v>
      </c>
      <c r="B223" s="3" t="s">
        <v>115</v>
      </c>
      <c r="C223" s="3" t="s">
        <v>116</v>
      </c>
      <c r="D223" s="3" t="s">
        <v>41</v>
      </c>
      <c r="E223" s="3" t="s">
        <v>992</v>
      </c>
      <c r="F223" s="3" t="s">
        <v>117</v>
      </c>
      <c r="G223" s="2">
        <v>62.08</v>
      </c>
      <c r="H223" s="2">
        <v>7</v>
      </c>
      <c r="I223" s="2">
        <v>21.728000000000002</v>
      </c>
      <c r="J223" s="2">
        <v>456.28800000000001</v>
      </c>
      <c r="K223" s="5">
        <v>43530</v>
      </c>
      <c r="L223" s="4">
        <v>0.57361111111111107</v>
      </c>
      <c r="M223" s="3" t="s">
        <v>33</v>
      </c>
      <c r="N223" s="2">
        <v>434.56</v>
      </c>
      <c r="O223" s="2">
        <v>4.7619047620000003</v>
      </c>
      <c r="P223" s="2">
        <v>21.728000000000002</v>
      </c>
      <c r="Q223" s="2">
        <v>5.4</v>
      </c>
      <c r="R223" s="3"/>
      <c r="S223" s="1"/>
      <c r="T223" s="1"/>
      <c r="U223" s="1" t="s">
        <v>37</v>
      </c>
      <c r="V223" s="1" t="s">
        <v>37</v>
      </c>
      <c r="W223" s="1" t="s">
        <v>37</v>
      </c>
    </row>
    <row r="224" spans="1:23">
      <c r="A224" s="3" t="s">
        <v>1461</v>
      </c>
      <c r="B224" s="3" t="s">
        <v>39</v>
      </c>
      <c r="C224" s="3" t="s">
        <v>40</v>
      </c>
      <c r="D224" s="3" t="s">
        <v>41</v>
      </c>
      <c r="E224" s="3" t="s">
        <v>992</v>
      </c>
      <c r="F224" s="3" t="s">
        <v>42</v>
      </c>
      <c r="G224" s="2">
        <v>11.81</v>
      </c>
      <c r="H224" s="2">
        <v>5</v>
      </c>
      <c r="I224" s="2">
        <v>2.9525000000000001</v>
      </c>
      <c r="J224" s="2">
        <v>62.002499999999998</v>
      </c>
      <c r="K224" s="5">
        <v>43513</v>
      </c>
      <c r="L224" s="4">
        <v>0.75416666666666665</v>
      </c>
      <c r="M224" s="3" t="s">
        <v>49</v>
      </c>
      <c r="N224" s="2">
        <v>59.05</v>
      </c>
      <c r="O224" s="2">
        <v>4.7619047620000003</v>
      </c>
      <c r="P224" s="2">
        <v>2.9525000000000001</v>
      </c>
      <c r="Q224" s="2">
        <v>9.4</v>
      </c>
      <c r="R224" s="3"/>
      <c r="S224" s="1"/>
      <c r="T224" s="1"/>
      <c r="U224" s="1" t="s">
        <v>37</v>
      </c>
      <c r="V224" s="1" t="s">
        <v>37</v>
      </c>
      <c r="W224" s="1" t="s">
        <v>37</v>
      </c>
    </row>
    <row r="225" spans="1:23">
      <c r="A225" s="3" t="s">
        <v>1467</v>
      </c>
      <c r="B225" s="3" t="s">
        <v>39</v>
      </c>
      <c r="C225" s="3" t="s">
        <v>40</v>
      </c>
      <c r="D225" s="3" t="s">
        <v>24</v>
      </c>
      <c r="E225" s="3" t="s">
        <v>25</v>
      </c>
      <c r="F225" s="3" t="s">
        <v>127</v>
      </c>
      <c r="G225" s="2">
        <v>12.54</v>
      </c>
      <c r="H225" s="2">
        <v>1</v>
      </c>
      <c r="I225" s="2">
        <v>0.627</v>
      </c>
      <c r="J225" s="2">
        <v>13.167</v>
      </c>
      <c r="K225" s="5">
        <v>43517</v>
      </c>
      <c r="L225" s="4">
        <v>0.52638888888888891</v>
      </c>
      <c r="M225" s="3" t="s">
        <v>49</v>
      </c>
      <c r="N225" s="2">
        <v>12.54</v>
      </c>
      <c r="O225" s="2">
        <v>4.7619047620000003</v>
      </c>
      <c r="P225" s="2">
        <v>0.627</v>
      </c>
      <c r="Q225" s="2">
        <v>8.1999999999999993</v>
      </c>
      <c r="R225" s="3"/>
      <c r="S225" s="1"/>
      <c r="T225" s="1"/>
      <c r="U225" s="1" t="s">
        <v>37</v>
      </c>
      <c r="V225" s="1" t="s">
        <v>37</v>
      </c>
      <c r="W225" s="1" t="s">
        <v>37</v>
      </c>
    </row>
    <row r="226" spans="1:23">
      <c r="A226" s="3" t="s">
        <v>1472</v>
      </c>
      <c r="B226" s="3" t="s">
        <v>22</v>
      </c>
      <c r="C226" s="3" t="s">
        <v>23</v>
      </c>
      <c r="D226" s="3" t="s">
        <v>41</v>
      </c>
      <c r="E226" s="3" t="s">
        <v>992</v>
      </c>
      <c r="F226" s="3" t="s">
        <v>117</v>
      </c>
      <c r="G226" s="2">
        <v>43.25</v>
      </c>
      <c r="H226" s="2">
        <v>2</v>
      </c>
      <c r="I226" s="2">
        <v>4.3250000000000002</v>
      </c>
      <c r="J226" s="2">
        <v>90.825000000000003</v>
      </c>
      <c r="K226" s="5">
        <v>43544</v>
      </c>
      <c r="L226" s="4">
        <v>0.66388888888888886</v>
      </c>
      <c r="M226" s="3" t="s">
        <v>49</v>
      </c>
      <c r="N226" s="2">
        <v>86.5</v>
      </c>
      <c r="O226" s="2">
        <v>4.7619047620000003</v>
      </c>
      <c r="P226" s="2">
        <v>4.3250000000000002</v>
      </c>
      <c r="Q226" s="2">
        <v>6.2</v>
      </c>
      <c r="R226" s="3"/>
      <c r="S226" s="1"/>
      <c r="T226" s="1"/>
      <c r="U226" s="1" t="s">
        <v>37</v>
      </c>
      <c r="V226" s="1" t="s">
        <v>37</v>
      </c>
      <c r="W226" s="1" t="s">
        <v>37</v>
      </c>
    </row>
    <row r="227" spans="1:23">
      <c r="A227" s="3" t="s">
        <v>1478</v>
      </c>
      <c r="B227" s="3" t="s">
        <v>39</v>
      </c>
      <c r="C227" s="3" t="s">
        <v>40</v>
      </c>
      <c r="D227" s="3" t="s">
        <v>24</v>
      </c>
      <c r="E227" s="3" t="s">
        <v>25</v>
      </c>
      <c r="F227" s="3" t="s">
        <v>72</v>
      </c>
      <c r="G227" s="2">
        <v>87.16</v>
      </c>
      <c r="H227" s="2">
        <v>2</v>
      </c>
      <c r="I227" s="2">
        <v>8.7159999999999993</v>
      </c>
      <c r="J227" s="2">
        <v>183.036</v>
      </c>
      <c r="K227" s="5">
        <v>43476</v>
      </c>
      <c r="L227" s="4">
        <v>0.60347222222222219</v>
      </c>
      <c r="M227" s="3" t="s">
        <v>59</v>
      </c>
      <c r="N227" s="2">
        <v>174.32</v>
      </c>
      <c r="O227" s="2">
        <v>4.7619047620000003</v>
      </c>
      <c r="P227" s="2">
        <v>8.7159999999999993</v>
      </c>
      <c r="Q227" s="2">
        <v>9.6999999999999993</v>
      </c>
      <c r="R227" s="3"/>
      <c r="S227" s="1"/>
      <c r="T227" s="1"/>
      <c r="U227" s="1" t="s">
        <v>37</v>
      </c>
      <c r="V227" s="1" t="s">
        <v>37</v>
      </c>
      <c r="W227" s="1" t="s">
        <v>37</v>
      </c>
    </row>
    <row r="228" spans="1:23">
      <c r="A228" s="3" t="s">
        <v>1485</v>
      </c>
      <c r="B228" s="3" t="s">
        <v>115</v>
      </c>
      <c r="C228" s="3" t="s">
        <v>116</v>
      </c>
      <c r="D228" s="3" t="s">
        <v>24</v>
      </c>
      <c r="E228" s="3" t="s">
        <v>992</v>
      </c>
      <c r="F228" s="3" t="s">
        <v>26</v>
      </c>
      <c r="G228" s="2">
        <v>69.37</v>
      </c>
      <c r="H228" s="2">
        <v>9</v>
      </c>
      <c r="I228" s="2">
        <v>31.2165</v>
      </c>
      <c r="J228" s="2">
        <v>655.54650000000004</v>
      </c>
      <c r="K228" s="5">
        <v>43491</v>
      </c>
      <c r="L228" s="4">
        <v>0.80138888888888893</v>
      </c>
      <c r="M228" s="3" t="s">
        <v>33</v>
      </c>
      <c r="N228" s="2">
        <v>624.33000000000004</v>
      </c>
      <c r="O228" s="2">
        <v>4.7619047620000003</v>
      </c>
      <c r="P228" s="2">
        <v>31.2165</v>
      </c>
      <c r="Q228" s="2">
        <v>4</v>
      </c>
      <c r="R228" s="3"/>
      <c r="S228" s="1"/>
      <c r="T228" s="1"/>
      <c r="U228" s="1" t="s">
        <v>37</v>
      </c>
      <c r="V228" s="1" t="s">
        <v>37</v>
      </c>
      <c r="W228" s="1" t="s">
        <v>37</v>
      </c>
    </row>
    <row r="229" spans="1:23">
      <c r="A229" s="3" t="s">
        <v>1491</v>
      </c>
      <c r="B229" s="3" t="s">
        <v>39</v>
      </c>
      <c r="C229" s="3" t="s">
        <v>40</v>
      </c>
      <c r="D229" s="3" t="s">
        <v>24</v>
      </c>
      <c r="E229" s="3" t="s">
        <v>992</v>
      </c>
      <c r="F229" s="3" t="s">
        <v>42</v>
      </c>
      <c r="G229" s="2">
        <v>37.06</v>
      </c>
      <c r="H229" s="2">
        <v>4</v>
      </c>
      <c r="I229" s="2">
        <v>7.4119999999999999</v>
      </c>
      <c r="J229" s="2">
        <v>155.65199999999999</v>
      </c>
      <c r="K229" s="5">
        <v>43496</v>
      </c>
      <c r="L229" s="4">
        <v>0.68333333333333335</v>
      </c>
      <c r="M229" s="3" t="s">
        <v>33</v>
      </c>
      <c r="N229" s="2">
        <v>148.24</v>
      </c>
      <c r="O229" s="2">
        <v>4.7619047620000003</v>
      </c>
      <c r="P229" s="2">
        <v>7.4119999999999999</v>
      </c>
      <c r="Q229" s="2">
        <v>9.6999999999999993</v>
      </c>
      <c r="R229" s="3"/>
      <c r="S229" s="1"/>
      <c r="T229" s="1"/>
      <c r="U229" s="1" t="s">
        <v>37</v>
      </c>
      <c r="V229" s="1" t="s">
        <v>37</v>
      </c>
      <c r="W229" s="1" t="s">
        <v>37</v>
      </c>
    </row>
    <row r="230" spans="1:23">
      <c r="A230" s="3" t="s">
        <v>1496</v>
      </c>
      <c r="B230" s="3" t="s">
        <v>115</v>
      </c>
      <c r="C230" s="3" t="s">
        <v>116</v>
      </c>
      <c r="D230" s="3" t="s">
        <v>24</v>
      </c>
      <c r="E230" s="3" t="s">
        <v>25</v>
      </c>
      <c r="F230" s="3" t="s">
        <v>42</v>
      </c>
      <c r="G230" s="2">
        <v>90.7</v>
      </c>
      <c r="H230" s="2">
        <v>6</v>
      </c>
      <c r="I230" s="2">
        <v>27.21</v>
      </c>
      <c r="J230" s="2">
        <v>571.41</v>
      </c>
      <c r="K230" s="5">
        <v>43522</v>
      </c>
      <c r="L230" s="4">
        <v>0.45277777777777778</v>
      </c>
      <c r="M230" s="3" t="s">
        <v>49</v>
      </c>
      <c r="N230" s="2">
        <v>544.20000000000005</v>
      </c>
      <c r="O230" s="2">
        <v>4.7619047620000003</v>
      </c>
      <c r="P230" s="2">
        <v>27.21</v>
      </c>
      <c r="Q230" s="2">
        <v>5.3</v>
      </c>
      <c r="R230" s="3"/>
      <c r="S230" s="1"/>
      <c r="T230" s="1"/>
      <c r="U230" s="1" t="s">
        <v>37</v>
      </c>
      <c r="V230" s="1" t="s">
        <v>37</v>
      </c>
      <c r="W230" s="1" t="s">
        <v>37</v>
      </c>
    </row>
    <row r="231" spans="1:23">
      <c r="A231" s="3" t="s">
        <v>1503</v>
      </c>
      <c r="B231" s="3" t="s">
        <v>22</v>
      </c>
      <c r="C231" s="3" t="s">
        <v>23</v>
      </c>
      <c r="D231" s="3" t="s">
        <v>41</v>
      </c>
      <c r="E231" s="3" t="s">
        <v>25</v>
      </c>
      <c r="F231" s="3" t="s">
        <v>53</v>
      </c>
      <c r="G231" s="2">
        <v>63.42</v>
      </c>
      <c r="H231" s="2">
        <v>8</v>
      </c>
      <c r="I231" s="2">
        <v>25.367999999999999</v>
      </c>
      <c r="J231" s="2">
        <v>532.72799999999995</v>
      </c>
      <c r="K231" s="5">
        <v>43535</v>
      </c>
      <c r="L231" s="4">
        <v>0.53819444444444442</v>
      </c>
      <c r="M231" s="3" t="s">
        <v>33</v>
      </c>
      <c r="N231" s="2">
        <v>507.36</v>
      </c>
      <c r="O231" s="2">
        <v>4.7619047620000003</v>
      </c>
      <c r="P231" s="2">
        <v>25.367999999999999</v>
      </c>
      <c r="Q231" s="2">
        <v>7.4</v>
      </c>
      <c r="R231" s="3"/>
      <c r="S231" s="1"/>
      <c r="T231" s="1"/>
      <c r="U231" s="1" t="s">
        <v>37</v>
      </c>
      <c r="V231" s="1" t="s">
        <v>37</v>
      </c>
      <c r="W231" s="1" t="s">
        <v>37</v>
      </c>
    </row>
    <row r="232" spans="1:23">
      <c r="A232" s="3" t="s">
        <v>1509</v>
      </c>
      <c r="B232" s="3" t="s">
        <v>115</v>
      </c>
      <c r="C232" s="3" t="s">
        <v>116</v>
      </c>
      <c r="D232" s="3" t="s">
        <v>41</v>
      </c>
      <c r="E232" s="3" t="s">
        <v>25</v>
      </c>
      <c r="F232" s="3" t="s">
        <v>127</v>
      </c>
      <c r="G232" s="2">
        <v>81.37</v>
      </c>
      <c r="H232" s="2">
        <v>2</v>
      </c>
      <c r="I232" s="2">
        <v>8.1370000000000005</v>
      </c>
      <c r="J232" s="2">
        <v>170.87700000000001</v>
      </c>
      <c r="K232" s="5">
        <v>43491</v>
      </c>
      <c r="L232" s="4">
        <v>0.81111111111111112</v>
      </c>
      <c r="M232" s="3" t="s">
        <v>49</v>
      </c>
      <c r="N232" s="2">
        <v>162.74</v>
      </c>
      <c r="O232" s="2">
        <v>4.7619047620000003</v>
      </c>
      <c r="P232" s="2">
        <v>8.1370000000000005</v>
      </c>
      <c r="Q232" s="2">
        <v>6.5</v>
      </c>
      <c r="R232" s="3"/>
      <c r="S232" s="1"/>
      <c r="T232" s="1"/>
      <c r="U232" s="1" t="s">
        <v>37</v>
      </c>
      <c r="V232" s="1" t="s">
        <v>37</v>
      </c>
      <c r="W232" s="1" t="s">
        <v>37</v>
      </c>
    </row>
    <row r="233" spans="1:23">
      <c r="A233" s="3" t="s">
        <v>1515</v>
      </c>
      <c r="B233" s="3" t="s">
        <v>115</v>
      </c>
      <c r="C233" s="3" t="s">
        <v>116</v>
      </c>
      <c r="D233" s="3" t="s">
        <v>24</v>
      </c>
      <c r="E233" s="3" t="s">
        <v>25</v>
      </c>
      <c r="F233" s="3" t="s">
        <v>42</v>
      </c>
      <c r="G233" s="2">
        <v>10.59</v>
      </c>
      <c r="H233" s="2">
        <v>3</v>
      </c>
      <c r="I233" s="2">
        <v>1.5885</v>
      </c>
      <c r="J233" s="2">
        <v>33.358499999999999</v>
      </c>
      <c r="K233" s="5">
        <v>43536</v>
      </c>
      <c r="L233" s="4">
        <v>0.57777777777777772</v>
      </c>
      <c r="M233" s="3" t="s">
        <v>59</v>
      </c>
      <c r="N233" s="2">
        <v>31.77</v>
      </c>
      <c r="O233" s="2">
        <v>4.7619047620000003</v>
      </c>
      <c r="P233" s="2">
        <v>1.5885</v>
      </c>
      <c r="Q233" s="2">
        <v>8.6999999999999993</v>
      </c>
      <c r="R233" s="3"/>
      <c r="S233" s="1"/>
      <c r="T233" s="1"/>
      <c r="U233" s="1" t="s">
        <v>37</v>
      </c>
      <c r="V233" s="1" t="s">
        <v>37</v>
      </c>
      <c r="W233" s="1" t="s">
        <v>37</v>
      </c>
    </row>
    <row r="234" spans="1:23">
      <c r="A234" s="3" t="s">
        <v>1521</v>
      </c>
      <c r="B234" s="3" t="s">
        <v>115</v>
      </c>
      <c r="C234" s="3" t="s">
        <v>116</v>
      </c>
      <c r="D234" s="3" t="s">
        <v>41</v>
      </c>
      <c r="E234" s="3" t="s">
        <v>25</v>
      </c>
      <c r="F234" s="3" t="s">
        <v>26</v>
      </c>
      <c r="G234" s="2">
        <v>84.09</v>
      </c>
      <c r="H234" s="2">
        <v>9</v>
      </c>
      <c r="I234" s="2">
        <v>37.840499999999999</v>
      </c>
      <c r="J234" s="2">
        <v>794.65049999999997</v>
      </c>
      <c r="K234" s="5">
        <v>43507</v>
      </c>
      <c r="L234" s="4">
        <v>0.45416666666666666</v>
      </c>
      <c r="M234" s="3" t="s">
        <v>49</v>
      </c>
      <c r="N234" s="2">
        <v>756.81</v>
      </c>
      <c r="O234" s="2">
        <v>4.7619047620000003</v>
      </c>
      <c r="P234" s="2">
        <v>37.840499999999999</v>
      </c>
      <c r="Q234" s="2">
        <v>8</v>
      </c>
      <c r="R234" s="3"/>
      <c r="S234" s="1"/>
      <c r="T234" s="1"/>
      <c r="U234" s="1" t="s">
        <v>37</v>
      </c>
      <c r="V234" s="1" t="s">
        <v>37</v>
      </c>
      <c r="W234" s="1" t="s">
        <v>37</v>
      </c>
    </row>
    <row r="235" spans="1:23">
      <c r="A235" s="3" t="s">
        <v>1527</v>
      </c>
      <c r="B235" s="3" t="s">
        <v>115</v>
      </c>
      <c r="C235" s="3" t="s">
        <v>116</v>
      </c>
      <c r="D235" s="3" t="s">
        <v>24</v>
      </c>
      <c r="E235" s="3" t="s">
        <v>992</v>
      </c>
      <c r="F235" s="3" t="s">
        <v>127</v>
      </c>
      <c r="G235" s="2">
        <v>73.819999999999993</v>
      </c>
      <c r="H235" s="2">
        <v>4</v>
      </c>
      <c r="I235" s="2">
        <v>14.763999999999999</v>
      </c>
      <c r="J235" s="2">
        <v>310.04399999999998</v>
      </c>
      <c r="K235" s="5">
        <v>43517</v>
      </c>
      <c r="L235" s="4">
        <v>0.77152777777777781</v>
      </c>
      <c r="M235" s="3" t="s">
        <v>49</v>
      </c>
      <c r="N235" s="2">
        <v>295.27999999999997</v>
      </c>
      <c r="O235" s="2">
        <v>4.7619047620000003</v>
      </c>
      <c r="P235" s="2">
        <v>14.763999999999999</v>
      </c>
      <c r="Q235" s="2">
        <v>6.7</v>
      </c>
      <c r="R235" s="3"/>
      <c r="S235" s="1"/>
      <c r="T235" s="1"/>
      <c r="U235" s="1" t="s">
        <v>37</v>
      </c>
      <c r="V235" s="1" t="s">
        <v>37</v>
      </c>
      <c r="W235" s="1" t="s">
        <v>37</v>
      </c>
    </row>
    <row r="236" spans="1:23">
      <c r="A236" s="3" t="s">
        <v>1533</v>
      </c>
      <c r="B236" s="3" t="s">
        <v>22</v>
      </c>
      <c r="C236" s="3" t="s">
        <v>23</v>
      </c>
      <c r="D236" s="3" t="s">
        <v>24</v>
      </c>
      <c r="E236" s="3" t="s">
        <v>992</v>
      </c>
      <c r="F236" s="3" t="s">
        <v>26</v>
      </c>
      <c r="G236" s="2">
        <v>51.94</v>
      </c>
      <c r="H236" s="2">
        <v>10</v>
      </c>
      <c r="I236" s="2">
        <v>25.97</v>
      </c>
      <c r="J236" s="2">
        <v>545.37</v>
      </c>
      <c r="K236" s="5">
        <v>43533</v>
      </c>
      <c r="L236" s="4">
        <v>0.76666666666666672</v>
      </c>
      <c r="M236" s="3" t="s">
        <v>33</v>
      </c>
      <c r="N236" s="2">
        <v>519.4</v>
      </c>
      <c r="O236" s="2">
        <v>4.7619047620000003</v>
      </c>
      <c r="P236" s="2">
        <v>25.97</v>
      </c>
      <c r="Q236" s="2">
        <v>6.5</v>
      </c>
      <c r="R236" s="3"/>
      <c r="S236" s="1"/>
      <c r="T236" s="1"/>
      <c r="U236" s="1" t="s">
        <v>37</v>
      </c>
      <c r="V236" s="1" t="s">
        <v>37</v>
      </c>
      <c r="W236" s="1" t="s">
        <v>37</v>
      </c>
    </row>
    <row r="237" spans="1:23">
      <c r="A237" s="3" t="s">
        <v>1539</v>
      </c>
      <c r="B237" s="3" t="s">
        <v>22</v>
      </c>
      <c r="C237" s="3" t="s">
        <v>23</v>
      </c>
      <c r="D237" s="3" t="s">
        <v>41</v>
      </c>
      <c r="E237" s="3" t="s">
        <v>25</v>
      </c>
      <c r="F237" s="3" t="s">
        <v>72</v>
      </c>
      <c r="G237" s="2">
        <v>93.14</v>
      </c>
      <c r="H237" s="2">
        <v>2</v>
      </c>
      <c r="I237" s="2">
        <v>9.3140000000000001</v>
      </c>
      <c r="J237" s="2">
        <v>195.59399999999999</v>
      </c>
      <c r="K237" s="5">
        <v>43485</v>
      </c>
      <c r="L237" s="4">
        <v>0.75624999999999998</v>
      </c>
      <c r="M237" s="3" t="s">
        <v>33</v>
      </c>
      <c r="N237" s="2">
        <v>186.28</v>
      </c>
      <c r="O237" s="2">
        <v>4.7619047620000003</v>
      </c>
      <c r="P237" s="2">
        <v>9.3140000000000001</v>
      </c>
      <c r="Q237" s="2">
        <v>4.0999999999999996</v>
      </c>
      <c r="R237" s="3"/>
      <c r="S237" s="1"/>
      <c r="T237" s="1"/>
      <c r="U237" s="1" t="s">
        <v>37</v>
      </c>
      <c r="V237" s="1" t="s">
        <v>37</v>
      </c>
      <c r="W237" s="1" t="s">
        <v>37</v>
      </c>
    </row>
    <row r="238" spans="1:23">
      <c r="A238" s="3" t="s">
        <v>1545</v>
      </c>
      <c r="B238" s="3" t="s">
        <v>39</v>
      </c>
      <c r="C238" s="3" t="s">
        <v>40</v>
      </c>
      <c r="D238" s="3" t="s">
        <v>41</v>
      </c>
      <c r="E238" s="3" t="s">
        <v>992</v>
      </c>
      <c r="F238" s="3" t="s">
        <v>26</v>
      </c>
      <c r="G238" s="2">
        <v>17.41</v>
      </c>
      <c r="H238" s="2">
        <v>5</v>
      </c>
      <c r="I238" s="2">
        <v>4.3525</v>
      </c>
      <c r="J238" s="2">
        <v>91.402500000000003</v>
      </c>
      <c r="K238" s="5">
        <v>43493</v>
      </c>
      <c r="L238" s="4">
        <v>0.63611111111111107</v>
      </c>
      <c r="M238" s="3" t="s">
        <v>59</v>
      </c>
      <c r="N238" s="2">
        <v>87.05</v>
      </c>
      <c r="O238" s="2">
        <v>4.7619047620000003</v>
      </c>
      <c r="P238" s="2">
        <v>4.3525</v>
      </c>
      <c r="Q238" s="2">
        <v>4.9000000000000004</v>
      </c>
      <c r="R238" s="3"/>
      <c r="S238" s="1"/>
      <c r="T238" s="1"/>
      <c r="U238" s="1" t="s">
        <v>37</v>
      </c>
      <c r="V238" s="1" t="s">
        <v>37</v>
      </c>
      <c r="W238" s="1" t="s">
        <v>37</v>
      </c>
    </row>
    <row r="239" spans="1:23">
      <c r="A239" s="3" t="s">
        <v>1551</v>
      </c>
      <c r="B239" s="3" t="s">
        <v>39</v>
      </c>
      <c r="C239" s="3" t="s">
        <v>40</v>
      </c>
      <c r="D239" s="3" t="s">
        <v>24</v>
      </c>
      <c r="E239" s="3" t="s">
        <v>25</v>
      </c>
      <c r="F239" s="3" t="s">
        <v>127</v>
      </c>
      <c r="G239" s="2">
        <v>44.22</v>
      </c>
      <c r="H239" s="2">
        <v>5</v>
      </c>
      <c r="I239" s="2">
        <v>11.055</v>
      </c>
      <c r="J239" s="2">
        <v>232.155</v>
      </c>
      <c r="K239" s="5">
        <v>43529</v>
      </c>
      <c r="L239" s="4">
        <v>0.71319444444444446</v>
      </c>
      <c r="M239" s="3" t="s">
        <v>59</v>
      </c>
      <c r="N239" s="2">
        <v>221.1</v>
      </c>
      <c r="O239" s="2">
        <v>4.7619047620000003</v>
      </c>
      <c r="P239" s="2">
        <v>11.055</v>
      </c>
      <c r="Q239" s="2">
        <v>8.6</v>
      </c>
      <c r="R239" s="3"/>
      <c r="S239" s="1"/>
      <c r="T239" s="1"/>
      <c r="U239" s="1" t="s">
        <v>37</v>
      </c>
      <c r="V239" s="1" t="s">
        <v>37</v>
      </c>
      <c r="W239" s="1" t="s">
        <v>37</v>
      </c>
    </row>
    <row r="240" spans="1:23">
      <c r="A240" s="3" t="s">
        <v>1557</v>
      </c>
      <c r="B240" s="3" t="s">
        <v>115</v>
      </c>
      <c r="C240" s="3" t="s">
        <v>116</v>
      </c>
      <c r="D240" s="3" t="s">
        <v>24</v>
      </c>
      <c r="E240" s="3" t="s">
        <v>25</v>
      </c>
      <c r="F240" s="3" t="s">
        <v>42</v>
      </c>
      <c r="G240" s="2">
        <v>13.22</v>
      </c>
      <c r="H240" s="2">
        <v>5</v>
      </c>
      <c r="I240" s="2">
        <v>3.3050000000000002</v>
      </c>
      <c r="J240" s="2">
        <v>69.405000000000001</v>
      </c>
      <c r="K240" s="5">
        <v>43526</v>
      </c>
      <c r="L240" s="4">
        <v>0.80972222222222223</v>
      </c>
      <c r="M240" s="3" t="s">
        <v>49</v>
      </c>
      <c r="N240" s="2">
        <v>66.099999999999994</v>
      </c>
      <c r="O240" s="2">
        <v>4.7619047620000003</v>
      </c>
      <c r="P240" s="2">
        <v>3.3050000000000002</v>
      </c>
      <c r="Q240" s="2">
        <v>4.3</v>
      </c>
      <c r="R240" s="3"/>
      <c r="S240" s="1"/>
      <c r="T240" s="1"/>
      <c r="U240" s="1" t="s">
        <v>37</v>
      </c>
      <c r="V240" s="1" t="s">
        <v>37</v>
      </c>
      <c r="W240" s="1" t="s">
        <v>37</v>
      </c>
    </row>
    <row r="241" spans="1:23">
      <c r="A241" s="3" t="s">
        <v>1563</v>
      </c>
      <c r="B241" s="3" t="s">
        <v>22</v>
      </c>
      <c r="C241" s="3" t="s">
        <v>23</v>
      </c>
      <c r="D241" s="3" t="s">
        <v>41</v>
      </c>
      <c r="E241" s="3" t="s">
        <v>992</v>
      </c>
      <c r="F241" s="3" t="s">
        <v>127</v>
      </c>
      <c r="G241" s="2">
        <v>89.69</v>
      </c>
      <c r="H241" s="2">
        <v>1</v>
      </c>
      <c r="I241" s="2">
        <v>4.4844999999999997</v>
      </c>
      <c r="J241" s="2">
        <v>94.174499999999995</v>
      </c>
      <c r="K241" s="5">
        <v>43476</v>
      </c>
      <c r="L241" s="4">
        <v>0.47222222222222221</v>
      </c>
      <c r="M241" s="3" t="s">
        <v>33</v>
      </c>
      <c r="N241" s="2">
        <v>89.69</v>
      </c>
      <c r="O241" s="2">
        <v>4.7619047620000003</v>
      </c>
      <c r="P241" s="2">
        <v>4.4844999999999997</v>
      </c>
      <c r="Q241" s="2">
        <v>4.9000000000000004</v>
      </c>
      <c r="R241" s="3"/>
      <c r="S241" s="1"/>
      <c r="T241" s="1"/>
      <c r="U241" s="1" t="s">
        <v>37</v>
      </c>
      <c r="V241" s="1" t="s">
        <v>37</v>
      </c>
      <c r="W241" s="1" t="s">
        <v>37</v>
      </c>
    </row>
    <row r="242" spans="1:23">
      <c r="A242" s="3" t="s">
        <v>1568</v>
      </c>
      <c r="B242" s="3" t="s">
        <v>22</v>
      </c>
      <c r="C242" s="3" t="s">
        <v>23</v>
      </c>
      <c r="D242" s="3" t="s">
        <v>41</v>
      </c>
      <c r="E242" s="3" t="s">
        <v>992</v>
      </c>
      <c r="F242" s="3" t="s">
        <v>117</v>
      </c>
      <c r="G242" s="2">
        <v>24.94</v>
      </c>
      <c r="H242" s="2">
        <v>9</v>
      </c>
      <c r="I242" s="2">
        <v>11.223000000000001</v>
      </c>
      <c r="J242" s="2">
        <v>235.68299999999999</v>
      </c>
      <c r="K242" s="5">
        <v>43476</v>
      </c>
      <c r="L242" s="4">
        <v>0.7006944444444444</v>
      </c>
      <c r="M242" s="3" t="s">
        <v>59</v>
      </c>
      <c r="N242" s="2">
        <v>224.46</v>
      </c>
      <c r="O242" s="2">
        <v>4.7619047620000003</v>
      </c>
      <c r="P242" s="2">
        <v>11.223000000000001</v>
      </c>
      <c r="Q242" s="2">
        <v>5.6</v>
      </c>
      <c r="R242" s="3"/>
      <c r="S242" s="1"/>
      <c r="T242" s="1"/>
      <c r="U242" s="1" t="s">
        <v>37</v>
      </c>
      <c r="V242" s="1" t="s">
        <v>37</v>
      </c>
      <c r="W242" s="1" t="s">
        <v>37</v>
      </c>
    </row>
    <row r="243" spans="1:23">
      <c r="A243" s="3" t="s">
        <v>1574</v>
      </c>
      <c r="B243" s="3" t="s">
        <v>22</v>
      </c>
      <c r="C243" s="3" t="s">
        <v>23</v>
      </c>
      <c r="D243" s="3" t="s">
        <v>41</v>
      </c>
      <c r="E243" s="3" t="s">
        <v>992</v>
      </c>
      <c r="F243" s="3" t="s">
        <v>26</v>
      </c>
      <c r="G243" s="2">
        <v>59.77</v>
      </c>
      <c r="H243" s="2">
        <v>2</v>
      </c>
      <c r="I243" s="2">
        <v>5.9770000000000003</v>
      </c>
      <c r="J243" s="2">
        <v>125.517</v>
      </c>
      <c r="K243" s="5">
        <v>43535</v>
      </c>
      <c r="L243" s="4">
        <v>0.50069444444444444</v>
      </c>
      <c r="M243" s="3" t="s">
        <v>59</v>
      </c>
      <c r="N243" s="2">
        <v>119.54</v>
      </c>
      <c r="O243" s="2">
        <v>4.7619047620000003</v>
      </c>
      <c r="P243" s="2">
        <v>5.9770000000000003</v>
      </c>
      <c r="Q243" s="2">
        <v>5.8</v>
      </c>
      <c r="R243" s="3"/>
      <c r="S243" s="1"/>
      <c r="T243" s="1"/>
      <c r="U243" s="1" t="s">
        <v>37</v>
      </c>
      <c r="V243" s="1" t="s">
        <v>37</v>
      </c>
      <c r="W243" s="1" t="s">
        <v>37</v>
      </c>
    </row>
    <row r="244" spans="1:23">
      <c r="A244" s="3" t="s">
        <v>1580</v>
      </c>
      <c r="B244" s="3" t="s">
        <v>39</v>
      </c>
      <c r="C244" s="3" t="s">
        <v>40</v>
      </c>
      <c r="D244" s="3" t="s">
        <v>24</v>
      </c>
      <c r="E244" s="3" t="s">
        <v>992</v>
      </c>
      <c r="F244" s="3" t="s">
        <v>127</v>
      </c>
      <c r="G244" s="2">
        <v>93.2</v>
      </c>
      <c r="H244" s="2">
        <v>2</v>
      </c>
      <c r="I244" s="2">
        <v>9.32</v>
      </c>
      <c r="J244" s="2">
        <v>195.72</v>
      </c>
      <c r="K244" s="5">
        <v>43524</v>
      </c>
      <c r="L244" s="4">
        <v>0.77569444444444446</v>
      </c>
      <c r="M244" s="3" t="s">
        <v>59</v>
      </c>
      <c r="N244" s="2">
        <v>186.4</v>
      </c>
      <c r="O244" s="2">
        <v>4.7619047620000003</v>
      </c>
      <c r="P244" s="2">
        <v>9.32</v>
      </c>
      <c r="Q244" s="2">
        <v>6</v>
      </c>
      <c r="R244" s="3"/>
      <c r="S244" s="1"/>
      <c r="T244" s="1"/>
      <c r="U244" s="1" t="s">
        <v>37</v>
      </c>
      <c r="V244" s="1" t="s">
        <v>37</v>
      </c>
      <c r="W244" s="1" t="s">
        <v>37</v>
      </c>
    </row>
    <row r="245" spans="1:23">
      <c r="A245" s="3" t="s">
        <v>1585</v>
      </c>
      <c r="B245" s="3" t="s">
        <v>22</v>
      </c>
      <c r="C245" s="3" t="s">
        <v>23</v>
      </c>
      <c r="D245" s="3" t="s">
        <v>24</v>
      </c>
      <c r="E245" s="3" t="s">
        <v>992</v>
      </c>
      <c r="F245" s="3" t="s">
        <v>53</v>
      </c>
      <c r="G245" s="2">
        <v>62.65</v>
      </c>
      <c r="H245" s="2">
        <v>4</v>
      </c>
      <c r="I245" s="2">
        <v>12.53</v>
      </c>
      <c r="J245" s="2">
        <v>263.13</v>
      </c>
      <c r="K245" s="5">
        <v>43470</v>
      </c>
      <c r="L245" s="4">
        <v>0.47569444444444442</v>
      </c>
      <c r="M245" s="3" t="s">
        <v>49</v>
      </c>
      <c r="N245" s="2">
        <v>250.6</v>
      </c>
      <c r="O245" s="2">
        <v>4.7619047620000003</v>
      </c>
      <c r="P245" s="2">
        <v>12.53</v>
      </c>
      <c r="Q245" s="2">
        <v>4.2</v>
      </c>
      <c r="R245" s="3"/>
      <c r="S245" s="1"/>
      <c r="T245" s="1"/>
      <c r="U245" s="1" t="s">
        <v>37</v>
      </c>
      <c r="V245" s="1" t="s">
        <v>37</v>
      </c>
      <c r="W245" s="1" t="s">
        <v>37</v>
      </c>
    </row>
    <row r="246" spans="1:23">
      <c r="A246" s="3" t="s">
        <v>1591</v>
      </c>
      <c r="B246" s="3" t="s">
        <v>115</v>
      </c>
      <c r="C246" s="3" t="s">
        <v>116</v>
      </c>
      <c r="D246" s="3" t="s">
        <v>41</v>
      </c>
      <c r="E246" s="3" t="s">
        <v>992</v>
      </c>
      <c r="F246" s="3" t="s">
        <v>53</v>
      </c>
      <c r="G246" s="2">
        <v>93.87</v>
      </c>
      <c r="H246" s="2">
        <v>8</v>
      </c>
      <c r="I246" s="2">
        <v>37.548000000000002</v>
      </c>
      <c r="J246" s="2">
        <v>788.50800000000004</v>
      </c>
      <c r="K246" s="5">
        <v>43498</v>
      </c>
      <c r="L246" s="4">
        <v>0.77916666666666667</v>
      </c>
      <c r="M246" s="3" t="s">
        <v>59</v>
      </c>
      <c r="N246" s="2">
        <v>750.96</v>
      </c>
      <c r="O246" s="2">
        <v>4.7619047620000003</v>
      </c>
      <c r="P246" s="2">
        <v>37.548000000000002</v>
      </c>
      <c r="Q246" s="2">
        <v>8.3000000000000007</v>
      </c>
      <c r="R246" s="3"/>
      <c r="S246" s="1"/>
      <c r="T246" s="1"/>
      <c r="U246" s="1" t="s">
        <v>37</v>
      </c>
      <c r="V246" s="1" t="s">
        <v>37</v>
      </c>
      <c r="W246" s="1" t="s">
        <v>37</v>
      </c>
    </row>
    <row r="247" spans="1:23">
      <c r="A247" s="3" t="s">
        <v>1597</v>
      </c>
      <c r="B247" s="3" t="s">
        <v>22</v>
      </c>
      <c r="C247" s="3" t="s">
        <v>23</v>
      </c>
      <c r="D247" s="3" t="s">
        <v>24</v>
      </c>
      <c r="E247" s="3" t="s">
        <v>992</v>
      </c>
      <c r="F247" s="3" t="s">
        <v>53</v>
      </c>
      <c r="G247" s="2">
        <v>47.59</v>
      </c>
      <c r="H247" s="2">
        <v>8</v>
      </c>
      <c r="I247" s="2">
        <v>19.036000000000001</v>
      </c>
      <c r="J247" s="2">
        <v>399.75599999999997</v>
      </c>
      <c r="K247" s="5">
        <v>43466</v>
      </c>
      <c r="L247" s="4">
        <v>0.61597222222222225</v>
      </c>
      <c r="M247" s="3" t="s">
        <v>49</v>
      </c>
      <c r="N247" s="2">
        <v>380.72</v>
      </c>
      <c r="O247" s="2">
        <v>4.7619047620000003</v>
      </c>
      <c r="P247" s="2">
        <v>19.036000000000001</v>
      </c>
      <c r="Q247" s="2">
        <v>5.7</v>
      </c>
      <c r="R247" s="3"/>
      <c r="S247" s="1"/>
      <c r="T247" s="1"/>
      <c r="U247" s="1" t="s">
        <v>37</v>
      </c>
      <c r="V247" s="1" t="s">
        <v>37</v>
      </c>
      <c r="W247" s="1" t="s">
        <v>37</v>
      </c>
    </row>
    <row r="248" spans="1:23">
      <c r="A248" s="3" t="s">
        <v>1603</v>
      </c>
      <c r="B248" s="3" t="s">
        <v>115</v>
      </c>
      <c r="C248" s="3" t="s">
        <v>116</v>
      </c>
      <c r="D248" s="3" t="s">
        <v>24</v>
      </c>
      <c r="E248" s="3" t="s">
        <v>25</v>
      </c>
      <c r="F248" s="3" t="s">
        <v>42</v>
      </c>
      <c r="G248" s="2">
        <v>81.400000000000006</v>
      </c>
      <c r="H248" s="2">
        <v>3</v>
      </c>
      <c r="I248" s="2">
        <v>12.21</v>
      </c>
      <c r="J248" s="2">
        <v>256.41000000000003</v>
      </c>
      <c r="K248" s="5">
        <v>43505</v>
      </c>
      <c r="L248" s="4">
        <v>0.82152777777777775</v>
      </c>
      <c r="M248" s="3" t="s">
        <v>49</v>
      </c>
      <c r="N248" s="2">
        <v>244.2</v>
      </c>
      <c r="O248" s="2">
        <v>4.7619047620000003</v>
      </c>
      <c r="P248" s="2">
        <v>12.21</v>
      </c>
      <c r="Q248" s="2">
        <v>4.8</v>
      </c>
      <c r="R248" s="3"/>
      <c r="S248" s="1"/>
      <c r="T248" s="1"/>
      <c r="U248" s="1" t="s">
        <v>37</v>
      </c>
      <c r="V248" s="1" t="s">
        <v>37</v>
      </c>
      <c r="W248" s="1" t="s">
        <v>37</v>
      </c>
    </row>
    <row r="249" spans="1:23">
      <c r="A249" s="3" t="s">
        <v>1609</v>
      </c>
      <c r="B249" s="3" t="s">
        <v>22</v>
      </c>
      <c r="C249" s="3" t="s">
        <v>23</v>
      </c>
      <c r="D249" s="3" t="s">
        <v>24</v>
      </c>
      <c r="E249" s="3" t="s">
        <v>992</v>
      </c>
      <c r="F249" s="3" t="s">
        <v>127</v>
      </c>
      <c r="G249" s="2">
        <v>17.940000000000001</v>
      </c>
      <c r="H249" s="2">
        <v>5</v>
      </c>
      <c r="I249" s="2">
        <v>4.4850000000000003</v>
      </c>
      <c r="J249" s="2">
        <v>94.185000000000002</v>
      </c>
      <c r="K249" s="5">
        <v>43488</v>
      </c>
      <c r="L249" s="4">
        <v>0.58611111111111114</v>
      </c>
      <c r="M249" s="3" t="s">
        <v>33</v>
      </c>
      <c r="N249" s="2">
        <v>89.7</v>
      </c>
      <c r="O249" s="2">
        <v>4.7619047620000003</v>
      </c>
      <c r="P249" s="2">
        <v>4.4850000000000003</v>
      </c>
      <c r="Q249" s="2">
        <v>6.8</v>
      </c>
      <c r="R249" s="3"/>
      <c r="S249" s="1"/>
      <c r="T249" s="1"/>
      <c r="U249" s="1" t="s">
        <v>37</v>
      </c>
      <c r="V249" s="1" t="s">
        <v>37</v>
      </c>
      <c r="W249" s="1" t="s">
        <v>37</v>
      </c>
    </row>
    <row r="250" spans="1:23">
      <c r="A250" s="3" t="s">
        <v>1615</v>
      </c>
      <c r="B250" s="3" t="s">
        <v>22</v>
      </c>
      <c r="C250" s="3" t="s">
        <v>23</v>
      </c>
      <c r="D250" s="3" t="s">
        <v>24</v>
      </c>
      <c r="E250" s="3" t="s">
        <v>992</v>
      </c>
      <c r="F250" s="3" t="s">
        <v>42</v>
      </c>
      <c r="G250" s="2">
        <v>77.72</v>
      </c>
      <c r="H250" s="2">
        <v>4</v>
      </c>
      <c r="I250" s="2">
        <v>15.544</v>
      </c>
      <c r="J250" s="2">
        <v>326.42399999999998</v>
      </c>
      <c r="K250" s="5">
        <v>43472</v>
      </c>
      <c r="L250" s="4">
        <v>0.6743055555555556</v>
      </c>
      <c r="M250" s="3" t="s">
        <v>59</v>
      </c>
      <c r="N250" s="2">
        <v>310.88</v>
      </c>
      <c r="O250" s="2">
        <v>4.7619047620000003</v>
      </c>
      <c r="P250" s="2">
        <v>15.544</v>
      </c>
      <c r="Q250" s="2">
        <v>8.8000000000000007</v>
      </c>
      <c r="R250" s="3"/>
      <c r="S250" s="1"/>
      <c r="T250" s="1"/>
      <c r="U250" s="1" t="s">
        <v>37</v>
      </c>
      <c r="V250" s="1" t="s">
        <v>37</v>
      </c>
      <c r="W250" s="1" t="s">
        <v>37</v>
      </c>
    </row>
    <row r="251" spans="1:23">
      <c r="A251" s="3" t="s">
        <v>1621</v>
      </c>
      <c r="B251" s="3" t="s">
        <v>115</v>
      </c>
      <c r="C251" s="3" t="s">
        <v>116</v>
      </c>
      <c r="D251" s="3" t="s">
        <v>41</v>
      </c>
      <c r="E251" s="3" t="s">
        <v>992</v>
      </c>
      <c r="F251" s="3" t="s">
        <v>117</v>
      </c>
      <c r="G251" s="2">
        <v>73.06</v>
      </c>
      <c r="H251" s="2">
        <v>7</v>
      </c>
      <c r="I251" s="2">
        <v>25.571000000000002</v>
      </c>
      <c r="J251" s="2">
        <v>536.99099999999999</v>
      </c>
      <c r="K251" s="5">
        <v>43479</v>
      </c>
      <c r="L251" s="4">
        <v>0.79583333333333328</v>
      </c>
      <c r="M251" s="3" t="s">
        <v>59</v>
      </c>
      <c r="N251" s="2">
        <v>511.42</v>
      </c>
      <c r="O251" s="2">
        <v>4.7619047620000003</v>
      </c>
      <c r="P251" s="2">
        <v>25.571000000000002</v>
      </c>
      <c r="Q251" s="2">
        <v>4.2</v>
      </c>
      <c r="R251" s="3"/>
      <c r="S251" s="1"/>
      <c r="T251" s="1"/>
      <c r="U251" s="1" t="s">
        <v>37</v>
      </c>
      <c r="V251" s="1" t="s">
        <v>37</v>
      </c>
      <c r="W251" s="1" t="s">
        <v>37</v>
      </c>
    </row>
    <row r="252" spans="1:23">
      <c r="A252" s="3" t="s">
        <v>1627</v>
      </c>
      <c r="B252" s="3" t="s">
        <v>115</v>
      </c>
      <c r="C252" s="3" t="s">
        <v>116</v>
      </c>
      <c r="D252" s="3" t="s">
        <v>24</v>
      </c>
      <c r="E252" s="3" t="s">
        <v>992</v>
      </c>
      <c r="F252" s="3" t="s">
        <v>117</v>
      </c>
      <c r="G252" s="2">
        <v>46.55</v>
      </c>
      <c r="H252" s="2">
        <v>9</v>
      </c>
      <c r="I252" s="2">
        <v>20.947500000000002</v>
      </c>
      <c r="J252" s="2">
        <v>439.89749999999998</v>
      </c>
      <c r="K252" s="5">
        <v>43498</v>
      </c>
      <c r="L252" s="4">
        <v>0.64861111111111114</v>
      </c>
      <c r="M252" s="3" t="s">
        <v>33</v>
      </c>
      <c r="N252" s="2">
        <v>418.95</v>
      </c>
      <c r="O252" s="2">
        <v>4.7619047620000003</v>
      </c>
      <c r="P252" s="2">
        <v>20.947500000000002</v>
      </c>
      <c r="Q252" s="2">
        <v>6.4</v>
      </c>
      <c r="R252" s="3"/>
      <c r="S252" s="1"/>
      <c r="T252" s="1"/>
      <c r="U252" s="1" t="s">
        <v>37</v>
      </c>
      <c r="V252" s="1" t="s">
        <v>37</v>
      </c>
      <c r="W252" s="1" t="s">
        <v>37</v>
      </c>
    </row>
    <row r="253" spans="1:23">
      <c r="A253" s="3" t="s">
        <v>1632</v>
      </c>
      <c r="B253" s="3" t="s">
        <v>39</v>
      </c>
      <c r="C253" s="3" t="s">
        <v>40</v>
      </c>
      <c r="D253" s="3" t="s">
        <v>24</v>
      </c>
      <c r="E253" s="3" t="s">
        <v>992</v>
      </c>
      <c r="F253" s="3" t="s">
        <v>127</v>
      </c>
      <c r="G253" s="2">
        <v>35.19</v>
      </c>
      <c r="H253" s="2">
        <v>10</v>
      </c>
      <c r="I253" s="2">
        <v>17.594999999999999</v>
      </c>
      <c r="J253" s="2">
        <v>369.495</v>
      </c>
      <c r="K253" s="5">
        <v>43541</v>
      </c>
      <c r="L253" s="4">
        <v>0.79583333333333328</v>
      </c>
      <c r="M253" s="3" t="s">
        <v>59</v>
      </c>
      <c r="N253" s="2">
        <v>351.9</v>
      </c>
      <c r="O253" s="2">
        <v>4.7619047620000003</v>
      </c>
      <c r="P253" s="2">
        <v>17.594999999999999</v>
      </c>
      <c r="Q253" s="2">
        <v>8.4</v>
      </c>
      <c r="R253" s="3"/>
      <c r="S253" s="1"/>
      <c r="T253" s="1"/>
      <c r="U253" s="1" t="s">
        <v>37</v>
      </c>
      <c r="V253" s="1" t="s">
        <v>37</v>
      </c>
      <c r="W253" s="1" t="s">
        <v>37</v>
      </c>
    </row>
    <row r="254" spans="1:23">
      <c r="A254" s="3" t="s">
        <v>1638</v>
      </c>
      <c r="B254" s="3" t="s">
        <v>39</v>
      </c>
      <c r="C254" s="3" t="s">
        <v>40</v>
      </c>
      <c r="D254" s="3" t="s">
        <v>41</v>
      </c>
      <c r="E254" s="3" t="s">
        <v>25</v>
      </c>
      <c r="F254" s="3" t="s">
        <v>72</v>
      </c>
      <c r="G254" s="2">
        <v>14.39</v>
      </c>
      <c r="H254" s="2">
        <v>2</v>
      </c>
      <c r="I254" s="2">
        <v>1.4390000000000001</v>
      </c>
      <c r="J254" s="2">
        <v>30.219000000000001</v>
      </c>
      <c r="K254" s="5">
        <v>43526</v>
      </c>
      <c r="L254" s="4">
        <v>0.82222222222222219</v>
      </c>
      <c r="M254" s="3" t="s">
        <v>59</v>
      </c>
      <c r="N254" s="2">
        <v>28.78</v>
      </c>
      <c r="O254" s="2">
        <v>4.7619047620000003</v>
      </c>
      <c r="P254" s="2">
        <v>1.4390000000000001</v>
      </c>
      <c r="Q254" s="2">
        <v>7.2</v>
      </c>
      <c r="R254" s="3"/>
      <c r="S254" s="1"/>
      <c r="T254" s="1"/>
      <c r="U254" s="1" t="s">
        <v>37</v>
      </c>
      <c r="V254" s="1" t="s">
        <v>37</v>
      </c>
      <c r="W254" s="1" t="s">
        <v>37</v>
      </c>
    </row>
    <row r="255" spans="1:23">
      <c r="A255" s="3" t="s">
        <v>1643</v>
      </c>
      <c r="B255" s="3" t="s">
        <v>22</v>
      </c>
      <c r="C255" s="3" t="s">
        <v>23</v>
      </c>
      <c r="D255" s="3" t="s">
        <v>41</v>
      </c>
      <c r="E255" s="3" t="s">
        <v>992</v>
      </c>
      <c r="F255" s="3" t="s">
        <v>53</v>
      </c>
      <c r="G255" s="2">
        <v>23.75</v>
      </c>
      <c r="H255" s="2">
        <v>4</v>
      </c>
      <c r="I255" s="2">
        <v>4.75</v>
      </c>
      <c r="J255" s="2">
        <v>99.75</v>
      </c>
      <c r="K255" s="5">
        <v>43540</v>
      </c>
      <c r="L255" s="4">
        <v>0.47361111111111109</v>
      </c>
      <c r="M255" s="3" t="s">
        <v>49</v>
      </c>
      <c r="N255" s="2">
        <v>95</v>
      </c>
      <c r="O255" s="2">
        <v>4.7619047620000003</v>
      </c>
      <c r="P255" s="2">
        <v>4.75</v>
      </c>
      <c r="Q255" s="2">
        <v>5.2</v>
      </c>
      <c r="R255" s="3"/>
      <c r="S255" s="1"/>
      <c r="T255" s="1"/>
      <c r="U255" s="1" t="s">
        <v>37</v>
      </c>
      <c r="V255" s="1" t="s">
        <v>37</v>
      </c>
      <c r="W255" s="1" t="s">
        <v>37</v>
      </c>
    </row>
    <row r="256" spans="1:23">
      <c r="A256" s="3" t="s">
        <v>1649</v>
      </c>
      <c r="B256" s="3" t="s">
        <v>22</v>
      </c>
      <c r="C256" s="3" t="s">
        <v>23</v>
      </c>
      <c r="D256" s="3" t="s">
        <v>24</v>
      </c>
      <c r="E256" s="3" t="s">
        <v>992</v>
      </c>
      <c r="F256" s="3" t="s">
        <v>53</v>
      </c>
      <c r="G256" s="2">
        <v>58.9</v>
      </c>
      <c r="H256" s="2">
        <v>8</v>
      </c>
      <c r="I256" s="2">
        <v>23.56</v>
      </c>
      <c r="J256" s="2">
        <v>494.76</v>
      </c>
      <c r="K256" s="5">
        <v>43471</v>
      </c>
      <c r="L256" s="4">
        <v>0.47430555555555554</v>
      </c>
      <c r="M256" s="3" t="s">
        <v>49</v>
      </c>
      <c r="N256" s="2">
        <v>471.2</v>
      </c>
      <c r="O256" s="2">
        <v>4.7619047620000003</v>
      </c>
      <c r="P256" s="2">
        <v>23.56</v>
      </c>
      <c r="Q256" s="2">
        <v>8.9</v>
      </c>
      <c r="R256" s="3"/>
      <c r="S256" s="1"/>
      <c r="T256" s="1"/>
      <c r="U256" s="1" t="s">
        <v>37</v>
      </c>
      <c r="V256" s="1" t="s">
        <v>37</v>
      </c>
      <c r="W256" s="1" t="s">
        <v>37</v>
      </c>
    </row>
    <row r="257" spans="1:23">
      <c r="A257" s="3" t="s">
        <v>1656</v>
      </c>
      <c r="B257" s="3" t="s">
        <v>115</v>
      </c>
      <c r="C257" s="3" t="s">
        <v>116</v>
      </c>
      <c r="D257" s="3" t="s">
        <v>24</v>
      </c>
      <c r="E257" s="3" t="s">
        <v>992</v>
      </c>
      <c r="F257" s="3" t="s">
        <v>127</v>
      </c>
      <c r="G257" s="2">
        <v>32.619999999999997</v>
      </c>
      <c r="H257" s="2">
        <v>4</v>
      </c>
      <c r="I257" s="2">
        <v>6.524</v>
      </c>
      <c r="J257" s="2">
        <v>137.00399999999999</v>
      </c>
      <c r="K257" s="5">
        <v>43494</v>
      </c>
      <c r="L257" s="4">
        <v>0.59166666666666667</v>
      </c>
      <c r="M257" s="3" t="s">
        <v>49</v>
      </c>
      <c r="N257" s="2">
        <v>130.47999999999999</v>
      </c>
      <c r="O257" s="2">
        <v>4.7619047620000003</v>
      </c>
      <c r="P257" s="2">
        <v>6.524</v>
      </c>
      <c r="Q257" s="2">
        <v>9</v>
      </c>
      <c r="R257" s="3"/>
      <c r="S257" s="1"/>
      <c r="T257" s="1"/>
      <c r="U257" s="1" t="s">
        <v>37</v>
      </c>
      <c r="V257" s="1" t="s">
        <v>37</v>
      </c>
      <c r="W257" s="1" t="s">
        <v>37</v>
      </c>
    </row>
    <row r="258" spans="1:23">
      <c r="A258" s="3" t="s">
        <v>1661</v>
      </c>
      <c r="B258" s="3" t="s">
        <v>22</v>
      </c>
      <c r="C258" s="3" t="s">
        <v>23</v>
      </c>
      <c r="D258" s="3" t="s">
        <v>24</v>
      </c>
      <c r="E258" s="3" t="s">
        <v>992</v>
      </c>
      <c r="F258" s="3" t="s">
        <v>42</v>
      </c>
      <c r="G258" s="2">
        <v>66.349999999999994</v>
      </c>
      <c r="H258" s="2">
        <v>1</v>
      </c>
      <c r="I258" s="2">
        <v>3.3174999999999999</v>
      </c>
      <c r="J258" s="2">
        <v>69.667500000000004</v>
      </c>
      <c r="K258" s="5">
        <v>43496</v>
      </c>
      <c r="L258" s="4">
        <v>0.44861111111111113</v>
      </c>
      <c r="M258" s="3" t="s">
        <v>59</v>
      </c>
      <c r="N258" s="2">
        <v>66.349999999999994</v>
      </c>
      <c r="O258" s="2">
        <v>4.7619047620000003</v>
      </c>
      <c r="P258" s="2">
        <v>3.3174999999999999</v>
      </c>
      <c r="Q258" s="2">
        <v>9.6999999999999993</v>
      </c>
      <c r="R258" s="3"/>
      <c r="S258" s="1"/>
      <c r="T258" s="1"/>
      <c r="U258" s="1" t="s">
        <v>37</v>
      </c>
      <c r="V258" s="1" t="s">
        <v>37</v>
      </c>
      <c r="W258" s="1" t="s">
        <v>37</v>
      </c>
    </row>
    <row r="259" spans="1:23">
      <c r="A259" s="3" t="s">
        <v>1666</v>
      </c>
      <c r="B259" s="3" t="s">
        <v>22</v>
      </c>
      <c r="C259" s="3" t="s">
        <v>23</v>
      </c>
      <c r="D259" s="3" t="s">
        <v>24</v>
      </c>
      <c r="E259" s="3" t="s">
        <v>992</v>
      </c>
      <c r="F259" s="3" t="s">
        <v>53</v>
      </c>
      <c r="G259" s="2">
        <v>25.91</v>
      </c>
      <c r="H259" s="2">
        <v>6</v>
      </c>
      <c r="I259" s="2">
        <v>7.7729999999999997</v>
      </c>
      <c r="J259" s="2">
        <v>163.233</v>
      </c>
      <c r="K259" s="5">
        <v>43501</v>
      </c>
      <c r="L259" s="4">
        <v>0.42777777777777776</v>
      </c>
      <c r="M259" s="3" t="s">
        <v>33</v>
      </c>
      <c r="N259" s="2">
        <v>155.46</v>
      </c>
      <c r="O259" s="2">
        <v>4.7619047620000003</v>
      </c>
      <c r="P259" s="2">
        <v>7.7729999999999997</v>
      </c>
      <c r="Q259" s="2">
        <v>8.6999999999999993</v>
      </c>
      <c r="R259" s="3"/>
      <c r="S259" s="1"/>
      <c r="T259" s="1"/>
      <c r="U259" s="1" t="s">
        <v>37</v>
      </c>
      <c r="V259" s="1" t="s">
        <v>37</v>
      </c>
      <c r="W259" s="1" t="s">
        <v>37</v>
      </c>
    </row>
    <row r="260" spans="1:23">
      <c r="A260" s="3" t="s">
        <v>1671</v>
      </c>
      <c r="B260" s="3" t="s">
        <v>22</v>
      </c>
      <c r="C260" s="3" t="s">
        <v>23</v>
      </c>
      <c r="D260" s="3" t="s">
        <v>24</v>
      </c>
      <c r="E260" s="3" t="s">
        <v>992</v>
      </c>
      <c r="F260" s="3" t="s">
        <v>42</v>
      </c>
      <c r="G260" s="2">
        <v>32.25</v>
      </c>
      <c r="H260" s="2">
        <v>4</v>
      </c>
      <c r="I260" s="2">
        <v>6.45</v>
      </c>
      <c r="J260" s="2">
        <v>135.44999999999999</v>
      </c>
      <c r="K260" s="5">
        <v>43509</v>
      </c>
      <c r="L260" s="4">
        <v>0.52638888888888891</v>
      </c>
      <c r="M260" s="3" t="s">
        <v>33</v>
      </c>
      <c r="N260" s="2">
        <v>129</v>
      </c>
      <c r="O260" s="2">
        <v>4.7619047620000003</v>
      </c>
      <c r="P260" s="2">
        <v>6.45</v>
      </c>
      <c r="Q260" s="2">
        <v>6.5</v>
      </c>
      <c r="R260" s="3"/>
      <c r="S260" s="1"/>
      <c r="T260" s="1"/>
      <c r="U260" s="1" t="s">
        <v>37</v>
      </c>
      <c r="V260" s="1" t="s">
        <v>37</v>
      </c>
      <c r="W260" s="1" t="s">
        <v>37</v>
      </c>
    </row>
    <row r="261" spans="1:23">
      <c r="A261" s="3" t="s">
        <v>1675</v>
      </c>
      <c r="B261" s="3" t="s">
        <v>39</v>
      </c>
      <c r="C261" s="3" t="s">
        <v>40</v>
      </c>
      <c r="D261" s="3" t="s">
        <v>24</v>
      </c>
      <c r="E261" s="3" t="s">
        <v>992</v>
      </c>
      <c r="F261" s="3" t="s">
        <v>42</v>
      </c>
      <c r="G261" s="2">
        <v>65.94</v>
      </c>
      <c r="H261" s="2">
        <v>4</v>
      </c>
      <c r="I261" s="2">
        <v>13.188000000000001</v>
      </c>
      <c r="J261" s="2">
        <v>276.94799999999998</v>
      </c>
      <c r="K261" s="5">
        <v>43503</v>
      </c>
      <c r="L261" s="4">
        <v>0.54513888888888884</v>
      </c>
      <c r="M261" s="3" t="s">
        <v>59</v>
      </c>
      <c r="N261" s="2">
        <v>263.76</v>
      </c>
      <c r="O261" s="2">
        <v>4.7619047620000003</v>
      </c>
      <c r="P261" s="2">
        <v>13.188000000000001</v>
      </c>
      <c r="Q261" s="2">
        <v>6.9</v>
      </c>
      <c r="R261" s="3"/>
      <c r="S261" s="1"/>
      <c r="T261" s="1"/>
      <c r="U261" s="1" t="s">
        <v>37</v>
      </c>
      <c r="V261" s="1" t="s">
        <v>37</v>
      </c>
      <c r="W261" s="1" t="s">
        <v>37</v>
      </c>
    </row>
    <row r="262" spans="1:23">
      <c r="A262" s="3" t="s">
        <v>1680</v>
      </c>
      <c r="B262" s="3" t="s">
        <v>22</v>
      </c>
      <c r="C262" s="3" t="s">
        <v>23</v>
      </c>
      <c r="D262" s="3" t="s">
        <v>41</v>
      </c>
      <c r="E262" s="3" t="s">
        <v>25</v>
      </c>
      <c r="F262" s="3" t="s">
        <v>42</v>
      </c>
      <c r="G262" s="2">
        <v>75.06</v>
      </c>
      <c r="H262" s="2">
        <v>9</v>
      </c>
      <c r="I262" s="2">
        <v>33.777000000000001</v>
      </c>
      <c r="J262" s="2">
        <v>709.31700000000001</v>
      </c>
      <c r="K262" s="5">
        <v>43543</v>
      </c>
      <c r="L262" s="4">
        <v>0.55902777777777779</v>
      </c>
      <c r="M262" s="3" t="s">
        <v>33</v>
      </c>
      <c r="N262" s="2">
        <v>675.54</v>
      </c>
      <c r="O262" s="2">
        <v>4.7619047620000003</v>
      </c>
      <c r="P262" s="2">
        <v>33.777000000000001</v>
      </c>
      <c r="Q262" s="2">
        <v>6.2</v>
      </c>
      <c r="R262" s="3"/>
      <c r="S262" s="1"/>
      <c r="T262" s="1"/>
      <c r="U262" s="1" t="s">
        <v>37</v>
      </c>
      <c r="V262" s="1" t="s">
        <v>37</v>
      </c>
      <c r="W262" s="1" t="s">
        <v>37</v>
      </c>
    </row>
    <row r="263" spans="1:23">
      <c r="A263" s="3" t="s">
        <v>1686</v>
      </c>
      <c r="B263" s="3" t="s">
        <v>39</v>
      </c>
      <c r="C263" s="3" t="s">
        <v>40</v>
      </c>
      <c r="D263" s="3" t="s">
        <v>41</v>
      </c>
      <c r="E263" s="3" t="s">
        <v>25</v>
      </c>
      <c r="F263" s="3" t="s">
        <v>127</v>
      </c>
      <c r="G263" s="2">
        <v>16.45</v>
      </c>
      <c r="H263" s="2">
        <v>4</v>
      </c>
      <c r="I263" s="2">
        <v>3.29</v>
      </c>
      <c r="J263" s="2">
        <v>69.09</v>
      </c>
      <c r="K263" s="5">
        <v>43531</v>
      </c>
      <c r="L263" s="4">
        <v>0.62013888888888891</v>
      </c>
      <c r="M263" s="3" t="s">
        <v>33</v>
      </c>
      <c r="N263" s="2">
        <v>65.8</v>
      </c>
      <c r="O263" s="2">
        <v>4.7619047620000003</v>
      </c>
      <c r="P263" s="2">
        <v>3.29</v>
      </c>
      <c r="Q263" s="2">
        <v>5.6</v>
      </c>
      <c r="R263" s="3"/>
      <c r="S263" s="1"/>
      <c r="T263" s="1"/>
      <c r="U263" s="1" t="s">
        <v>37</v>
      </c>
      <c r="V263" s="1" t="s">
        <v>37</v>
      </c>
      <c r="W263" s="1" t="s">
        <v>37</v>
      </c>
    </row>
    <row r="264" spans="1:23">
      <c r="A264" s="3" t="s">
        <v>1692</v>
      </c>
      <c r="B264" s="3" t="s">
        <v>115</v>
      </c>
      <c r="C264" s="3" t="s">
        <v>116</v>
      </c>
      <c r="D264" s="3" t="s">
        <v>24</v>
      </c>
      <c r="E264" s="3" t="s">
        <v>25</v>
      </c>
      <c r="F264" s="3" t="s">
        <v>127</v>
      </c>
      <c r="G264" s="2">
        <v>38.299999999999997</v>
      </c>
      <c r="H264" s="2">
        <v>4</v>
      </c>
      <c r="I264" s="2">
        <v>7.66</v>
      </c>
      <c r="J264" s="2">
        <v>160.86000000000001</v>
      </c>
      <c r="K264" s="5">
        <v>43537</v>
      </c>
      <c r="L264" s="4">
        <v>0.80694444444444446</v>
      </c>
      <c r="M264" s="3" t="s">
        <v>49</v>
      </c>
      <c r="N264" s="2">
        <v>153.19999999999999</v>
      </c>
      <c r="O264" s="2">
        <v>4.7619047620000003</v>
      </c>
      <c r="P264" s="2">
        <v>7.66</v>
      </c>
      <c r="Q264" s="2">
        <v>5.7</v>
      </c>
      <c r="R264" s="3"/>
      <c r="S264" s="1"/>
      <c r="T264" s="1"/>
      <c r="U264" s="1" t="s">
        <v>37</v>
      </c>
      <c r="V264" s="1" t="s">
        <v>37</v>
      </c>
      <c r="W264" s="1" t="s">
        <v>37</v>
      </c>
    </row>
    <row r="265" spans="1:23">
      <c r="A265" s="3" t="s">
        <v>1698</v>
      </c>
      <c r="B265" s="3" t="s">
        <v>22</v>
      </c>
      <c r="C265" s="3" t="s">
        <v>23</v>
      </c>
      <c r="D265" s="3" t="s">
        <v>24</v>
      </c>
      <c r="E265" s="3" t="s">
        <v>25</v>
      </c>
      <c r="F265" s="3" t="s">
        <v>72</v>
      </c>
      <c r="G265" s="2">
        <v>22.24</v>
      </c>
      <c r="H265" s="2">
        <v>10</v>
      </c>
      <c r="I265" s="2">
        <v>11.12</v>
      </c>
      <c r="J265" s="2">
        <v>233.52</v>
      </c>
      <c r="K265" s="5">
        <v>43505</v>
      </c>
      <c r="L265" s="4">
        <v>0.45833333333333331</v>
      </c>
      <c r="M265" s="3" t="s">
        <v>49</v>
      </c>
      <c r="N265" s="2">
        <v>222.4</v>
      </c>
      <c r="O265" s="2">
        <v>4.7619047620000003</v>
      </c>
      <c r="P265" s="2">
        <v>11.12</v>
      </c>
      <c r="Q265" s="2">
        <v>4.2</v>
      </c>
      <c r="R265" s="3"/>
      <c r="S265" s="1"/>
      <c r="T265" s="1"/>
      <c r="U265" s="1" t="s">
        <v>37</v>
      </c>
      <c r="V265" s="1" t="s">
        <v>37</v>
      </c>
      <c r="W265" s="1" t="s">
        <v>37</v>
      </c>
    </row>
    <row r="266" spans="1:23">
      <c r="A266" s="3" t="s">
        <v>1704</v>
      </c>
      <c r="B266" s="3" t="s">
        <v>115</v>
      </c>
      <c r="C266" s="3" t="s">
        <v>116</v>
      </c>
      <c r="D266" s="3" t="s">
        <v>41</v>
      </c>
      <c r="E266" s="3" t="s">
        <v>992</v>
      </c>
      <c r="F266" s="3" t="s">
        <v>72</v>
      </c>
      <c r="G266" s="2">
        <v>54.45</v>
      </c>
      <c r="H266" s="2">
        <v>1</v>
      </c>
      <c r="I266" s="2">
        <v>2.7225000000000001</v>
      </c>
      <c r="J266" s="2">
        <v>57.172499999999999</v>
      </c>
      <c r="K266" s="5">
        <v>43522</v>
      </c>
      <c r="L266" s="4">
        <v>0.80833333333333335</v>
      </c>
      <c r="M266" s="3" t="s">
        <v>33</v>
      </c>
      <c r="N266" s="2">
        <v>54.45</v>
      </c>
      <c r="O266" s="2">
        <v>4.7619047620000003</v>
      </c>
      <c r="P266" s="2">
        <v>2.7225000000000001</v>
      </c>
      <c r="Q266" s="2">
        <v>7.9</v>
      </c>
      <c r="R266" s="3"/>
      <c r="S266" s="1"/>
      <c r="T266" s="1"/>
      <c r="U266" s="1" t="s">
        <v>37</v>
      </c>
      <c r="V266" s="1" t="s">
        <v>37</v>
      </c>
      <c r="W266" s="1" t="s">
        <v>37</v>
      </c>
    </row>
    <row r="267" spans="1:23">
      <c r="A267" s="3" t="s">
        <v>1709</v>
      </c>
      <c r="B267" s="3" t="s">
        <v>22</v>
      </c>
      <c r="C267" s="3" t="s">
        <v>23</v>
      </c>
      <c r="D267" s="3" t="s">
        <v>24</v>
      </c>
      <c r="E267" s="3" t="s">
        <v>25</v>
      </c>
      <c r="F267" s="3" t="s">
        <v>72</v>
      </c>
      <c r="G267" s="2">
        <v>98.4</v>
      </c>
      <c r="H267" s="2">
        <v>7</v>
      </c>
      <c r="I267" s="2">
        <v>34.44</v>
      </c>
      <c r="J267" s="2">
        <v>723.24</v>
      </c>
      <c r="K267" s="5">
        <v>43536</v>
      </c>
      <c r="L267" s="4">
        <v>0.52986111111111112</v>
      </c>
      <c r="M267" s="3" t="s">
        <v>59</v>
      </c>
      <c r="N267" s="2">
        <v>688.8</v>
      </c>
      <c r="O267" s="2">
        <v>4.7619047620000003</v>
      </c>
      <c r="P267" s="2">
        <v>34.44</v>
      </c>
      <c r="Q267" s="2">
        <v>8.6999999999999993</v>
      </c>
      <c r="R267" s="3"/>
      <c r="S267" s="1"/>
      <c r="T267" s="1"/>
      <c r="U267" s="1" t="s">
        <v>37</v>
      </c>
      <c r="V267" s="1" t="s">
        <v>37</v>
      </c>
      <c r="W267" s="1" t="s">
        <v>37</v>
      </c>
    </row>
    <row r="268" spans="1:23">
      <c r="A268" s="3" t="s">
        <v>1714</v>
      </c>
      <c r="B268" s="3" t="s">
        <v>39</v>
      </c>
      <c r="C268" s="3" t="s">
        <v>40</v>
      </c>
      <c r="D268" s="3" t="s">
        <v>41</v>
      </c>
      <c r="E268" s="3" t="s">
        <v>992</v>
      </c>
      <c r="F268" s="3" t="s">
        <v>53</v>
      </c>
      <c r="G268" s="2">
        <v>35.47</v>
      </c>
      <c r="H268" s="2">
        <v>4</v>
      </c>
      <c r="I268" s="2">
        <v>7.0940000000000003</v>
      </c>
      <c r="J268" s="2">
        <v>148.97399999999999</v>
      </c>
      <c r="K268" s="5">
        <v>43538</v>
      </c>
      <c r="L268" s="4">
        <v>0.72361111111111109</v>
      </c>
      <c r="M268" s="3" t="s">
        <v>59</v>
      </c>
      <c r="N268" s="2">
        <v>141.88</v>
      </c>
      <c r="O268" s="2">
        <v>4.7619047620000003</v>
      </c>
      <c r="P268" s="2">
        <v>7.0940000000000003</v>
      </c>
      <c r="Q268" s="2">
        <v>6.9</v>
      </c>
      <c r="R268" s="3"/>
      <c r="S268" s="1"/>
      <c r="T268" s="1"/>
      <c r="U268" s="1" t="s">
        <v>37</v>
      </c>
      <c r="V268" s="1" t="s">
        <v>37</v>
      </c>
      <c r="W268" s="1" t="s">
        <v>37</v>
      </c>
    </row>
    <row r="269" spans="1:23">
      <c r="A269" s="3" t="s">
        <v>1721</v>
      </c>
      <c r="B269" s="3" t="s">
        <v>115</v>
      </c>
      <c r="C269" s="3" t="s">
        <v>116</v>
      </c>
      <c r="D269" s="3" t="s">
        <v>24</v>
      </c>
      <c r="E269" s="3" t="s">
        <v>25</v>
      </c>
      <c r="F269" s="3" t="s">
        <v>117</v>
      </c>
      <c r="G269" s="2">
        <v>74.599999999999994</v>
      </c>
      <c r="H269" s="2">
        <v>10</v>
      </c>
      <c r="I269" s="2">
        <v>37.299999999999997</v>
      </c>
      <c r="J269" s="2">
        <v>783.3</v>
      </c>
      <c r="K269" s="5">
        <v>43473</v>
      </c>
      <c r="L269" s="4">
        <v>0.87152777777777779</v>
      </c>
      <c r="M269" s="3" t="s">
        <v>49</v>
      </c>
      <c r="N269" s="2">
        <v>746</v>
      </c>
      <c r="O269" s="2">
        <v>4.7619047620000003</v>
      </c>
      <c r="P269" s="2">
        <v>37.299999999999997</v>
      </c>
      <c r="Q269" s="2">
        <v>9.5</v>
      </c>
      <c r="R269" s="3"/>
      <c r="S269" s="1"/>
      <c r="T269" s="1"/>
      <c r="U269" s="1" t="s">
        <v>37</v>
      </c>
      <c r="V269" s="1" t="s">
        <v>37</v>
      </c>
      <c r="W269" s="1" t="s">
        <v>37</v>
      </c>
    </row>
    <row r="270" spans="1:23">
      <c r="A270" s="3" t="s">
        <v>1727</v>
      </c>
      <c r="B270" s="3" t="s">
        <v>22</v>
      </c>
      <c r="C270" s="3" t="s">
        <v>23</v>
      </c>
      <c r="D270" s="3" t="s">
        <v>24</v>
      </c>
      <c r="E270" s="3" t="s">
        <v>992</v>
      </c>
      <c r="F270" s="3" t="s">
        <v>53</v>
      </c>
      <c r="G270" s="2">
        <v>70.739999999999995</v>
      </c>
      <c r="H270" s="2">
        <v>4</v>
      </c>
      <c r="I270" s="2">
        <v>14.148</v>
      </c>
      <c r="J270" s="2">
        <v>297.108</v>
      </c>
      <c r="K270" s="5">
        <v>43470</v>
      </c>
      <c r="L270" s="4">
        <v>0.67013888888888884</v>
      </c>
      <c r="M270" s="3" t="s">
        <v>59</v>
      </c>
      <c r="N270" s="2">
        <v>282.95999999999998</v>
      </c>
      <c r="O270" s="2">
        <v>4.7619047620000003</v>
      </c>
      <c r="P270" s="2">
        <v>14.148</v>
      </c>
      <c r="Q270" s="2">
        <v>4.4000000000000004</v>
      </c>
      <c r="R270" s="3"/>
      <c r="S270" s="1"/>
      <c r="T270" s="1"/>
      <c r="U270" s="1" t="s">
        <v>37</v>
      </c>
      <c r="V270" s="1" t="s">
        <v>37</v>
      </c>
      <c r="W270" s="1" t="s">
        <v>37</v>
      </c>
    </row>
    <row r="271" spans="1:23">
      <c r="A271" s="3" t="s">
        <v>1733</v>
      </c>
      <c r="B271" s="3" t="s">
        <v>22</v>
      </c>
      <c r="C271" s="3" t="s">
        <v>23</v>
      </c>
      <c r="D271" s="3" t="s">
        <v>24</v>
      </c>
      <c r="E271" s="3" t="s">
        <v>25</v>
      </c>
      <c r="F271" s="3" t="s">
        <v>53</v>
      </c>
      <c r="G271" s="2">
        <v>35.54</v>
      </c>
      <c r="H271" s="2">
        <v>10</v>
      </c>
      <c r="I271" s="2">
        <v>17.77</v>
      </c>
      <c r="J271" s="2">
        <v>373.17</v>
      </c>
      <c r="K271" s="5">
        <v>43469</v>
      </c>
      <c r="L271" s="4">
        <v>0.56527777777777777</v>
      </c>
      <c r="M271" s="3" t="s">
        <v>33</v>
      </c>
      <c r="N271" s="2">
        <v>355.4</v>
      </c>
      <c r="O271" s="2">
        <v>4.7619047620000003</v>
      </c>
      <c r="P271" s="2">
        <v>17.77</v>
      </c>
      <c r="Q271" s="2">
        <v>7</v>
      </c>
      <c r="R271" s="3"/>
      <c r="S271" s="1"/>
      <c r="T271" s="1"/>
      <c r="U271" s="1" t="s">
        <v>37</v>
      </c>
      <c r="V271" s="1" t="s">
        <v>37</v>
      </c>
      <c r="W271" s="1" t="s">
        <v>37</v>
      </c>
    </row>
    <row r="272" spans="1:23">
      <c r="A272" s="3" t="s">
        <v>1738</v>
      </c>
      <c r="B272" s="3" t="s">
        <v>115</v>
      </c>
      <c r="C272" s="3" t="s">
        <v>116</v>
      </c>
      <c r="D272" s="3" t="s">
        <v>41</v>
      </c>
      <c r="E272" s="3" t="s">
        <v>25</v>
      </c>
      <c r="F272" s="3" t="s">
        <v>72</v>
      </c>
      <c r="G272" s="2">
        <v>67.430000000000007</v>
      </c>
      <c r="H272" s="2">
        <v>5</v>
      </c>
      <c r="I272" s="2">
        <v>16.857500000000002</v>
      </c>
      <c r="J272" s="2">
        <v>354.00749999999999</v>
      </c>
      <c r="K272" s="5">
        <v>43530</v>
      </c>
      <c r="L272" s="4">
        <v>0.75902777777777775</v>
      </c>
      <c r="M272" s="3" t="s">
        <v>33</v>
      </c>
      <c r="N272" s="2">
        <v>337.15</v>
      </c>
      <c r="O272" s="2">
        <v>4.7619047620000003</v>
      </c>
      <c r="P272" s="2">
        <v>16.857500000000002</v>
      </c>
      <c r="Q272" s="2">
        <v>6.3</v>
      </c>
      <c r="R272" s="3"/>
      <c r="S272" s="1"/>
      <c r="T272" s="1"/>
      <c r="U272" s="1" t="s">
        <v>37</v>
      </c>
      <c r="V272" s="1" t="s">
        <v>37</v>
      </c>
      <c r="W272" s="1" t="s">
        <v>37</v>
      </c>
    </row>
    <row r="273" spans="1:23">
      <c r="A273" s="3" t="s">
        <v>1744</v>
      </c>
      <c r="B273" s="3" t="s">
        <v>39</v>
      </c>
      <c r="C273" s="3" t="s">
        <v>40</v>
      </c>
      <c r="D273" s="3" t="s">
        <v>24</v>
      </c>
      <c r="E273" s="3" t="s">
        <v>25</v>
      </c>
      <c r="F273" s="3" t="s">
        <v>26</v>
      </c>
      <c r="G273" s="2">
        <v>21.12</v>
      </c>
      <c r="H273" s="2">
        <v>2</v>
      </c>
      <c r="I273" s="2">
        <v>2.1120000000000001</v>
      </c>
      <c r="J273" s="2">
        <v>44.351999999999997</v>
      </c>
      <c r="K273" s="5">
        <v>43468</v>
      </c>
      <c r="L273" s="4">
        <v>0.80347222222222225</v>
      </c>
      <c r="M273" s="3" t="s">
        <v>49</v>
      </c>
      <c r="N273" s="2">
        <v>42.24</v>
      </c>
      <c r="O273" s="2">
        <v>4.7619047620000003</v>
      </c>
      <c r="P273" s="2">
        <v>2.1120000000000001</v>
      </c>
      <c r="Q273" s="2">
        <v>9.6999999999999993</v>
      </c>
      <c r="R273" s="3"/>
      <c r="S273" s="1"/>
      <c r="T273" s="1"/>
      <c r="U273" s="1" t="s">
        <v>37</v>
      </c>
      <c r="V273" s="1" t="s">
        <v>37</v>
      </c>
      <c r="W273" s="1" t="s">
        <v>37</v>
      </c>
    </row>
    <row r="274" spans="1:23">
      <c r="A274" s="3" t="s">
        <v>1749</v>
      </c>
      <c r="B274" s="3" t="s">
        <v>22</v>
      </c>
      <c r="C274" s="3" t="s">
        <v>23</v>
      </c>
      <c r="D274" s="3" t="s">
        <v>24</v>
      </c>
      <c r="E274" s="3" t="s">
        <v>25</v>
      </c>
      <c r="F274" s="3" t="s">
        <v>53</v>
      </c>
      <c r="G274" s="2">
        <v>21.54</v>
      </c>
      <c r="H274" s="2">
        <v>9</v>
      </c>
      <c r="I274" s="2">
        <v>9.6929999999999996</v>
      </c>
      <c r="J274" s="2">
        <v>203.553</v>
      </c>
      <c r="K274" s="5">
        <v>43472</v>
      </c>
      <c r="L274" s="4">
        <v>0.48888888888888887</v>
      </c>
      <c r="M274" s="3" t="s">
        <v>59</v>
      </c>
      <c r="N274" s="2">
        <v>193.86</v>
      </c>
      <c r="O274" s="2">
        <v>4.7619047620000003</v>
      </c>
      <c r="P274" s="2">
        <v>9.6929999999999996</v>
      </c>
      <c r="Q274" s="2">
        <v>8.8000000000000007</v>
      </c>
      <c r="R274" s="3"/>
      <c r="S274" s="1"/>
      <c r="T274" s="1"/>
      <c r="U274" s="1" t="s">
        <v>37</v>
      </c>
      <c r="V274" s="1" t="s">
        <v>37</v>
      </c>
      <c r="W274" s="1" t="s">
        <v>37</v>
      </c>
    </row>
    <row r="275" spans="1:23">
      <c r="A275" s="3" t="s">
        <v>1755</v>
      </c>
      <c r="B275" s="3" t="s">
        <v>22</v>
      </c>
      <c r="C275" s="3" t="s">
        <v>23</v>
      </c>
      <c r="D275" s="3" t="s">
        <v>41</v>
      </c>
      <c r="E275" s="3" t="s">
        <v>25</v>
      </c>
      <c r="F275" s="3" t="s">
        <v>53</v>
      </c>
      <c r="G275" s="2">
        <v>12.03</v>
      </c>
      <c r="H275" s="2">
        <v>2</v>
      </c>
      <c r="I275" s="2">
        <v>1.2030000000000001</v>
      </c>
      <c r="J275" s="2">
        <v>25.263000000000002</v>
      </c>
      <c r="K275" s="5">
        <v>43492</v>
      </c>
      <c r="L275" s="4">
        <v>0.66041666666666665</v>
      </c>
      <c r="M275" s="3" t="s">
        <v>49</v>
      </c>
      <c r="N275" s="2">
        <v>24.06</v>
      </c>
      <c r="O275" s="2">
        <v>4.7619047620000003</v>
      </c>
      <c r="P275" s="2">
        <v>1.2030000000000001</v>
      </c>
      <c r="Q275" s="2">
        <v>5.0999999999999996</v>
      </c>
      <c r="R275" s="3"/>
      <c r="S275" s="1"/>
      <c r="T275" s="1"/>
      <c r="U275" s="1" t="s">
        <v>37</v>
      </c>
      <c r="V275" s="1" t="s">
        <v>37</v>
      </c>
      <c r="W275" s="1" t="s">
        <v>37</v>
      </c>
    </row>
    <row r="276" spans="1:23">
      <c r="A276" s="3" t="s">
        <v>1761</v>
      </c>
      <c r="B276" s="3" t="s">
        <v>115</v>
      </c>
      <c r="C276" s="3" t="s">
        <v>116</v>
      </c>
      <c r="D276" s="3" t="s">
        <v>41</v>
      </c>
      <c r="E276" s="3" t="s">
        <v>25</v>
      </c>
      <c r="F276" s="3" t="s">
        <v>26</v>
      </c>
      <c r="G276" s="2">
        <v>99.71</v>
      </c>
      <c r="H276" s="2">
        <v>6</v>
      </c>
      <c r="I276" s="2">
        <v>29.913</v>
      </c>
      <c r="J276" s="2">
        <v>628.173</v>
      </c>
      <c r="K276" s="5">
        <v>43522</v>
      </c>
      <c r="L276" s="4">
        <v>0.70277777777777772</v>
      </c>
      <c r="M276" s="3" t="s">
        <v>33</v>
      </c>
      <c r="N276" s="2">
        <v>598.26</v>
      </c>
      <c r="O276" s="2">
        <v>4.7619047620000003</v>
      </c>
      <c r="P276" s="2">
        <v>29.913</v>
      </c>
      <c r="Q276" s="2">
        <v>7.9</v>
      </c>
      <c r="R276" s="3"/>
      <c r="S276" s="1"/>
      <c r="T276" s="1"/>
      <c r="U276" s="1" t="s">
        <v>37</v>
      </c>
      <c r="V276" s="1" t="s">
        <v>37</v>
      </c>
      <c r="W276" s="1" t="s">
        <v>37</v>
      </c>
    </row>
    <row r="277" spans="1:23">
      <c r="A277" s="3" t="s">
        <v>1767</v>
      </c>
      <c r="B277" s="3" t="s">
        <v>115</v>
      </c>
      <c r="C277" s="3" t="s">
        <v>116</v>
      </c>
      <c r="D277" s="3" t="s">
        <v>41</v>
      </c>
      <c r="E277" s="3" t="s">
        <v>992</v>
      </c>
      <c r="F277" s="3" t="s">
        <v>127</v>
      </c>
      <c r="G277" s="2">
        <v>47.97</v>
      </c>
      <c r="H277" s="2">
        <v>7</v>
      </c>
      <c r="I277" s="2">
        <v>16.7895</v>
      </c>
      <c r="J277" s="2">
        <v>352.5795</v>
      </c>
      <c r="K277" s="5">
        <v>43472</v>
      </c>
      <c r="L277" s="4">
        <v>0.86944444444444446</v>
      </c>
      <c r="M277" s="3" t="s">
        <v>49</v>
      </c>
      <c r="N277" s="2">
        <v>335.79</v>
      </c>
      <c r="O277" s="2">
        <v>4.7619047620000003</v>
      </c>
      <c r="P277" s="2">
        <v>16.7895</v>
      </c>
      <c r="Q277" s="2">
        <v>6.2</v>
      </c>
      <c r="R277" s="3"/>
      <c r="S277" s="1"/>
      <c r="T277" s="1"/>
      <c r="U277" s="1" t="s">
        <v>37</v>
      </c>
      <c r="V277" s="1" t="s">
        <v>37</v>
      </c>
      <c r="W277" s="1" t="s">
        <v>37</v>
      </c>
    </row>
    <row r="278" spans="1:23">
      <c r="A278" s="3" t="s">
        <v>1773</v>
      </c>
      <c r="B278" s="3" t="s">
        <v>39</v>
      </c>
      <c r="C278" s="3" t="s">
        <v>40</v>
      </c>
      <c r="D278" s="3" t="s">
        <v>24</v>
      </c>
      <c r="E278" s="3" t="s">
        <v>25</v>
      </c>
      <c r="F278" s="3" t="s">
        <v>53</v>
      </c>
      <c r="G278" s="2">
        <v>21.82</v>
      </c>
      <c r="H278" s="2">
        <v>10</v>
      </c>
      <c r="I278" s="2">
        <v>10.91</v>
      </c>
      <c r="J278" s="2">
        <v>229.11</v>
      </c>
      <c r="K278" s="5">
        <v>43472</v>
      </c>
      <c r="L278" s="4">
        <v>0.73333333333333328</v>
      </c>
      <c r="M278" s="3" t="s">
        <v>49</v>
      </c>
      <c r="N278" s="2">
        <v>218.2</v>
      </c>
      <c r="O278" s="2">
        <v>4.7619047620000003</v>
      </c>
      <c r="P278" s="2">
        <v>10.91</v>
      </c>
      <c r="Q278" s="2">
        <v>7.1</v>
      </c>
      <c r="R278" s="3"/>
      <c r="S278" s="1"/>
      <c r="T278" s="1"/>
      <c r="U278" s="1" t="s">
        <v>37</v>
      </c>
      <c r="V278" s="1" t="s">
        <v>37</v>
      </c>
      <c r="W278" s="1" t="s">
        <v>37</v>
      </c>
    </row>
    <row r="279" spans="1:23">
      <c r="A279" s="3" t="s">
        <v>1778</v>
      </c>
      <c r="B279" s="3" t="s">
        <v>39</v>
      </c>
      <c r="C279" s="3" t="s">
        <v>40</v>
      </c>
      <c r="D279" s="3" t="s">
        <v>41</v>
      </c>
      <c r="E279" s="3" t="s">
        <v>25</v>
      </c>
      <c r="F279" s="3" t="s">
        <v>127</v>
      </c>
      <c r="G279" s="2">
        <v>95.42</v>
      </c>
      <c r="H279" s="2">
        <v>4</v>
      </c>
      <c r="I279" s="2">
        <v>19.084</v>
      </c>
      <c r="J279" s="2">
        <v>400.76400000000001</v>
      </c>
      <c r="K279" s="5">
        <v>43498</v>
      </c>
      <c r="L279" s="4">
        <v>0.55763888888888891</v>
      </c>
      <c r="M279" s="3" t="s">
        <v>33</v>
      </c>
      <c r="N279" s="2">
        <v>381.68</v>
      </c>
      <c r="O279" s="2">
        <v>4.7619047620000003</v>
      </c>
      <c r="P279" s="2">
        <v>19.084</v>
      </c>
      <c r="Q279" s="2">
        <v>6.4</v>
      </c>
      <c r="R279" s="3"/>
      <c r="S279" s="1"/>
      <c r="T279" s="1"/>
      <c r="U279" s="1" t="s">
        <v>37</v>
      </c>
      <c r="V279" s="1" t="s">
        <v>37</v>
      </c>
      <c r="W279" s="1" t="s">
        <v>37</v>
      </c>
    </row>
    <row r="280" spans="1:23">
      <c r="A280" s="3" t="s">
        <v>1783</v>
      </c>
      <c r="B280" s="3" t="s">
        <v>39</v>
      </c>
      <c r="C280" s="3" t="s">
        <v>40</v>
      </c>
      <c r="D280" s="3" t="s">
        <v>24</v>
      </c>
      <c r="E280" s="3" t="s">
        <v>992</v>
      </c>
      <c r="F280" s="3" t="s">
        <v>127</v>
      </c>
      <c r="G280" s="2">
        <v>70.989999999999995</v>
      </c>
      <c r="H280" s="2">
        <v>10</v>
      </c>
      <c r="I280" s="2">
        <v>35.494999999999997</v>
      </c>
      <c r="J280" s="2">
        <v>745.39499999999998</v>
      </c>
      <c r="K280" s="5">
        <v>43544</v>
      </c>
      <c r="L280" s="4">
        <v>0.68611111111111112</v>
      </c>
      <c r="M280" s="3" t="s">
        <v>49</v>
      </c>
      <c r="N280" s="2">
        <v>709.9</v>
      </c>
      <c r="O280" s="2">
        <v>4.7619047620000003</v>
      </c>
      <c r="P280" s="2">
        <v>35.494999999999997</v>
      </c>
      <c r="Q280" s="2">
        <v>5.7</v>
      </c>
      <c r="R280" s="3"/>
      <c r="S280" s="1"/>
      <c r="T280" s="1"/>
      <c r="U280" s="1" t="s">
        <v>37</v>
      </c>
      <c r="V280" s="1" t="s">
        <v>37</v>
      </c>
      <c r="W280" s="1" t="s">
        <v>37</v>
      </c>
    </row>
    <row r="281" spans="1:23">
      <c r="A281" s="3" t="s">
        <v>1789</v>
      </c>
      <c r="B281" s="3" t="s">
        <v>22</v>
      </c>
      <c r="C281" s="3" t="s">
        <v>23</v>
      </c>
      <c r="D281" s="3" t="s">
        <v>24</v>
      </c>
      <c r="E281" s="3" t="s">
        <v>992</v>
      </c>
      <c r="F281" s="3" t="s">
        <v>72</v>
      </c>
      <c r="G281" s="2">
        <v>44.02</v>
      </c>
      <c r="H281" s="2">
        <v>10</v>
      </c>
      <c r="I281" s="2">
        <v>22.01</v>
      </c>
      <c r="J281" s="2">
        <v>462.21</v>
      </c>
      <c r="K281" s="5">
        <v>43544</v>
      </c>
      <c r="L281" s="4">
        <v>0.83125000000000004</v>
      </c>
      <c r="M281" s="3" t="s">
        <v>59</v>
      </c>
      <c r="N281" s="2">
        <v>440.2</v>
      </c>
      <c r="O281" s="2">
        <v>4.7619047620000003</v>
      </c>
      <c r="P281" s="2">
        <v>22.01</v>
      </c>
      <c r="Q281" s="2">
        <v>9.6</v>
      </c>
      <c r="R281" s="3"/>
      <c r="S281" s="1"/>
      <c r="T281" s="1"/>
      <c r="U281" s="1" t="s">
        <v>37</v>
      </c>
      <c r="V281" s="1" t="s">
        <v>37</v>
      </c>
      <c r="W281" s="1" t="s">
        <v>37</v>
      </c>
    </row>
    <row r="282" spans="1:23">
      <c r="A282" s="3" t="s">
        <v>1794</v>
      </c>
      <c r="B282" s="3" t="s">
        <v>22</v>
      </c>
      <c r="C282" s="3" t="s">
        <v>23</v>
      </c>
      <c r="D282" s="3" t="s">
        <v>41</v>
      </c>
      <c r="E282" s="3" t="s">
        <v>25</v>
      </c>
      <c r="F282" s="3" t="s">
        <v>53</v>
      </c>
      <c r="G282" s="2">
        <v>69.959999999999994</v>
      </c>
      <c r="H282" s="2">
        <v>8</v>
      </c>
      <c r="I282" s="2">
        <v>27.984000000000002</v>
      </c>
      <c r="J282" s="2">
        <v>587.66399999999999</v>
      </c>
      <c r="K282" s="5">
        <v>43511</v>
      </c>
      <c r="L282" s="4">
        <v>0.70902777777777781</v>
      </c>
      <c r="M282" s="3" t="s">
        <v>59</v>
      </c>
      <c r="N282" s="2">
        <v>559.67999999999995</v>
      </c>
      <c r="O282" s="2">
        <v>4.7619047620000003</v>
      </c>
      <c r="P282" s="2">
        <v>27.984000000000002</v>
      </c>
      <c r="Q282" s="2">
        <v>6.4</v>
      </c>
      <c r="R282" s="3"/>
      <c r="S282" s="1"/>
      <c r="T282" s="1"/>
      <c r="U282" s="1" t="s">
        <v>37</v>
      </c>
      <c r="V282" s="1" t="s">
        <v>37</v>
      </c>
      <c r="W282" s="1" t="s">
        <v>37</v>
      </c>
    </row>
    <row r="283" spans="1:23">
      <c r="A283" s="3" t="s">
        <v>1799</v>
      </c>
      <c r="B283" s="3" t="s">
        <v>39</v>
      </c>
      <c r="C283" s="3" t="s">
        <v>40</v>
      </c>
      <c r="D283" s="3" t="s">
        <v>41</v>
      </c>
      <c r="E283" s="3" t="s">
        <v>992</v>
      </c>
      <c r="F283" s="3" t="s">
        <v>53</v>
      </c>
      <c r="G283" s="2">
        <v>37</v>
      </c>
      <c r="H283" s="2">
        <v>1</v>
      </c>
      <c r="I283" s="2">
        <v>1.85</v>
      </c>
      <c r="J283" s="2">
        <v>38.85</v>
      </c>
      <c r="K283" s="5">
        <v>43530</v>
      </c>
      <c r="L283" s="4">
        <v>0.56180555555555556</v>
      </c>
      <c r="M283" s="3" t="s">
        <v>59</v>
      </c>
      <c r="N283" s="2">
        <v>37</v>
      </c>
      <c r="O283" s="2">
        <v>4.7619047620000003</v>
      </c>
      <c r="P283" s="2">
        <v>1.85</v>
      </c>
      <c r="Q283" s="2">
        <v>7.9</v>
      </c>
      <c r="R283" s="3"/>
      <c r="S283" s="1"/>
      <c r="T283" s="1"/>
      <c r="U283" s="1" t="s">
        <v>37</v>
      </c>
      <c r="V283" s="1" t="s">
        <v>37</v>
      </c>
      <c r="W283" s="1" t="s">
        <v>37</v>
      </c>
    </row>
    <row r="284" spans="1:23">
      <c r="A284" s="3" t="s">
        <v>1804</v>
      </c>
      <c r="B284" s="3" t="s">
        <v>22</v>
      </c>
      <c r="C284" s="3" t="s">
        <v>23</v>
      </c>
      <c r="D284" s="3" t="s">
        <v>41</v>
      </c>
      <c r="E284" s="3" t="s">
        <v>25</v>
      </c>
      <c r="F284" s="3" t="s">
        <v>72</v>
      </c>
      <c r="G284" s="2">
        <v>15.34</v>
      </c>
      <c r="H284" s="2">
        <v>1</v>
      </c>
      <c r="I284" s="2">
        <v>0.76700000000000002</v>
      </c>
      <c r="J284" s="2">
        <v>16.106999999999999</v>
      </c>
      <c r="K284" s="5">
        <v>43471</v>
      </c>
      <c r="L284" s="4">
        <v>0.46458333333333335</v>
      </c>
      <c r="M284" s="3" t="s">
        <v>49</v>
      </c>
      <c r="N284" s="2">
        <v>15.34</v>
      </c>
      <c r="O284" s="2">
        <v>4.7619047620000003</v>
      </c>
      <c r="P284" s="2">
        <v>0.76700000000000002</v>
      </c>
      <c r="Q284" s="2">
        <v>6.5</v>
      </c>
      <c r="R284" s="3"/>
      <c r="S284" s="1"/>
      <c r="T284" s="1"/>
      <c r="U284" s="1" t="s">
        <v>37</v>
      </c>
      <c r="V284" s="1" t="s">
        <v>37</v>
      </c>
      <c r="W284" s="1" t="s">
        <v>37</v>
      </c>
    </row>
    <row r="285" spans="1:23">
      <c r="A285" s="3" t="s">
        <v>1809</v>
      </c>
      <c r="B285" s="3" t="s">
        <v>22</v>
      </c>
      <c r="C285" s="3" t="s">
        <v>23</v>
      </c>
      <c r="D285" s="3" t="s">
        <v>24</v>
      </c>
      <c r="E285" s="3" t="s">
        <v>992</v>
      </c>
      <c r="F285" s="3" t="s">
        <v>26</v>
      </c>
      <c r="G285" s="2">
        <v>99.83</v>
      </c>
      <c r="H285" s="2">
        <v>6</v>
      </c>
      <c r="I285" s="2">
        <v>29.949000000000002</v>
      </c>
      <c r="J285" s="2">
        <v>628.92899999999997</v>
      </c>
      <c r="K285" s="5">
        <v>43528</v>
      </c>
      <c r="L285" s="4">
        <v>0.62638888888888888</v>
      </c>
      <c r="M285" s="3" t="s">
        <v>33</v>
      </c>
      <c r="N285" s="2">
        <v>598.98</v>
      </c>
      <c r="O285" s="2">
        <v>4.7619047620000003</v>
      </c>
      <c r="P285" s="2">
        <v>29.949000000000002</v>
      </c>
      <c r="Q285" s="2">
        <v>8.5</v>
      </c>
      <c r="R285" s="3"/>
      <c r="S285" s="1"/>
      <c r="T285" s="1"/>
      <c r="U285" s="1" t="s">
        <v>37</v>
      </c>
      <c r="V285" s="1" t="s">
        <v>37</v>
      </c>
      <c r="W285" s="1" t="s">
        <v>37</v>
      </c>
    </row>
    <row r="286" spans="1:23">
      <c r="A286" s="3" t="s">
        <v>1815</v>
      </c>
      <c r="B286" s="3" t="s">
        <v>22</v>
      </c>
      <c r="C286" s="3" t="s">
        <v>23</v>
      </c>
      <c r="D286" s="3" t="s">
        <v>24</v>
      </c>
      <c r="E286" s="3" t="s">
        <v>25</v>
      </c>
      <c r="F286" s="3" t="s">
        <v>26</v>
      </c>
      <c r="G286" s="2">
        <v>47.67</v>
      </c>
      <c r="H286" s="2">
        <v>4</v>
      </c>
      <c r="I286" s="2">
        <v>9.5340000000000007</v>
      </c>
      <c r="J286" s="2">
        <v>200.214</v>
      </c>
      <c r="K286" s="5">
        <v>43536</v>
      </c>
      <c r="L286" s="4">
        <v>0.59791666666666665</v>
      </c>
      <c r="M286" s="3" t="s">
        <v>49</v>
      </c>
      <c r="N286" s="2">
        <v>190.68</v>
      </c>
      <c r="O286" s="2">
        <v>4.7619047620000003</v>
      </c>
      <c r="P286" s="2">
        <v>9.5340000000000007</v>
      </c>
      <c r="Q286" s="2">
        <v>9.1</v>
      </c>
      <c r="R286" s="3"/>
      <c r="S286" s="1"/>
      <c r="T286" s="1"/>
      <c r="U286" s="1" t="s">
        <v>37</v>
      </c>
      <c r="V286" s="1" t="s">
        <v>37</v>
      </c>
      <c r="W286" s="1" t="s">
        <v>37</v>
      </c>
    </row>
    <row r="287" spans="1:23">
      <c r="A287" s="3" t="s">
        <v>1821</v>
      </c>
      <c r="B287" s="3" t="s">
        <v>115</v>
      </c>
      <c r="C287" s="3" t="s">
        <v>116</v>
      </c>
      <c r="D287" s="3" t="s">
        <v>41</v>
      </c>
      <c r="E287" s="3" t="s">
        <v>992</v>
      </c>
      <c r="F287" s="3" t="s">
        <v>26</v>
      </c>
      <c r="G287" s="2">
        <v>66.680000000000007</v>
      </c>
      <c r="H287" s="2">
        <v>5</v>
      </c>
      <c r="I287" s="2">
        <v>16.670000000000002</v>
      </c>
      <c r="J287" s="2">
        <v>350.07</v>
      </c>
      <c r="K287" s="5">
        <v>43516</v>
      </c>
      <c r="L287" s="4">
        <v>0.75069444444444444</v>
      </c>
      <c r="M287" s="3" t="s">
        <v>49</v>
      </c>
      <c r="N287" s="2">
        <v>333.4</v>
      </c>
      <c r="O287" s="2">
        <v>4.7619047620000003</v>
      </c>
      <c r="P287" s="2">
        <v>16.670000000000002</v>
      </c>
      <c r="Q287" s="2">
        <v>7.6</v>
      </c>
      <c r="R287" s="3"/>
      <c r="S287" s="1"/>
      <c r="T287" s="1"/>
      <c r="U287" s="1" t="s">
        <v>37</v>
      </c>
      <c r="V287" s="1" t="s">
        <v>37</v>
      </c>
      <c r="W287" s="1" t="s">
        <v>37</v>
      </c>
    </row>
    <row r="288" spans="1:23">
      <c r="A288" s="3" t="s">
        <v>1827</v>
      </c>
      <c r="B288" s="3" t="s">
        <v>39</v>
      </c>
      <c r="C288" s="3" t="s">
        <v>40</v>
      </c>
      <c r="D288" s="3" t="s">
        <v>24</v>
      </c>
      <c r="E288" s="3" t="s">
        <v>992</v>
      </c>
      <c r="F288" s="3" t="s">
        <v>53</v>
      </c>
      <c r="G288" s="2">
        <v>74.86</v>
      </c>
      <c r="H288" s="2">
        <v>1</v>
      </c>
      <c r="I288" s="2">
        <v>3.7429999999999999</v>
      </c>
      <c r="J288" s="2">
        <v>78.602999999999994</v>
      </c>
      <c r="K288" s="5">
        <v>43548</v>
      </c>
      <c r="L288" s="4">
        <v>0.61736111111111114</v>
      </c>
      <c r="M288" s="3" t="s">
        <v>49</v>
      </c>
      <c r="N288" s="2">
        <v>74.86</v>
      </c>
      <c r="O288" s="2">
        <v>4.7619047620000003</v>
      </c>
      <c r="P288" s="2">
        <v>3.7429999999999999</v>
      </c>
      <c r="Q288" s="2">
        <v>6.9</v>
      </c>
      <c r="R288" s="3"/>
      <c r="S288" s="1"/>
      <c r="T288" s="1"/>
      <c r="U288" s="1" t="s">
        <v>37</v>
      </c>
      <c r="V288" s="1" t="s">
        <v>37</v>
      </c>
      <c r="W288" s="1" t="s">
        <v>37</v>
      </c>
    </row>
    <row r="289" spans="1:23">
      <c r="A289" s="3" t="s">
        <v>1831</v>
      </c>
      <c r="B289" s="3" t="s">
        <v>39</v>
      </c>
      <c r="C289" s="3" t="s">
        <v>40</v>
      </c>
      <c r="D289" s="3" t="s">
        <v>41</v>
      </c>
      <c r="E289" s="3" t="s">
        <v>25</v>
      </c>
      <c r="F289" s="3" t="s">
        <v>72</v>
      </c>
      <c r="G289" s="2">
        <v>23.75</v>
      </c>
      <c r="H289" s="2">
        <v>9</v>
      </c>
      <c r="I289" s="2">
        <v>10.6875</v>
      </c>
      <c r="J289" s="2">
        <v>224.4375</v>
      </c>
      <c r="K289" s="5">
        <v>43496</v>
      </c>
      <c r="L289" s="4">
        <v>0.50138888888888888</v>
      </c>
      <c r="M289" s="3" t="s">
        <v>49</v>
      </c>
      <c r="N289" s="2">
        <v>213.75</v>
      </c>
      <c r="O289" s="2">
        <v>4.7619047620000003</v>
      </c>
      <c r="P289" s="2">
        <v>10.6875</v>
      </c>
      <c r="Q289" s="2">
        <v>9.5</v>
      </c>
      <c r="R289" s="3"/>
      <c r="S289" s="1"/>
      <c r="T289" s="1"/>
      <c r="U289" s="1" t="s">
        <v>37</v>
      </c>
      <c r="V289" s="1" t="s">
        <v>37</v>
      </c>
      <c r="W289" s="1" t="s">
        <v>37</v>
      </c>
    </row>
    <row r="290" spans="1:23">
      <c r="A290" s="3" t="s">
        <v>1835</v>
      </c>
      <c r="B290" s="3" t="s">
        <v>115</v>
      </c>
      <c r="C290" s="3" t="s">
        <v>116</v>
      </c>
      <c r="D290" s="3" t="s">
        <v>41</v>
      </c>
      <c r="E290" s="3" t="s">
        <v>25</v>
      </c>
      <c r="F290" s="3" t="s">
        <v>117</v>
      </c>
      <c r="G290" s="2">
        <v>48.51</v>
      </c>
      <c r="H290" s="2">
        <v>7</v>
      </c>
      <c r="I290" s="2">
        <v>16.9785</v>
      </c>
      <c r="J290" s="2">
        <v>356.54849999999999</v>
      </c>
      <c r="K290" s="5">
        <v>43490</v>
      </c>
      <c r="L290" s="4">
        <v>0.5625</v>
      </c>
      <c r="M290" s="3" t="s">
        <v>59</v>
      </c>
      <c r="N290" s="2">
        <v>339.57</v>
      </c>
      <c r="O290" s="2">
        <v>4.7619047620000003</v>
      </c>
      <c r="P290" s="2">
        <v>16.9785</v>
      </c>
      <c r="Q290" s="2">
        <v>5.2</v>
      </c>
      <c r="R290" s="3"/>
      <c r="S290" s="1"/>
      <c r="T290" s="1"/>
      <c r="U290" s="1" t="s">
        <v>37</v>
      </c>
      <c r="V290" s="1" t="s">
        <v>37</v>
      </c>
      <c r="W290" s="1" t="s">
        <v>37</v>
      </c>
    </row>
    <row r="291" spans="1:23">
      <c r="A291" s="3" t="s">
        <v>1841</v>
      </c>
      <c r="B291" s="3" t="s">
        <v>22</v>
      </c>
      <c r="C291" s="3" t="s">
        <v>23</v>
      </c>
      <c r="D291" s="3" t="s">
        <v>24</v>
      </c>
      <c r="E291" s="3" t="s">
        <v>25</v>
      </c>
      <c r="F291" s="3" t="s">
        <v>53</v>
      </c>
      <c r="G291" s="2">
        <v>94.88</v>
      </c>
      <c r="H291" s="2">
        <v>7</v>
      </c>
      <c r="I291" s="2">
        <v>33.207999999999998</v>
      </c>
      <c r="J291" s="2">
        <v>697.36800000000005</v>
      </c>
      <c r="K291" s="5">
        <v>43499</v>
      </c>
      <c r="L291" s="4">
        <v>0.60972222222222228</v>
      </c>
      <c r="M291" s="3" t="s">
        <v>49</v>
      </c>
      <c r="N291" s="2">
        <v>664.16</v>
      </c>
      <c r="O291" s="2">
        <v>4.7619047620000003</v>
      </c>
      <c r="P291" s="2">
        <v>33.207999999999998</v>
      </c>
      <c r="Q291" s="2">
        <v>4.2</v>
      </c>
      <c r="R291" s="3"/>
      <c r="S291" s="1"/>
      <c r="T291" s="1"/>
      <c r="U291" s="1" t="s">
        <v>37</v>
      </c>
      <c r="V291" s="1" t="s">
        <v>37</v>
      </c>
      <c r="W291" s="1" t="s">
        <v>37</v>
      </c>
    </row>
    <row r="292" spans="1:23">
      <c r="A292" s="3" t="s">
        <v>1847</v>
      </c>
      <c r="B292" s="3" t="s">
        <v>115</v>
      </c>
      <c r="C292" s="3" t="s">
        <v>116</v>
      </c>
      <c r="D292" s="3" t="s">
        <v>24</v>
      </c>
      <c r="E292" s="3" t="s">
        <v>992</v>
      </c>
      <c r="F292" s="3" t="s">
        <v>42</v>
      </c>
      <c r="G292" s="2">
        <v>40.299999999999997</v>
      </c>
      <c r="H292" s="2">
        <v>10</v>
      </c>
      <c r="I292" s="2">
        <v>20.149999999999999</v>
      </c>
      <c r="J292" s="2">
        <v>423.15</v>
      </c>
      <c r="K292" s="5">
        <v>43489</v>
      </c>
      <c r="L292" s="4">
        <v>0.73402777777777772</v>
      </c>
      <c r="M292" s="3" t="s">
        <v>59</v>
      </c>
      <c r="N292" s="2">
        <v>403</v>
      </c>
      <c r="O292" s="2">
        <v>4.7619047620000003</v>
      </c>
      <c r="P292" s="2">
        <v>20.149999999999999</v>
      </c>
      <c r="Q292" s="2">
        <v>7</v>
      </c>
      <c r="R292" s="3"/>
      <c r="S292" s="1"/>
      <c r="T292" s="1"/>
      <c r="U292" s="1" t="s">
        <v>37</v>
      </c>
      <c r="V292" s="1" t="s">
        <v>37</v>
      </c>
      <c r="W292" s="1" t="s">
        <v>37</v>
      </c>
    </row>
    <row r="293" spans="1:23">
      <c r="A293" s="3" t="s">
        <v>1852</v>
      </c>
      <c r="B293" s="3" t="s">
        <v>39</v>
      </c>
      <c r="C293" s="3" t="s">
        <v>40</v>
      </c>
      <c r="D293" s="3" t="s">
        <v>41</v>
      </c>
      <c r="E293" s="3" t="s">
        <v>992</v>
      </c>
      <c r="F293" s="3" t="s">
        <v>42</v>
      </c>
      <c r="G293" s="2">
        <v>27.85</v>
      </c>
      <c r="H293" s="2">
        <v>7</v>
      </c>
      <c r="I293" s="2">
        <v>9.7475000000000005</v>
      </c>
      <c r="J293" s="2">
        <v>204.69749999999999</v>
      </c>
      <c r="K293" s="5">
        <v>43538</v>
      </c>
      <c r="L293" s="4">
        <v>0.72222222222222221</v>
      </c>
      <c r="M293" s="3" t="s">
        <v>33</v>
      </c>
      <c r="N293" s="2">
        <v>194.95</v>
      </c>
      <c r="O293" s="2">
        <v>4.7619047620000003</v>
      </c>
      <c r="P293" s="2">
        <v>9.7475000000000005</v>
      </c>
      <c r="Q293" s="2">
        <v>6</v>
      </c>
      <c r="R293" s="3"/>
      <c r="S293" s="1"/>
      <c r="T293" s="1"/>
      <c r="U293" s="1" t="s">
        <v>37</v>
      </c>
      <c r="V293" s="1" t="s">
        <v>37</v>
      </c>
      <c r="W293" s="1" t="s">
        <v>37</v>
      </c>
    </row>
    <row r="294" spans="1:23">
      <c r="A294" s="3" t="s">
        <v>1858</v>
      </c>
      <c r="B294" s="3" t="s">
        <v>22</v>
      </c>
      <c r="C294" s="3" t="s">
        <v>23</v>
      </c>
      <c r="D294" s="3" t="s">
        <v>24</v>
      </c>
      <c r="E294" s="3" t="s">
        <v>25</v>
      </c>
      <c r="F294" s="3" t="s">
        <v>42</v>
      </c>
      <c r="G294" s="2">
        <v>62.48</v>
      </c>
      <c r="H294" s="2">
        <v>1</v>
      </c>
      <c r="I294" s="2">
        <v>3.1240000000000001</v>
      </c>
      <c r="J294" s="2">
        <v>65.603999999999999</v>
      </c>
      <c r="K294" s="5">
        <v>43514</v>
      </c>
      <c r="L294" s="4">
        <v>0.85347222222222219</v>
      </c>
      <c r="M294" s="3" t="s">
        <v>49</v>
      </c>
      <c r="N294" s="2">
        <v>62.48</v>
      </c>
      <c r="O294" s="2">
        <v>4.7619047620000003</v>
      </c>
      <c r="P294" s="2">
        <v>3.1240000000000001</v>
      </c>
      <c r="Q294" s="2">
        <v>4.7</v>
      </c>
      <c r="R294" s="3"/>
      <c r="S294" s="1"/>
      <c r="T294" s="1"/>
      <c r="U294" s="1" t="s">
        <v>37</v>
      </c>
      <c r="V294" s="1" t="s">
        <v>37</v>
      </c>
      <c r="W294" s="1" t="s">
        <v>37</v>
      </c>
    </row>
    <row r="295" spans="1:23">
      <c r="A295" s="3" t="s">
        <v>1863</v>
      </c>
      <c r="B295" s="3" t="s">
        <v>22</v>
      </c>
      <c r="C295" s="3" t="s">
        <v>23</v>
      </c>
      <c r="D295" s="3" t="s">
        <v>24</v>
      </c>
      <c r="E295" s="3" t="s">
        <v>25</v>
      </c>
      <c r="F295" s="3" t="s">
        <v>117</v>
      </c>
      <c r="G295" s="2">
        <v>36.36</v>
      </c>
      <c r="H295" s="2">
        <v>2</v>
      </c>
      <c r="I295" s="2">
        <v>3.6360000000000001</v>
      </c>
      <c r="J295" s="2">
        <v>76.355999999999995</v>
      </c>
      <c r="K295" s="5">
        <v>43486</v>
      </c>
      <c r="L295" s="4">
        <v>0.41666666666666669</v>
      </c>
      <c r="M295" s="3" t="s">
        <v>49</v>
      </c>
      <c r="N295" s="2">
        <v>72.72</v>
      </c>
      <c r="O295" s="2">
        <v>4.7619047620000003</v>
      </c>
      <c r="P295" s="2">
        <v>3.6360000000000001</v>
      </c>
      <c r="Q295" s="2">
        <v>7.1</v>
      </c>
      <c r="R295" s="3"/>
      <c r="S295" s="1"/>
      <c r="T295" s="1"/>
      <c r="U295" s="1" t="s">
        <v>37</v>
      </c>
      <c r="V295" s="1" t="s">
        <v>37</v>
      </c>
      <c r="W295" s="1" t="s">
        <v>37</v>
      </c>
    </row>
    <row r="296" spans="1:23">
      <c r="A296" s="3" t="s">
        <v>1868</v>
      </c>
      <c r="B296" s="3" t="s">
        <v>115</v>
      </c>
      <c r="C296" s="3" t="s">
        <v>116</v>
      </c>
      <c r="D296" s="3" t="s">
        <v>41</v>
      </c>
      <c r="E296" s="3" t="s">
        <v>992</v>
      </c>
      <c r="F296" s="3" t="s">
        <v>26</v>
      </c>
      <c r="G296" s="2">
        <v>18.11</v>
      </c>
      <c r="H296" s="2">
        <v>10</v>
      </c>
      <c r="I296" s="2">
        <v>9.0549999999999997</v>
      </c>
      <c r="J296" s="2">
        <v>190.155</v>
      </c>
      <c r="K296" s="5">
        <v>43537</v>
      </c>
      <c r="L296" s="4">
        <v>0.49027777777777776</v>
      </c>
      <c r="M296" s="3" t="s">
        <v>33</v>
      </c>
      <c r="N296" s="2">
        <v>181.1</v>
      </c>
      <c r="O296" s="2">
        <v>4.7619047620000003</v>
      </c>
      <c r="P296" s="2">
        <v>9.0549999999999997</v>
      </c>
      <c r="Q296" s="2">
        <v>5.9</v>
      </c>
      <c r="R296" s="3"/>
      <c r="S296" s="1"/>
      <c r="T296" s="1"/>
      <c r="U296" s="1" t="s">
        <v>37</v>
      </c>
      <c r="V296" s="1" t="s">
        <v>37</v>
      </c>
      <c r="W296" s="1" t="s">
        <v>37</v>
      </c>
    </row>
    <row r="297" spans="1:23">
      <c r="A297" s="3" t="s">
        <v>1874</v>
      </c>
      <c r="B297" s="3" t="s">
        <v>39</v>
      </c>
      <c r="C297" s="3" t="s">
        <v>40</v>
      </c>
      <c r="D297" s="3" t="s">
        <v>24</v>
      </c>
      <c r="E297" s="3" t="s">
        <v>25</v>
      </c>
      <c r="F297" s="3" t="s">
        <v>42</v>
      </c>
      <c r="G297" s="2">
        <v>51.92</v>
      </c>
      <c r="H297" s="2">
        <v>5</v>
      </c>
      <c r="I297" s="2">
        <v>12.98</v>
      </c>
      <c r="J297" s="2">
        <v>272.58</v>
      </c>
      <c r="K297" s="5">
        <v>43527</v>
      </c>
      <c r="L297" s="4">
        <v>0.5708333333333333</v>
      </c>
      <c r="M297" s="3" t="s">
        <v>49</v>
      </c>
      <c r="N297" s="2">
        <v>259.60000000000002</v>
      </c>
      <c r="O297" s="2">
        <v>4.7619047620000003</v>
      </c>
      <c r="P297" s="2">
        <v>12.98</v>
      </c>
      <c r="Q297" s="2">
        <v>7.5</v>
      </c>
      <c r="R297" s="3"/>
      <c r="S297" s="1"/>
      <c r="T297" s="1"/>
      <c r="U297" s="1" t="s">
        <v>37</v>
      </c>
      <c r="V297" s="1" t="s">
        <v>37</v>
      </c>
      <c r="W297" s="1" t="s">
        <v>37</v>
      </c>
    </row>
    <row r="298" spans="1:23">
      <c r="A298" s="3" t="s">
        <v>1880</v>
      </c>
      <c r="B298" s="3" t="s">
        <v>39</v>
      </c>
      <c r="C298" s="3" t="s">
        <v>40</v>
      </c>
      <c r="D298" s="3" t="s">
        <v>41</v>
      </c>
      <c r="E298" s="3" t="s">
        <v>992</v>
      </c>
      <c r="F298" s="3" t="s">
        <v>42</v>
      </c>
      <c r="G298" s="2">
        <v>28.84</v>
      </c>
      <c r="H298" s="2">
        <v>4</v>
      </c>
      <c r="I298" s="2">
        <v>5.7679999999999998</v>
      </c>
      <c r="J298" s="2">
        <v>121.128</v>
      </c>
      <c r="K298" s="5">
        <v>43553</v>
      </c>
      <c r="L298" s="4">
        <v>0.61388888888888893</v>
      </c>
      <c r="M298" s="3" t="s">
        <v>49</v>
      </c>
      <c r="N298" s="2">
        <v>115.36</v>
      </c>
      <c r="O298" s="2">
        <v>4.7619047620000003</v>
      </c>
      <c r="P298" s="2">
        <v>5.7679999999999998</v>
      </c>
      <c r="Q298" s="2">
        <v>6.4</v>
      </c>
      <c r="R298" s="3"/>
      <c r="S298" s="1"/>
      <c r="T298" s="1"/>
      <c r="U298" s="1" t="s">
        <v>37</v>
      </c>
      <c r="V298" s="1" t="s">
        <v>37</v>
      </c>
      <c r="W298" s="1" t="s">
        <v>37</v>
      </c>
    </row>
    <row r="299" spans="1:23">
      <c r="A299" s="3" t="s">
        <v>1886</v>
      </c>
      <c r="B299" s="3" t="s">
        <v>22</v>
      </c>
      <c r="C299" s="3" t="s">
        <v>23</v>
      </c>
      <c r="D299" s="3" t="s">
        <v>24</v>
      </c>
      <c r="E299" s="3" t="s">
        <v>992</v>
      </c>
      <c r="F299" s="3" t="s">
        <v>53</v>
      </c>
      <c r="G299" s="2">
        <v>78.38</v>
      </c>
      <c r="H299" s="2">
        <v>6</v>
      </c>
      <c r="I299" s="2">
        <v>23.513999999999999</v>
      </c>
      <c r="J299" s="2">
        <v>493.79399999999998</v>
      </c>
      <c r="K299" s="5">
        <v>43475</v>
      </c>
      <c r="L299" s="4">
        <v>0.59444444444444444</v>
      </c>
      <c r="M299" s="3" t="s">
        <v>33</v>
      </c>
      <c r="N299" s="2">
        <v>470.28</v>
      </c>
      <c r="O299" s="2">
        <v>4.7619047620000003</v>
      </c>
      <c r="P299" s="2">
        <v>23.513999999999999</v>
      </c>
      <c r="Q299" s="2">
        <v>5.8</v>
      </c>
      <c r="R299" s="3"/>
      <c r="S299" s="1"/>
      <c r="T299" s="1"/>
      <c r="U299" s="1" t="s">
        <v>37</v>
      </c>
      <c r="V299" s="1" t="s">
        <v>37</v>
      </c>
      <c r="W299" s="1" t="s">
        <v>37</v>
      </c>
    </row>
    <row r="300" spans="1:23">
      <c r="A300" s="3" t="s">
        <v>1892</v>
      </c>
      <c r="B300" s="3" t="s">
        <v>22</v>
      </c>
      <c r="C300" s="3" t="s">
        <v>23</v>
      </c>
      <c r="D300" s="3" t="s">
        <v>24</v>
      </c>
      <c r="E300" s="3" t="s">
        <v>992</v>
      </c>
      <c r="F300" s="3" t="s">
        <v>53</v>
      </c>
      <c r="G300" s="2">
        <v>60.01</v>
      </c>
      <c r="H300" s="2">
        <v>4</v>
      </c>
      <c r="I300" s="2">
        <v>12.002000000000001</v>
      </c>
      <c r="J300" s="2">
        <v>252.042</v>
      </c>
      <c r="K300" s="5">
        <v>43490</v>
      </c>
      <c r="L300" s="4">
        <v>0.66249999999999998</v>
      </c>
      <c r="M300" s="3" t="s">
        <v>49</v>
      </c>
      <c r="N300" s="2">
        <v>240.04</v>
      </c>
      <c r="O300" s="2">
        <v>4.7619047620000003</v>
      </c>
      <c r="P300" s="2">
        <v>12.002000000000001</v>
      </c>
      <c r="Q300" s="2">
        <v>4.5</v>
      </c>
      <c r="R300" s="3"/>
      <c r="S300" s="1"/>
      <c r="T300" s="1"/>
      <c r="U300" s="1" t="s">
        <v>37</v>
      </c>
      <c r="V300" s="1" t="s">
        <v>37</v>
      </c>
      <c r="W300" s="1" t="s">
        <v>37</v>
      </c>
    </row>
    <row r="301" spans="1:23">
      <c r="A301" s="3" t="s">
        <v>1898</v>
      </c>
      <c r="B301" s="3" t="s">
        <v>39</v>
      </c>
      <c r="C301" s="3" t="s">
        <v>40</v>
      </c>
      <c r="D301" s="3" t="s">
        <v>24</v>
      </c>
      <c r="E301" s="3" t="s">
        <v>25</v>
      </c>
      <c r="F301" s="3" t="s">
        <v>53</v>
      </c>
      <c r="G301" s="2">
        <v>88.61</v>
      </c>
      <c r="H301" s="2">
        <v>1</v>
      </c>
      <c r="I301" s="2">
        <v>4.4305000000000003</v>
      </c>
      <c r="J301" s="2">
        <v>93.040499999999994</v>
      </c>
      <c r="K301" s="5">
        <v>43484</v>
      </c>
      <c r="L301" s="4">
        <v>0.43125000000000002</v>
      </c>
      <c r="M301" s="3" t="s">
        <v>49</v>
      </c>
      <c r="N301" s="2">
        <v>88.61</v>
      </c>
      <c r="O301" s="2">
        <v>4.7619047620000003</v>
      </c>
      <c r="P301" s="2">
        <v>4.4305000000000003</v>
      </c>
      <c r="Q301" s="2">
        <v>7.7</v>
      </c>
      <c r="R301" s="3"/>
      <c r="S301" s="1"/>
      <c r="T301" s="1"/>
      <c r="U301" s="1" t="s">
        <v>37</v>
      </c>
      <c r="V301" s="1" t="s">
        <v>37</v>
      </c>
      <c r="W301" s="1" t="s">
        <v>37</v>
      </c>
    </row>
    <row r="302" spans="1:23">
      <c r="A302" s="3" t="s">
        <v>1903</v>
      </c>
      <c r="B302" s="3" t="s">
        <v>39</v>
      </c>
      <c r="C302" s="3" t="s">
        <v>40</v>
      </c>
      <c r="D302" s="3" t="s">
        <v>41</v>
      </c>
      <c r="E302" s="3" t="s">
        <v>992</v>
      </c>
      <c r="F302" s="3" t="s">
        <v>127</v>
      </c>
      <c r="G302" s="2">
        <v>99.82</v>
      </c>
      <c r="H302" s="2">
        <v>2</v>
      </c>
      <c r="I302" s="2">
        <v>9.9819999999999993</v>
      </c>
      <c r="J302" s="2">
        <v>209.62200000000001</v>
      </c>
      <c r="K302" s="5">
        <v>43467</v>
      </c>
      <c r="L302" s="4">
        <v>0.75624999999999998</v>
      </c>
      <c r="M302" s="3" t="s">
        <v>59</v>
      </c>
      <c r="N302" s="2">
        <v>199.64</v>
      </c>
      <c r="O302" s="2">
        <v>4.7619047620000003</v>
      </c>
      <c r="P302" s="2">
        <v>9.9819999999999993</v>
      </c>
      <c r="Q302" s="2">
        <v>6.7</v>
      </c>
      <c r="R302" s="3"/>
      <c r="S302" s="1"/>
      <c r="T302" s="1"/>
      <c r="U302" s="1" t="s">
        <v>37</v>
      </c>
      <c r="V302" s="1" t="s">
        <v>37</v>
      </c>
      <c r="W302" s="1" t="s">
        <v>37</v>
      </c>
    </row>
    <row r="303" spans="1:23">
      <c r="A303" s="3" t="s">
        <v>1908</v>
      </c>
      <c r="B303" s="3" t="s">
        <v>115</v>
      </c>
      <c r="C303" s="3" t="s">
        <v>116</v>
      </c>
      <c r="D303" s="3" t="s">
        <v>24</v>
      </c>
      <c r="E303" s="3" t="s">
        <v>992</v>
      </c>
      <c r="F303" s="3" t="s">
        <v>26</v>
      </c>
      <c r="G303" s="2">
        <v>39.01</v>
      </c>
      <c r="H303" s="2">
        <v>1</v>
      </c>
      <c r="I303" s="2">
        <v>1.9504999999999999</v>
      </c>
      <c r="J303" s="2">
        <v>40.960500000000003</v>
      </c>
      <c r="K303" s="5">
        <v>43536</v>
      </c>
      <c r="L303" s="4">
        <v>0.69861111111111107</v>
      </c>
      <c r="M303" s="3" t="s">
        <v>59</v>
      </c>
      <c r="N303" s="2">
        <v>39.01</v>
      </c>
      <c r="O303" s="2">
        <v>4.7619047620000003</v>
      </c>
      <c r="P303" s="2">
        <v>1.9504999999999999</v>
      </c>
      <c r="Q303" s="2">
        <v>4.7</v>
      </c>
      <c r="R303" s="3"/>
      <c r="S303" s="1"/>
      <c r="T303" s="1"/>
      <c r="U303" s="1" t="s">
        <v>37</v>
      </c>
      <c r="V303" s="1" t="s">
        <v>37</v>
      </c>
      <c r="W303" s="1" t="s">
        <v>37</v>
      </c>
    </row>
    <row r="304" spans="1:23">
      <c r="A304" s="3" t="s">
        <v>1913</v>
      </c>
      <c r="B304" s="3" t="s">
        <v>39</v>
      </c>
      <c r="C304" s="3" t="s">
        <v>40</v>
      </c>
      <c r="D304" s="3" t="s">
        <v>41</v>
      </c>
      <c r="E304" s="3" t="s">
        <v>992</v>
      </c>
      <c r="F304" s="3" t="s">
        <v>117</v>
      </c>
      <c r="G304" s="2">
        <v>48.61</v>
      </c>
      <c r="H304" s="2">
        <v>1</v>
      </c>
      <c r="I304" s="2">
        <v>2.4304999999999999</v>
      </c>
      <c r="J304" s="2">
        <v>51.040500000000002</v>
      </c>
      <c r="K304" s="5">
        <v>43521</v>
      </c>
      <c r="L304" s="4">
        <v>0.64652777777777781</v>
      </c>
      <c r="M304" s="3" t="s">
        <v>49</v>
      </c>
      <c r="N304" s="2">
        <v>48.61</v>
      </c>
      <c r="O304" s="2">
        <v>4.7619047620000003</v>
      </c>
      <c r="P304" s="2">
        <v>2.4304999999999999</v>
      </c>
      <c r="Q304" s="2">
        <v>4.4000000000000004</v>
      </c>
      <c r="R304" s="3"/>
      <c r="S304" s="1"/>
      <c r="T304" s="1"/>
      <c r="U304" s="1" t="s">
        <v>37</v>
      </c>
      <c r="V304" s="1" t="s">
        <v>37</v>
      </c>
      <c r="W304" s="1" t="s">
        <v>37</v>
      </c>
    </row>
    <row r="305" spans="1:23">
      <c r="A305" s="3" t="s">
        <v>1917</v>
      </c>
      <c r="B305" s="3" t="s">
        <v>22</v>
      </c>
      <c r="C305" s="3" t="s">
        <v>23</v>
      </c>
      <c r="D305" s="3" t="s">
        <v>41</v>
      </c>
      <c r="E305" s="3" t="s">
        <v>25</v>
      </c>
      <c r="F305" s="3" t="s">
        <v>42</v>
      </c>
      <c r="G305" s="2">
        <v>51.19</v>
      </c>
      <c r="H305" s="2">
        <v>4</v>
      </c>
      <c r="I305" s="2">
        <v>10.238</v>
      </c>
      <c r="J305" s="2">
        <v>214.99799999999999</v>
      </c>
      <c r="K305" s="5">
        <v>43542</v>
      </c>
      <c r="L305" s="4">
        <v>0.71875</v>
      </c>
      <c r="M305" s="3" t="s">
        <v>59</v>
      </c>
      <c r="N305" s="2">
        <v>204.76</v>
      </c>
      <c r="O305" s="2">
        <v>4.7619047620000003</v>
      </c>
      <c r="P305" s="2">
        <v>10.238</v>
      </c>
      <c r="Q305" s="2">
        <v>4.7</v>
      </c>
      <c r="R305" s="3"/>
      <c r="S305" s="1"/>
      <c r="T305" s="1"/>
      <c r="U305" s="1" t="s">
        <v>37</v>
      </c>
      <c r="V305" s="1" t="s">
        <v>37</v>
      </c>
      <c r="W305" s="1" t="s">
        <v>37</v>
      </c>
    </row>
    <row r="306" spans="1:23">
      <c r="A306" s="3" t="s">
        <v>1922</v>
      </c>
      <c r="B306" s="3" t="s">
        <v>115</v>
      </c>
      <c r="C306" s="3" t="s">
        <v>116</v>
      </c>
      <c r="D306" s="3" t="s">
        <v>41</v>
      </c>
      <c r="E306" s="3" t="s">
        <v>25</v>
      </c>
      <c r="F306" s="3" t="s">
        <v>42</v>
      </c>
      <c r="G306" s="2">
        <v>14.96</v>
      </c>
      <c r="H306" s="2">
        <v>8</v>
      </c>
      <c r="I306" s="2">
        <v>5.984</v>
      </c>
      <c r="J306" s="2">
        <v>125.664</v>
      </c>
      <c r="K306" s="5">
        <v>43519</v>
      </c>
      <c r="L306" s="4">
        <v>0.52013888888888893</v>
      </c>
      <c r="M306" s="3" t="s">
        <v>49</v>
      </c>
      <c r="N306" s="2">
        <v>119.68</v>
      </c>
      <c r="O306" s="2">
        <v>4.7619047620000003</v>
      </c>
      <c r="P306" s="2">
        <v>5.984</v>
      </c>
      <c r="Q306" s="2">
        <v>8.6</v>
      </c>
      <c r="R306" s="3"/>
      <c r="S306" s="1"/>
      <c r="T306" s="1"/>
      <c r="U306" s="1" t="s">
        <v>37</v>
      </c>
      <c r="V306" s="1" t="s">
        <v>37</v>
      </c>
      <c r="W306" s="1" t="s">
        <v>37</v>
      </c>
    </row>
    <row r="307" spans="1:23">
      <c r="A307" s="3" t="s">
        <v>1927</v>
      </c>
      <c r="B307" s="3" t="s">
        <v>22</v>
      </c>
      <c r="C307" s="3" t="s">
        <v>23</v>
      </c>
      <c r="D307" s="3" t="s">
        <v>24</v>
      </c>
      <c r="E307" s="3" t="s">
        <v>992</v>
      </c>
      <c r="F307" s="3" t="s">
        <v>42</v>
      </c>
      <c r="G307" s="2">
        <v>72.2</v>
      </c>
      <c r="H307" s="2">
        <v>7</v>
      </c>
      <c r="I307" s="2">
        <v>25.27</v>
      </c>
      <c r="J307" s="2">
        <v>530.66999999999996</v>
      </c>
      <c r="K307" s="5">
        <v>43550</v>
      </c>
      <c r="L307" s="4">
        <v>0.84305555555555556</v>
      </c>
      <c r="M307" s="3" t="s">
        <v>33</v>
      </c>
      <c r="N307" s="2">
        <v>505.4</v>
      </c>
      <c r="O307" s="2">
        <v>4.7619047620000003</v>
      </c>
      <c r="P307" s="2">
        <v>25.27</v>
      </c>
      <c r="Q307" s="2">
        <v>4.3</v>
      </c>
      <c r="R307" s="3"/>
      <c r="S307" s="1"/>
      <c r="T307" s="1"/>
      <c r="U307" s="1" t="s">
        <v>37</v>
      </c>
      <c r="V307" s="1" t="s">
        <v>37</v>
      </c>
      <c r="W307" s="1" t="s">
        <v>37</v>
      </c>
    </row>
    <row r="308" spans="1:23">
      <c r="A308" s="3" t="s">
        <v>1933</v>
      </c>
      <c r="B308" s="3" t="s">
        <v>22</v>
      </c>
      <c r="C308" s="3" t="s">
        <v>23</v>
      </c>
      <c r="D308" s="3" t="s">
        <v>41</v>
      </c>
      <c r="E308" s="3" t="s">
        <v>25</v>
      </c>
      <c r="F308" s="3" t="s">
        <v>72</v>
      </c>
      <c r="G308" s="2">
        <v>40.229999999999997</v>
      </c>
      <c r="H308" s="2">
        <v>7</v>
      </c>
      <c r="I308" s="2">
        <v>14.080500000000001</v>
      </c>
      <c r="J308" s="2">
        <v>295.69049999999999</v>
      </c>
      <c r="K308" s="5">
        <v>43554</v>
      </c>
      <c r="L308" s="4">
        <v>0.55694444444444446</v>
      </c>
      <c r="M308" s="3" t="s">
        <v>49</v>
      </c>
      <c r="N308" s="2">
        <v>281.61</v>
      </c>
      <c r="O308" s="2">
        <v>4.7619047620000003</v>
      </c>
      <c r="P308" s="2">
        <v>14.080500000000001</v>
      </c>
      <c r="Q308" s="2">
        <v>9.6</v>
      </c>
      <c r="R308" s="3"/>
      <c r="S308" s="1"/>
      <c r="T308" s="1"/>
      <c r="U308" s="1" t="s">
        <v>37</v>
      </c>
      <c r="V308" s="1" t="s">
        <v>37</v>
      </c>
      <c r="W308" s="1" t="s">
        <v>37</v>
      </c>
    </row>
    <row r="309" spans="1:23">
      <c r="A309" s="3" t="s">
        <v>1938</v>
      </c>
      <c r="B309" s="3" t="s">
        <v>22</v>
      </c>
      <c r="C309" s="3" t="s">
        <v>23</v>
      </c>
      <c r="D309" s="3" t="s">
        <v>24</v>
      </c>
      <c r="E309" s="3" t="s">
        <v>25</v>
      </c>
      <c r="F309" s="3" t="s">
        <v>53</v>
      </c>
      <c r="G309" s="2">
        <v>88.79</v>
      </c>
      <c r="H309" s="2">
        <v>8</v>
      </c>
      <c r="I309" s="2">
        <v>35.515999999999998</v>
      </c>
      <c r="J309" s="2">
        <v>745.83600000000001</v>
      </c>
      <c r="K309" s="5">
        <v>43513</v>
      </c>
      <c r="L309" s="4">
        <v>0.71458333333333335</v>
      </c>
      <c r="M309" s="3" t="s">
        <v>49</v>
      </c>
      <c r="N309" s="2">
        <v>710.32</v>
      </c>
      <c r="O309" s="2">
        <v>4.7619047620000003</v>
      </c>
      <c r="P309" s="2">
        <v>35.515999999999998</v>
      </c>
      <c r="Q309" s="2">
        <v>4.0999999999999996</v>
      </c>
      <c r="R309" s="3"/>
      <c r="S309" s="1"/>
      <c r="T309" s="1"/>
      <c r="U309" s="1" t="s">
        <v>37</v>
      </c>
      <c r="V309" s="1" t="s">
        <v>37</v>
      </c>
      <c r="W309" s="1" t="s">
        <v>37</v>
      </c>
    </row>
    <row r="310" spans="1:23">
      <c r="A310" s="3" t="s">
        <v>1944</v>
      </c>
      <c r="B310" s="3" t="s">
        <v>22</v>
      </c>
      <c r="C310" s="3" t="s">
        <v>23</v>
      </c>
      <c r="D310" s="3" t="s">
        <v>24</v>
      </c>
      <c r="E310" s="3" t="s">
        <v>25</v>
      </c>
      <c r="F310" s="3" t="s">
        <v>42</v>
      </c>
      <c r="G310" s="2">
        <v>26.48</v>
      </c>
      <c r="H310" s="2">
        <v>3</v>
      </c>
      <c r="I310" s="2">
        <v>3.972</v>
      </c>
      <c r="J310" s="2">
        <v>83.412000000000006</v>
      </c>
      <c r="K310" s="5">
        <v>43545</v>
      </c>
      <c r="L310" s="4">
        <v>0.44444444444444442</v>
      </c>
      <c r="M310" s="3" t="s">
        <v>33</v>
      </c>
      <c r="N310" s="2">
        <v>79.44</v>
      </c>
      <c r="O310" s="2">
        <v>4.7619047620000003</v>
      </c>
      <c r="P310" s="2">
        <v>3.972</v>
      </c>
      <c r="Q310" s="2">
        <v>4.7</v>
      </c>
      <c r="R310" s="3"/>
      <c r="S310" s="1"/>
      <c r="T310" s="1"/>
      <c r="U310" s="1" t="s">
        <v>37</v>
      </c>
      <c r="V310" s="1" t="s">
        <v>37</v>
      </c>
      <c r="W310" s="1" t="s">
        <v>37</v>
      </c>
    </row>
    <row r="311" spans="1:23">
      <c r="A311" s="3" t="s">
        <v>1949</v>
      </c>
      <c r="B311" s="3" t="s">
        <v>22</v>
      </c>
      <c r="C311" s="3" t="s">
        <v>23</v>
      </c>
      <c r="D311" s="3" t="s">
        <v>41</v>
      </c>
      <c r="E311" s="3" t="s">
        <v>25</v>
      </c>
      <c r="F311" s="3" t="s">
        <v>127</v>
      </c>
      <c r="G311" s="2">
        <v>81.91</v>
      </c>
      <c r="H311" s="2">
        <v>2</v>
      </c>
      <c r="I311" s="2">
        <v>8.1910000000000007</v>
      </c>
      <c r="J311" s="2">
        <v>172.011</v>
      </c>
      <c r="K311" s="5">
        <v>43529</v>
      </c>
      <c r="L311" s="4">
        <v>0.73819444444444449</v>
      </c>
      <c r="M311" s="3" t="s">
        <v>49</v>
      </c>
      <c r="N311" s="2">
        <v>163.82</v>
      </c>
      <c r="O311" s="2">
        <v>4.7619047620000003</v>
      </c>
      <c r="P311" s="2">
        <v>8.1910000000000007</v>
      </c>
      <c r="Q311" s="2">
        <v>7.8</v>
      </c>
      <c r="R311" s="3"/>
      <c r="S311" s="1"/>
      <c r="T311" s="1"/>
      <c r="U311" s="1" t="s">
        <v>37</v>
      </c>
      <c r="V311" s="1" t="s">
        <v>37</v>
      </c>
      <c r="W311" s="1" t="s">
        <v>37</v>
      </c>
    </row>
    <row r="312" spans="1:23">
      <c r="A312" s="3" t="s">
        <v>1955</v>
      </c>
      <c r="B312" s="3" t="s">
        <v>115</v>
      </c>
      <c r="C312" s="3" t="s">
        <v>116</v>
      </c>
      <c r="D312" s="3" t="s">
        <v>24</v>
      </c>
      <c r="E312" s="3" t="s">
        <v>992</v>
      </c>
      <c r="F312" s="3" t="s">
        <v>72</v>
      </c>
      <c r="G312" s="2">
        <v>79.930000000000007</v>
      </c>
      <c r="H312" s="2">
        <v>6</v>
      </c>
      <c r="I312" s="2">
        <v>23.978999999999999</v>
      </c>
      <c r="J312" s="2">
        <v>503.55900000000003</v>
      </c>
      <c r="K312" s="5">
        <v>43496</v>
      </c>
      <c r="L312" s="4">
        <v>0.58611111111111114</v>
      </c>
      <c r="M312" s="3" t="s">
        <v>49</v>
      </c>
      <c r="N312" s="2">
        <v>479.58</v>
      </c>
      <c r="O312" s="2">
        <v>4.7619047620000003</v>
      </c>
      <c r="P312" s="2">
        <v>23.978999999999999</v>
      </c>
      <c r="Q312" s="2">
        <v>5.5</v>
      </c>
      <c r="R312" s="3"/>
      <c r="S312" s="1"/>
      <c r="T312" s="1"/>
      <c r="U312" s="1" t="s">
        <v>37</v>
      </c>
      <c r="V312" s="1" t="s">
        <v>37</v>
      </c>
      <c r="W312" s="1" t="s">
        <v>37</v>
      </c>
    </row>
    <row r="313" spans="1:23">
      <c r="A313" s="3" t="s">
        <v>1960</v>
      </c>
      <c r="B313" s="3" t="s">
        <v>39</v>
      </c>
      <c r="C313" s="3" t="s">
        <v>40</v>
      </c>
      <c r="D313" s="3" t="s">
        <v>24</v>
      </c>
      <c r="E313" s="3" t="s">
        <v>992</v>
      </c>
      <c r="F313" s="3" t="s">
        <v>127</v>
      </c>
      <c r="G313" s="2">
        <v>69.33</v>
      </c>
      <c r="H313" s="2">
        <v>2</v>
      </c>
      <c r="I313" s="2">
        <v>6.9329999999999998</v>
      </c>
      <c r="J313" s="2">
        <v>145.59299999999999</v>
      </c>
      <c r="K313" s="5">
        <v>43501</v>
      </c>
      <c r="L313" s="4">
        <v>0.79513888888888884</v>
      </c>
      <c r="M313" s="3" t="s">
        <v>33</v>
      </c>
      <c r="N313" s="2">
        <v>138.66</v>
      </c>
      <c r="O313" s="2">
        <v>4.7619047620000003</v>
      </c>
      <c r="P313" s="2">
        <v>6.9329999999999998</v>
      </c>
      <c r="Q313" s="2">
        <v>9.6999999999999993</v>
      </c>
      <c r="R313" s="3"/>
      <c r="S313" s="1"/>
      <c r="T313" s="1"/>
      <c r="U313" s="1" t="s">
        <v>37</v>
      </c>
      <c r="V313" s="1" t="s">
        <v>37</v>
      </c>
      <c r="W313" s="1" t="s">
        <v>37</v>
      </c>
    </row>
    <row r="314" spans="1:23">
      <c r="A314" s="3" t="s">
        <v>1966</v>
      </c>
      <c r="B314" s="3" t="s">
        <v>22</v>
      </c>
      <c r="C314" s="3" t="s">
        <v>23</v>
      </c>
      <c r="D314" s="3" t="s">
        <v>24</v>
      </c>
      <c r="E314" s="3" t="s">
        <v>25</v>
      </c>
      <c r="F314" s="3" t="s">
        <v>117</v>
      </c>
      <c r="G314" s="2">
        <v>14.23</v>
      </c>
      <c r="H314" s="2">
        <v>5</v>
      </c>
      <c r="I314" s="2">
        <v>3.5575000000000001</v>
      </c>
      <c r="J314" s="2">
        <v>74.707499999999996</v>
      </c>
      <c r="K314" s="5">
        <v>43497</v>
      </c>
      <c r="L314" s="4">
        <v>0.42222222222222222</v>
      </c>
      <c r="M314" s="3" t="s">
        <v>59</v>
      </c>
      <c r="N314" s="2">
        <v>71.150000000000006</v>
      </c>
      <c r="O314" s="2">
        <v>4.7619047620000003</v>
      </c>
      <c r="P314" s="2">
        <v>3.5575000000000001</v>
      </c>
      <c r="Q314" s="2">
        <v>4.4000000000000004</v>
      </c>
      <c r="R314" s="3"/>
      <c r="S314" s="1"/>
      <c r="T314" s="1"/>
      <c r="U314" s="1" t="s">
        <v>37</v>
      </c>
      <c r="V314" s="1" t="s">
        <v>37</v>
      </c>
      <c r="W314" s="1" t="s">
        <v>37</v>
      </c>
    </row>
    <row r="315" spans="1:23">
      <c r="A315" s="3" t="s">
        <v>1972</v>
      </c>
      <c r="B315" s="3" t="s">
        <v>22</v>
      </c>
      <c r="C315" s="3" t="s">
        <v>23</v>
      </c>
      <c r="D315" s="3" t="s">
        <v>24</v>
      </c>
      <c r="E315" s="3" t="s">
        <v>25</v>
      </c>
      <c r="F315" s="3" t="s">
        <v>26</v>
      </c>
      <c r="G315" s="2">
        <v>15.55</v>
      </c>
      <c r="H315" s="2">
        <v>9</v>
      </c>
      <c r="I315" s="2">
        <v>6.9974999999999996</v>
      </c>
      <c r="J315" s="2">
        <v>146.94749999999999</v>
      </c>
      <c r="K315" s="5">
        <v>43531</v>
      </c>
      <c r="L315" s="4">
        <v>0.55000000000000004</v>
      </c>
      <c r="M315" s="3" t="s">
        <v>49</v>
      </c>
      <c r="N315" s="2">
        <v>139.94999999999999</v>
      </c>
      <c r="O315" s="2">
        <v>4.7619047620000003</v>
      </c>
      <c r="P315" s="2">
        <v>6.9974999999999996</v>
      </c>
      <c r="Q315" s="2">
        <v>5</v>
      </c>
      <c r="R315" s="3"/>
      <c r="S315" s="1"/>
      <c r="T315" s="1"/>
      <c r="U315" s="1" t="s">
        <v>37</v>
      </c>
      <c r="V315" s="1" t="s">
        <v>37</v>
      </c>
      <c r="W315" s="1" t="s">
        <v>37</v>
      </c>
    </row>
    <row r="316" spans="1:23">
      <c r="A316" s="3" t="s">
        <v>1978</v>
      </c>
      <c r="B316" s="3" t="s">
        <v>39</v>
      </c>
      <c r="C316" s="3" t="s">
        <v>40</v>
      </c>
      <c r="D316" s="3" t="s">
        <v>24</v>
      </c>
      <c r="E316" s="3" t="s">
        <v>25</v>
      </c>
      <c r="F316" s="3" t="s">
        <v>42</v>
      </c>
      <c r="G316" s="2">
        <v>78.13</v>
      </c>
      <c r="H316" s="2">
        <v>10</v>
      </c>
      <c r="I316" s="2">
        <v>39.064999999999998</v>
      </c>
      <c r="J316" s="2">
        <v>820.36500000000001</v>
      </c>
      <c r="K316" s="5">
        <v>43506</v>
      </c>
      <c r="L316" s="4">
        <v>0.86875000000000002</v>
      </c>
      <c r="M316" s="3" t="s">
        <v>49</v>
      </c>
      <c r="N316" s="2">
        <v>781.3</v>
      </c>
      <c r="O316" s="2">
        <v>4.7619047620000003</v>
      </c>
      <c r="P316" s="2">
        <v>39.064999999999998</v>
      </c>
      <c r="Q316" s="2">
        <v>4.4000000000000004</v>
      </c>
      <c r="R316" s="3"/>
      <c r="S316" s="1"/>
      <c r="T316" s="1"/>
      <c r="U316" s="1" t="s">
        <v>37</v>
      </c>
      <c r="V316" s="1" t="s">
        <v>37</v>
      </c>
      <c r="W316" s="1" t="s">
        <v>37</v>
      </c>
    </row>
    <row r="317" spans="1:23">
      <c r="A317" s="3" t="s">
        <v>1984</v>
      </c>
      <c r="B317" s="3" t="s">
        <v>39</v>
      </c>
      <c r="C317" s="3" t="s">
        <v>40</v>
      </c>
      <c r="D317" s="3" t="s">
        <v>24</v>
      </c>
      <c r="E317" s="3" t="s">
        <v>992</v>
      </c>
      <c r="F317" s="3" t="s">
        <v>117</v>
      </c>
      <c r="G317" s="2">
        <v>99.37</v>
      </c>
      <c r="H317" s="2">
        <v>2</v>
      </c>
      <c r="I317" s="2">
        <v>9.9369999999999994</v>
      </c>
      <c r="J317" s="2">
        <v>208.67699999999999</v>
      </c>
      <c r="K317" s="5">
        <v>43510</v>
      </c>
      <c r="L317" s="4">
        <v>0.72847222222222219</v>
      </c>
      <c r="M317" s="3" t="s">
        <v>49</v>
      </c>
      <c r="N317" s="2">
        <v>198.74</v>
      </c>
      <c r="O317" s="2">
        <v>4.7619047620000003</v>
      </c>
      <c r="P317" s="2">
        <v>9.9369999999999994</v>
      </c>
      <c r="Q317" s="2">
        <v>5.2</v>
      </c>
      <c r="R317" s="3"/>
      <c r="S317" s="1"/>
      <c r="T317" s="1"/>
      <c r="U317" s="1" t="s">
        <v>37</v>
      </c>
      <c r="V317" s="1" t="s">
        <v>37</v>
      </c>
      <c r="W317" s="1" t="s">
        <v>37</v>
      </c>
    </row>
    <row r="318" spans="1:23">
      <c r="A318" s="3" t="s">
        <v>1990</v>
      </c>
      <c r="B318" s="3" t="s">
        <v>39</v>
      </c>
      <c r="C318" s="3" t="s">
        <v>40</v>
      </c>
      <c r="D318" s="3" t="s">
        <v>24</v>
      </c>
      <c r="E318" s="3" t="s">
        <v>25</v>
      </c>
      <c r="F318" s="3" t="s">
        <v>117</v>
      </c>
      <c r="G318" s="2">
        <v>21.08</v>
      </c>
      <c r="H318" s="2">
        <v>3</v>
      </c>
      <c r="I318" s="2">
        <v>3.1619999999999999</v>
      </c>
      <c r="J318" s="2">
        <v>66.402000000000001</v>
      </c>
      <c r="K318" s="5">
        <v>43505</v>
      </c>
      <c r="L318" s="4">
        <v>0.43402777777777779</v>
      </c>
      <c r="M318" s="3" t="s">
        <v>49</v>
      </c>
      <c r="N318" s="2">
        <v>63.24</v>
      </c>
      <c r="O318" s="2">
        <v>4.7619047620000003</v>
      </c>
      <c r="P318" s="2">
        <v>3.1619999999999999</v>
      </c>
      <c r="Q318" s="2">
        <v>7.3</v>
      </c>
      <c r="R318" s="3"/>
      <c r="S318" s="1"/>
      <c r="T318" s="1"/>
      <c r="U318" s="1" t="s">
        <v>37</v>
      </c>
      <c r="V318" s="1" t="s">
        <v>37</v>
      </c>
      <c r="W318" s="1" t="s">
        <v>37</v>
      </c>
    </row>
    <row r="319" spans="1:23">
      <c r="A319" s="3" t="s">
        <v>1995</v>
      </c>
      <c r="B319" s="3" t="s">
        <v>39</v>
      </c>
      <c r="C319" s="3" t="s">
        <v>40</v>
      </c>
      <c r="D319" s="3" t="s">
        <v>24</v>
      </c>
      <c r="E319" s="3" t="s">
        <v>992</v>
      </c>
      <c r="F319" s="3" t="s">
        <v>42</v>
      </c>
      <c r="G319" s="2">
        <v>74.790000000000006</v>
      </c>
      <c r="H319" s="2">
        <v>5</v>
      </c>
      <c r="I319" s="2">
        <v>18.697500000000002</v>
      </c>
      <c r="J319" s="2">
        <v>392.64749999999998</v>
      </c>
      <c r="K319" s="5">
        <v>43475</v>
      </c>
      <c r="L319" s="4">
        <v>0.48194444444444445</v>
      </c>
      <c r="M319" s="3" t="s">
        <v>49</v>
      </c>
      <c r="N319" s="2">
        <v>373.95</v>
      </c>
      <c r="O319" s="2">
        <v>4.7619047620000003</v>
      </c>
      <c r="P319" s="2">
        <v>18.697500000000002</v>
      </c>
      <c r="Q319" s="2">
        <v>4.9000000000000004</v>
      </c>
      <c r="R319" s="3"/>
      <c r="S319" s="1"/>
      <c r="T319" s="1"/>
      <c r="U319" s="1" t="s">
        <v>37</v>
      </c>
      <c r="V319" s="1" t="s">
        <v>37</v>
      </c>
      <c r="W319" s="1" t="s">
        <v>37</v>
      </c>
    </row>
    <row r="320" spans="1:23">
      <c r="A320" s="3" t="s">
        <v>2001</v>
      </c>
      <c r="B320" s="3" t="s">
        <v>39</v>
      </c>
      <c r="C320" s="3" t="s">
        <v>40</v>
      </c>
      <c r="D320" s="3" t="s">
        <v>24</v>
      </c>
      <c r="E320" s="3" t="s">
        <v>25</v>
      </c>
      <c r="F320" s="3" t="s">
        <v>26</v>
      </c>
      <c r="G320" s="2">
        <v>29.67</v>
      </c>
      <c r="H320" s="2">
        <v>7</v>
      </c>
      <c r="I320" s="2">
        <v>10.384499999999999</v>
      </c>
      <c r="J320" s="2">
        <v>218.0745</v>
      </c>
      <c r="K320" s="5">
        <v>43535</v>
      </c>
      <c r="L320" s="4">
        <v>0.79027777777777775</v>
      </c>
      <c r="M320" s="3" t="s">
        <v>59</v>
      </c>
      <c r="N320" s="2">
        <v>207.69</v>
      </c>
      <c r="O320" s="2">
        <v>4.7619047620000003</v>
      </c>
      <c r="P320" s="2">
        <v>10.384499999999999</v>
      </c>
      <c r="Q320" s="2">
        <v>8.1</v>
      </c>
      <c r="R320" s="3"/>
      <c r="S320" s="1"/>
      <c r="T320" s="1"/>
      <c r="U320" s="1" t="s">
        <v>37</v>
      </c>
      <c r="V320" s="1" t="s">
        <v>37</v>
      </c>
      <c r="W320" s="1" t="s">
        <v>37</v>
      </c>
    </row>
    <row r="321" spans="1:23">
      <c r="A321" s="3" t="s">
        <v>2007</v>
      </c>
      <c r="B321" s="3" t="s">
        <v>39</v>
      </c>
      <c r="C321" s="3" t="s">
        <v>40</v>
      </c>
      <c r="D321" s="3" t="s">
        <v>24</v>
      </c>
      <c r="E321" s="3" t="s">
        <v>992</v>
      </c>
      <c r="F321" s="3" t="s">
        <v>26</v>
      </c>
      <c r="G321" s="2">
        <v>44.07</v>
      </c>
      <c r="H321" s="2">
        <v>4</v>
      </c>
      <c r="I321" s="2">
        <v>8.8140000000000001</v>
      </c>
      <c r="J321" s="2">
        <v>185.09399999999999</v>
      </c>
      <c r="K321" s="5">
        <v>43514</v>
      </c>
      <c r="L321" s="4">
        <v>0.68611111111111112</v>
      </c>
      <c r="M321" s="3" t="s">
        <v>33</v>
      </c>
      <c r="N321" s="2">
        <v>176.28</v>
      </c>
      <c r="O321" s="2">
        <v>4.7619047620000003</v>
      </c>
      <c r="P321" s="2">
        <v>8.8140000000000001</v>
      </c>
      <c r="Q321" s="2">
        <v>8.4</v>
      </c>
      <c r="R321" s="3"/>
      <c r="S321" s="1"/>
      <c r="T321" s="1"/>
      <c r="U321" s="1" t="s">
        <v>37</v>
      </c>
      <c r="V321" s="1" t="s">
        <v>37</v>
      </c>
      <c r="W321" s="1" t="s">
        <v>37</v>
      </c>
    </row>
    <row r="322" spans="1:23">
      <c r="A322" s="3" t="s">
        <v>2012</v>
      </c>
      <c r="B322" s="3" t="s">
        <v>39</v>
      </c>
      <c r="C322" s="3" t="s">
        <v>40</v>
      </c>
      <c r="D322" s="3" t="s">
        <v>41</v>
      </c>
      <c r="E322" s="3" t="s">
        <v>25</v>
      </c>
      <c r="F322" s="3" t="s">
        <v>117</v>
      </c>
      <c r="G322" s="2">
        <v>22.93</v>
      </c>
      <c r="H322" s="2">
        <v>9</v>
      </c>
      <c r="I322" s="2">
        <v>10.3185</v>
      </c>
      <c r="J322" s="2">
        <v>216.6885</v>
      </c>
      <c r="K322" s="5">
        <v>43522</v>
      </c>
      <c r="L322" s="4">
        <v>0.85138888888888886</v>
      </c>
      <c r="M322" s="3" t="s">
        <v>49</v>
      </c>
      <c r="N322" s="2">
        <v>206.37</v>
      </c>
      <c r="O322" s="2">
        <v>4.7619047620000003</v>
      </c>
      <c r="P322" s="2">
        <v>10.3185</v>
      </c>
      <c r="Q322" s="2">
        <v>5.5</v>
      </c>
      <c r="R322" s="3"/>
      <c r="S322" s="1"/>
      <c r="T322" s="1"/>
      <c r="U322" s="1" t="s">
        <v>37</v>
      </c>
      <c r="V322" s="1" t="s">
        <v>37</v>
      </c>
      <c r="W322" s="1" t="s">
        <v>37</v>
      </c>
    </row>
    <row r="323" spans="1:23">
      <c r="A323" s="3" t="s">
        <v>2018</v>
      </c>
      <c r="B323" s="3" t="s">
        <v>39</v>
      </c>
      <c r="C323" s="3" t="s">
        <v>40</v>
      </c>
      <c r="D323" s="3" t="s">
        <v>41</v>
      </c>
      <c r="E323" s="3" t="s">
        <v>25</v>
      </c>
      <c r="F323" s="3" t="s">
        <v>26</v>
      </c>
      <c r="G323" s="2">
        <v>39.42</v>
      </c>
      <c r="H323" s="2">
        <v>1</v>
      </c>
      <c r="I323" s="2">
        <v>1.9710000000000001</v>
      </c>
      <c r="J323" s="2">
        <v>41.390999999999998</v>
      </c>
      <c r="K323" s="5">
        <v>43483</v>
      </c>
      <c r="L323" s="4">
        <v>0.63055555555555554</v>
      </c>
      <c r="M323" s="3" t="s">
        <v>49</v>
      </c>
      <c r="N323" s="2">
        <v>39.42</v>
      </c>
      <c r="O323" s="2">
        <v>4.7619047620000003</v>
      </c>
      <c r="P323" s="2">
        <v>1.9710000000000001</v>
      </c>
      <c r="Q323" s="2">
        <v>8.4</v>
      </c>
      <c r="R323" s="3"/>
      <c r="S323" s="1"/>
      <c r="T323" s="1"/>
      <c r="U323" s="1" t="s">
        <v>37</v>
      </c>
      <c r="V323" s="1" t="s">
        <v>37</v>
      </c>
      <c r="W323" s="1" t="s">
        <v>37</v>
      </c>
    </row>
    <row r="324" spans="1:23">
      <c r="A324" s="3" t="s">
        <v>2023</v>
      </c>
      <c r="B324" s="3" t="s">
        <v>22</v>
      </c>
      <c r="C324" s="3" t="s">
        <v>23</v>
      </c>
      <c r="D324" s="3" t="s">
        <v>41</v>
      </c>
      <c r="E324" s="3" t="s">
        <v>992</v>
      </c>
      <c r="F324" s="3" t="s">
        <v>26</v>
      </c>
      <c r="G324" s="2">
        <v>15.26</v>
      </c>
      <c r="H324" s="2">
        <v>6</v>
      </c>
      <c r="I324" s="2">
        <v>4.5780000000000003</v>
      </c>
      <c r="J324" s="2">
        <v>96.138000000000005</v>
      </c>
      <c r="K324" s="5">
        <v>43511</v>
      </c>
      <c r="L324" s="4">
        <v>0.75208333333333333</v>
      </c>
      <c r="M324" s="3" t="s">
        <v>33</v>
      </c>
      <c r="N324" s="2">
        <v>91.56</v>
      </c>
      <c r="O324" s="2">
        <v>4.7619047620000003</v>
      </c>
      <c r="P324" s="2">
        <v>4.5780000000000003</v>
      </c>
      <c r="Q324" s="2">
        <v>9.8000000000000007</v>
      </c>
      <c r="R324" s="3"/>
      <c r="S324" s="1"/>
      <c r="T324" s="1"/>
      <c r="U324" s="1" t="s">
        <v>37</v>
      </c>
      <c r="V324" s="1" t="s">
        <v>37</v>
      </c>
      <c r="W324" s="1" t="s">
        <v>37</v>
      </c>
    </row>
    <row r="325" spans="1:23">
      <c r="A325" s="3" t="s">
        <v>2028</v>
      </c>
      <c r="B325" s="3" t="s">
        <v>22</v>
      </c>
      <c r="C325" s="3" t="s">
        <v>23</v>
      </c>
      <c r="D325" s="3" t="s">
        <v>41</v>
      </c>
      <c r="E325" s="3" t="s">
        <v>25</v>
      </c>
      <c r="F325" s="3" t="s">
        <v>127</v>
      </c>
      <c r="G325" s="2">
        <v>61.77</v>
      </c>
      <c r="H325" s="2">
        <v>5</v>
      </c>
      <c r="I325" s="2">
        <v>15.442500000000001</v>
      </c>
      <c r="J325" s="2">
        <v>324.29250000000002</v>
      </c>
      <c r="K325" s="5">
        <v>43532</v>
      </c>
      <c r="L325" s="4">
        <v>0.55625000000000002</v>
      </c>
      <c r="M325" s="3" t="s">
        <v>49</v>
      </c>
      <c r="N325" s="2">
        <v>308.85000000000002</v>
      </c>
      <c r="O325" s="2">
        <v>4.7619047620000003</v>
      </c>
      <c r="P325" s="2">
        <v>15.442500000000001</v>
      </c>
      <c r="Q325" s="2">
        <v>6.7</v>
      </c>
      <c r="R325" s="3"/>
      <c r="S325" s="1"/>
      <c r="T325" s="1"/>
      <c r="U325" s="1" t="s">
        <v>37</v>
      </c>
      <c r="V325" s="1" t="s">
        <v>37</v>
      </c>
      <c r="W325" s="1" t="s">
        <v>37</v>
      </c>
    </row>
    <row r="326" spans="1:23">
      <c r="A326" s="3" t="s">
        <v>2034</v>
      </c>
      <c r="B326" s="3" t="s">
        <v>22</v>
      </c>
      <c r="C326" s="3" t="s">
        <v>23</v>
      </c>
      <c r="D326" s="3" t="s">
        <v>41</v>
      </c>
      <c r="E326" s="3" t="s">
        <v>992</v>
      </c>
      <c r="F326" s="3" t="s">
        <v>53</v>
      </c>
      <c r="G326" s="2">
        <v>21.52</v>
      </c>
      <c r="H326" s="2">
        <v>6</v>
      </c>
      <c r="I326" s="2">
        <v>6.4560000000000004</v>
      </c>
      <c r="J326" s="2">
        <v>135.57599999999999</v>
      </c>
      <c r="K326" s="5">
        <v>43482</v>
      </c>
      <c r="L326" s="4">
        <v>0.53333333333333333</v>
      </c>
      <c r="M326" s="3" t="s">
        <v>59</v>
      </c>
      <c r="N326" s="2">
        <v>129.12</v>
      </c>
      <c r="O326" s="2">
        <v>4.7619047620000003</v>
      </c>
      <c r="P326" s="2">
        <v>6.4560000000000004</v>
      </c>
      <c r="Q326" s="2">
        <v>9.4</v>
      </c>
      <c r="R326" s="3"/>
      <c r="S326" s="1"/>
      <c r="T326" s="1"/>
      <c r="U326" s="1" t="s">
        <v>37</v>
      </c>
      <c r="V326" s="1" t="s">
        <v>37</v>
      </c>
      <c r="W326" s="1" t="s">
        <v>37</v>
      </c>
    </row>
    <row r="327" spans="1:23">
      <c r="A327" s="3" t="s">
        <v>2040</v>
      </c>
      <c r="B327" s="3" t="s">
        <v>115</v>
      </c>
      <c r="C327" s="3" t="s">
        <v>116</v>
      </c>
      <c r="D327" s="3" t="s">
        <v>41</v>
      </c>
      <c r="E327" s="3" t="s">
        <v>992</v>
      </c>
      <c r="F327" s="3" t="s">
        <v>72</v>
      </c>
      <c r="G327" s="2">
        <v>97.74</v>
      </c>
      <c r="H327" s="2">
        <v>4</v>
      </c>
      <c r="I327" s="2">
        <v>19.547999999999998</v>
      </c>
      <c r="J327" s="2">
        <v>410.50799999999998</v>
      </c>
      <c r="K327" s="5">
        <v>43536</v>
      </c>
      <c r="L327" s="4">
        <v>0.82847222222222228</v>
      </c>
      <c r="M327" s="3" t="s">
        <v>33</v>
      </c>
      <c r="N327" s="2">
        <v>390.96</v>
      </c>
      <c r="O327" s="2">
        <v>4.7619047620000003</v>
      </c>
      <c r="P327" s="2">
        <v>19.547999999999998</v>
      </c>
      <c r="Q327" s="2">
        <v>6.4</v>
      </c>
      <c r="R327" s="3"/>
      <c r="S327" s="1"/>
      <c r="T327" s="1"/>
      <c r="U327" s="1" t="s">
        <v>37</v>
      </c>
      <c r="V327" s="1" t="s">
        <v>37</v>
      </c>
      <c r="W327" s="1" t="s">
        <v>37</v>
      </c>
    </row>
    <row r="328" spans="1:23">
      <c r="A328" s="3" t="s">
        <v>2046</v>
      </c>
      <c r="B328" s="3" t="s">
        <v>22</v>
      </c>
      <c r="C328" s="3" t="s">
        <v>23</v>
      </c>
      <c r="D328" s="3" t="s">
        <v>24</v>
      </c>
      <c r="E328" s="3" t="s">
        <v>992</v>
      </c>
      <c r="F328" s="3" t="s">
        <v>117</v>
      </c>
      <c r="G328" s="2">
        <v>99.78</v>
      </c>
      <c r="H328" s="2">
        <v>5</v>
      </c>
      <c r="I328" s="2">
        <v>24.945</v>
      </c>
      <c r="J328" s="2">
        <v>523.84500000000003</v>
      </c>
      <c r="K328" s="5">
        <v>43533</v>
      </c>
      <c r="L328" s="4">
        <v>0.79791666666666672</v>
      </c>
      <c r="M328" s="3" t="s">
        <v>49</v>
      </c>
      <c r="N328" s="2">
        <v>498.9</v>
      </c>
      <c r="O328" s="2">
        <v>4.7619047620000003</v>
      </c>
      <c r="P328" s="2">
        <v>24.945</v>
      </c>
      <c r="Q328" s="2">
        <v>5.4</v>
      </c>
      <c r="R328" s="3"/>
      <c r="S328" s="1"/>
      <c r="T328" s="1"/>
      <c r="U328" s="1" t="s">
        <v>37</v>
      </c>
      <c r="V328" s="1" t="s">
        <v>37</v>
      </c>
      <c r="W328" s="1" t="s">
        <v>37</v>
      </c>
    </row>
    <row r="329" spans="1:23">
      <c r="A329" s="3" t="s">
        <v>2052</v>
      </c>
      <c r="B329" s="3" t="s">
        <v>39</v>
      </c>
      <c r="C329" s="3" t="s">
        <v>40</v>
      </c>
      <c r="D329" s="3" t="s">
        <v>24</v>
      </c>
      <c r="E329" s="3" t="s">
        <v>992</v>
      </c>
      <c r="F329" s="3" t="s">
        <v>117</v>
      </c>
      <c r="G329" s="2">
        <v>94.26</v>
      </c>
      <c r="H329" s="2">
        <v>4</v>
      </c>
      <c r="I329" s="2">
        <v>18.852</v>
      </c>
      <c r="J329" s="2">
        <v>395.892</v>
      </c>
      <c r="K329" s="5">
        <v>43536</v>
      </c>
      <c r="L329" s="4">
        <v>0.6875</v>
      </c>
      <c r="M329" s="3" t="s">
        <v>49</v>
      </c>
      <c r="N329" s="2">
        <v>377.04</v>
      </c>
      <c r="O329" s="2">
        <v>4.7619047620000003</v>
      </c>
      <c r="P329" s="2">
        <v>18.852</v>
      </c>
      <c r="Q329" s="2">
        <v>8.6</v>
      </c>
      <c r="R329" s="3"/>
      <c r="S329" s="1"/>
      <c r="T329" s="1"/>
      <c r="U329" s="1" t="s">
        <v>37</v>
      </c>
      <c r="V329" s="1" t="s">
        <v>37</v>
      </c>
      <c r="W329" s="1" t="s">
        <v>37</v>
      </c>
    </row>
    <row r="330" spans="1:23">
      <c r="A330" s="3" t="s">
        <v>2058</v>
      </c>
      <c r="B330" s="3" t="s">
        <v>115</v>
      </c>
      <c r="C330" s="3" t="s">
        <v>116</v>
      </c>
      <c r="D330" s="3" t="s">
        <v>24</v>
      </c>
      <c r="E330" s="3" t="s">
        <v>992</v>
      </c>
      <c r="F330" s="3" t="s">
        <v>26</v>
      </c>
      <c r="G330" s="2">
        <v>51.13</v>
      </c>
      <c r="H330" s="2">
        <v>4</v>
      </c>
      <c r="I330" s="2">
        <v>10.226000000000001</v>
      </c>
      <c r="J330" s="2">
        <v>214.74600000000001</v>
      </c>
      <c r="K330" s="5">
        <v>43490</v>
      </c>
      <c r="L330" s="4">
        <v>0.42430555555555555</v>
      </c>
      <c r="M330" s="3" t="s">
        <v>59</v>
      </c>
      <c r="N330" s="2">
        <v>204.52</v>
      </c>
      <c r="O330" s="2">
        <v>4.7619047620000003</v>
      </c>
      <c r="P330" s="2">
        <v>10.226000000000001</v>
      </c>
      <c r="Q330" s="2">
        <v>4</v>
      </c>
      <c r="R330" s="3"/>
      <c r="S330" s="1"/>
      <c r="T330" s="1"/>
      <c r="U330" s="1" t="s">
        <v>37</v>
      </c>
      <c r="V330" s="1" t="s">
        <v>37</v>
      </c>
      <c r="W330" s="1" t="s">
        <v>37</v>
      </c>
    </row>
    <row r="331" spans="1:23">
      <c r="A331" s="3" t="s">
        <v>2063</v>
      </c>
      <c r="B331" s="3" t="s">
        <v>22</v>
      </c>
      <c r="C331" s="3" t="s">
        <v>23</v>
      </c>
      <c r="D331" s="3" t="s">
        <v>24</v>
      </c>
      <c r="E331" s="3" t="s">
        <v>992</v>
      </c>
      <c r="F331" s="3" t="s">
        <v>42</v>
      </c>
      <c r="G331" s="2">
        <v>36.36</v>
      </c>
      <c r="H331" s="2">
        <v>4</v>
      </c>
      <c r="I331" s="2">
        <v>7.2720000000000002</v>
      </c>
      <c r="J331" s="2">
        <v>152.71199999999999</v>
      </c>
      <c r="K331" s="5">
        <v>43549</v>
      </c>
      <c r="L331" s="4">
        <v>0.54652777777777772</v>
      </c>
      <c r="M331" s="3" t="s">
        <v>49</v>
      </c>
      <c r="N331" s="2">
        <v>145.44</v>
      </c>
      <c r="O331" s="2">
        <v>4.7619047620000003</v>
      </c>
      <c r="P331" s="2">
        <v>7.2720000000000002</v>
      </c>
      <c r="Q331" s="2">
        <v>7.6</v>
      </c>
      <c r="R331" s="3"/>
      <c r="S331" s="1"/>
      <c r="T331" s="1"/>
      <c r="U331" s="1" t="s">
        <v>37</v>
      </c>
      <c r="V331" s="1" t="s">
        <v>37</v>
      </c>
      <c r="W331" s="1" t="s">
        <v>37</v>
      </c>
    </row>
    <row r="332" spans="1:23">
      <c r="A332" s="3" t="s">
        <v>2068</v>
      </c>
      <c r="B332" s="3" t="s">
        <v>115</v>
      </c>
      <c r="C332" s="3" t="s">
        <v>116</v>
      </c>
      <c r="D332" s="3" t="s">
        <v>41</v>
      </c>
      <c r="E332" s="3" t="s">
        <v>992</v>
      </c>
      <c r="F332" s="3" t="s">
        <v>53</v>
      </c>
      <c r="G332" s="2">
        <v>22.02</v>
      </c>
      <c r="H332" s="2">
        <v>9</v>
      </c>
      <c r="I332" s="2">
        <v>9.9090000000000007</v>
      </c>
      <c r="J332" s="2">
        <v>208.089</v>
      </c>
      <c r="K332" s="5">
        <v>43503</v>
      </c>
      <c r="L332" s="4">
        <v>0.78333333333333333</v>
      </c>
      <c r="M332" s="3" t="s">
        <v>49</v>
      </c>
      <c r="N332" s="2">
        <v>198.18</v>
      </c>
      <c r="O332" s="2">
        <v>4.7619047620000003</v>
      </c>
      <c r="P332" s="2">
        <v>9.9090000000000007</v>
      </c>
      <c r="Q332" s="2">
        <v>6.8</v>
      </c>
      <c r="R332" s="3"/>
      <c r="S332" s="1"/>
      <c r="T332" s="1"/>
      <c r="U332" s="1" t="s">
        <v>37</v>
      </c>
      <c r="V332" s="1" t="s">
        <v>37</v>
      </c>
      <c r="W332" s="1" t="s">
        <v>37</v>
      </c>
    </row>
    <row r="333" spans="1:23">
      <c r="A333" s="3" t="s">
        <v>2074</v>
      </c>
      <c r="B333" s="3" t="s">
        <v>22</v>
      </c>
      <c r="C333" s="3" t="s">
        <v>23</v>
      </c>
      <c r="D333" s="3" t="s">
        <v>41</v>
      </c>
      <c r="E333" s="3" t="s">
        <v>992</v>
      </c>
      <c r="F333" s="3" t="s">
        <v>117</v>
      </c>
      <c r="G333" s="2">
        <v>32.9</v>
      </c>
      <c r="H333" s="2">
        <v>3</v>
      </c>
      <c r="I333" s="2">
        <v>4.9349999999999996</v>
      </c>
      <c r="J333" s="2">
        <v>103.63500000000001</v>
      </c>
      <c r="K333" s="5">
        <v>43513</v>
      </c>
      <c r="L333" s="4">
        <v>0.7270833333333333</v>
      </c>
      <c r="M333" s="3" t="s">
        <v>59</v>
      </c>
      <c r="N333" s="2">
        <v>98.7</v>
      </c>
      <c r="O333" s="2">
        <v>4.7619047620000003</v>
      </c>
      <c r="P333" s="2">
        <v>4.9349999999999996</v>
      </c>
      <c r="Q333" s="2">
        <v>9.1</v>
      </c>
      <c r="R333" s="3"/>
      <c r="S333" s="1"/>
      <c r="T333" s="1"/>
      <c r="U333" s="1" t="s">
        <v>37</v>
      </c>
      <c r="V333" s="1" t="s">
        <v>37</v>
      </c>
      <c r="W333" s="1" t="s">
        <v>37</v>
      </c>
    </row>
    <row r="334" spans="1:23">
      <c r="A334" s="3" t="s">
        <v>2079</v>
      </c>
      <c r="B334" s="3" t="s">
        <v>22</v>
      </c>
      <c r="C334" s="3" t="s">
        <v>23</v>
      </c>
      <c r="D334" s="3" t="s">
        <v>41</v>
      </c>
      <c r="E334" s="3" t="s">
        <v>992</v>
      </c>
      <c r="F334" s="3" t="s">
        <v>127</v>
      </c>
      <c r="G334" s="2">
        <v>77.02</v>
      </c>
      <c r="H334" s="2">
        <v>5</v>
      </c>
      <c r="I334" s="2">
        <v>19.254999999999999</v>
      </c>
      <c r="J334" s="2">
        <v>404.35500000000002</v>
      </c>
      <c r="K334" s="5">
        <v>43499</v>
      </c>
      <c r="L334" s="4">
        <v>0.66597222222222219</v>
      </c>
      <c r="M334" s="3" t="s">
        <v>49</v>
      </c>
      <c r="N334" s="2">
        <v>385.1</v>
      </c>
      <c r="O334" s="2">
        <v>4.7619047620000003</v>
      </c>
      <c r="P334" s="2">
        <v>19.254999999999999</v>
      </c>
      <c r="Q334" s="2">
        <v>5.5</v>
      </c>
      <c r="R334" s="3"/>
      <c r="S334" s="1"/>
      <c r="T334" s="1"/>
      <c r="U334" s="1" t="s">
        <v>37</v>
      </c>
      <c r="V334" s="1" t="s">
        <v>37</v>
      </c>
      <c r="W334" s="1" t="s">
        <v>37</v>
      </c>
    </row>
    <row r="335" spans="1:23">
      <c r="A335" s="3" t="s">
        <v>2085</v>
      </c>
      <c r="B335" s="3" t="s">
        <v>22</v>
      </c>
      <c r="C335" s="3" t="s">
        <v>23</v>
      </c>
      <c r="D335" s="3" t="s">
        <v>24</v>
      </c>
      <c r="E335" s="3" t="s">
        <v>992</v>
      </c>
      <c r="F335" s="3" t="s">
        <v>117</v>
      </c>
      <c r="G335" s="2">
        <v>23.48</v>
      </c>
      <c r="H335" s="2">
        <v>2</v>
      </c>
      <c r="I335" s="2">
        <v>2.3479999999999999</v>
      </c>
      <c r="J335" s="2">
        <v>49.308</v>
      </c>
      <c r="K335" s="5">
        <v>43538</v>
      </c>
      <c r="L335" s="4">
        <v>0.47291666666666665</v>
      </c>
      <c r="M335" s="3" t="s">
        <v>59</v>
      </c>
      <c r="N335" s="2">
        <v>46.96</v>
      </c>
      <c r="O335" s="2">
        <v>4.7619047620000003</v>
      </c>
      <c r="P335" s="2">
        <v>2.3479999999999999</v>
      </c>
      <c r="Q335" s="2">
        <v>7.9</v>
      </c>
      <c r="R335" s="3"/>
      <c r="S335" s="1"/>
      <c r="T335" s="1"/>
      <c r="U335" s="1" t="s">
        <v>37</v>
      </c>
      <c r="V335" s="1" t="s">
        <v>37</v>
      </c>
      <c r="W335" s="1" t="s">
        <v>37</v>
      </c>
    </row>
    <row r="336" spans="1:23">
      <c r="A336" s="3" t="s">
        <v>2091</v>
      </c>
      <c r="B336" s="3" t="s">
        <v>39</v>
      </c>
      <c r="C336" s="3" t="s">
        <v>40</v>
      </c>
      <c r="D336" s="3" t="s">
        <v>24</v>
      </c>
      <c r="E336" s="3" t="s">
        <v>992</v>
      </c>
      <c r="F336" s="3" t="s">
        <v>72</v>
      </c>
      <c r="G336" s="2">
        <v>14.7</v>
      </c>
      <c r="H336" s="2">
        <v>5</v>
      </c>
      <c r="I336" s="2">
        <v>3.6749999999999998</v>
      </c>
      <c r="J336" s="2">
        <v>77.174999999999997</v>
      </c>
      <c r="K336" s="5">
        <v>43548</v>
      </c>
      <c r="L336" s="4">
        <v>0.57499999999999996</v>
      </c>
      <c r="M336" s="3" t="s">
        <v>33</v>
      </c>
      <c r="N336" s="2">
        <v>73.5</v>
      </c>
      <c r="O336" s="2">
        <v>4.7619047620000003</v>
      </c>
      <c r="P336" s="2">
        <v>3.6749999999999998</v>
      </c>
      <c r="Q336" s="2">
        <v>8.5</v>
      </c>
      <c r="R336" s="3"/>
      <c r="S336" s="1"/>
      <c r="T336" s="1"/>
      <c r="U336" s="1" t="s">
        <v>37</v>
      </c>
      <c r="V336" s="1" t="s">
        <v>37</v>
      </c>
      <c r="W336" s="1" t="s">
        <v>37</v>
      </c>
    </row>
    <row r="337" spans="1:23">
      <c r="A337" s="3" t="s">
        <v>2096</v>
      </c>
      <c r="B337" s="3" t="s">
        <v>22</v>
      </c>
      <c r="C337" s="3" t="s">
        <v>23</v>
      </c>
      <c r="D337" s="3" t="s">
        <v>24</v>
      </c>
      <c r="E337" s="3" t="s">
        <v>25</v>
      </c>
      <c r="F337" s="3" t="s">
        <v>42</v>
      </c>
      <c r="G337" s="2">
        <v>28.45</v>
      </c>
      <c r="H337" s="2">
        <v>5</v>
      </c>
      <c r="I337" s="2">
        <v>7.1124999999999998</v>
      </c>
      <c r="J337" s="2">
        <v>149.36250000000001</v>
      </c>
      <c r="K337" s="5">
        <v>43545</v>
      </c>
      <c r="L337" s="4">
        <v>0.4284722222222222</v>
      </c>
      <c r="M337" s="3" t="s">
        <v>59</v>
      </c>
      <c r="N337" s="2">
        <v>142.25</v>
      </c>
      <c r="O337" s="2">
        <v>4.7619047620000003</v>
      </c>
      <c r="P337" s="2">
        <v>7.1124999999999998</v>
      </c>
      <c r="Q337" s="2">
        <v>9.1</v>
      </c>
      <c r="R337" s="3"/>
      <c r="S337" s="1"/>
      <c r="T337" s="1"/>
      <c r="U337" s="1" t="s">
        <v>37</v>
      </c>
      <c r="V337" s="1" t="s">
        <v>37</v>
      </c>
      <c r="W337" s="1" t="s">
        <v>37</v>
      </c>
    </row>
    <row r="338" spans="1:23">
      <c r="A338" s="3" t="s">
        <v>2101</v>
      </c>
      <c r="B338" s="3" t="s">
        <v>22</v>
      </c>
      <c r="C338" s="3" t="s">
        <v>23</v>
      </c>
      <c r="D338" s="3" t="s">
        <v>41</v>
      </c>
      <c r="E338" s="3" t="s">
        <v>992</v>
      </c>
      <c r="F338" s="3" t="s">
        <v>127</v>
      </c>
      <c r="G338" s="2">
        <v>76.400000000000006</v>
      </c>
      <c r="H338" s="2">
        <v>9</v>
      </c>
      <c r="I338" s="2">
        <v>34.380000000000003</v>
      </c>
      <c r="J338" s="2">
        <v>721.98</v>
      </c>
      <c r="K338" s="5">
        <v>43543</v>
      </c>
      <c r="L338" s="4">
        <v>0.65902777777777777</v>
      </c>
      <c r="M338" s="3" t="s">
        <v>33</v>
      </c>
      <c r="N338" s="2">
        <v>687.6</v>
      </c>
      <c r="O338" s="2">
        <v>4.7619047620000003</v>
      </c>
      <c r="P338" s="2">
        <v>34.380000000000003</v>
      </c>
      <c r="Q338" s="2">
        <v>7.5</v>
      </c>
      <c r="R338" s="3"/>
      <c r="S338" s="1"/>
      <c r="T338" s="1"/>
      <c r="U338" s="1" t="s">
        <v>37</v>
      </c>
      <c r="V338" s="1" t="s">
        <v>37</v>
      </c>
      <c r="W338" s="1" t="s">
        <v>37</v>
      </c>
    </row>
    <row r="339" spans="1:23">
      <c r="A339" s="3" t="s">
        <v>2106</v>
      </c>
      <c r="B339" s="3" t="s">
        <v>115</v>
      </c>
      <c r="C339" s="3" t="s">
        <v>116</v>
      </c>
      <c r="D339" s="3" t="s">
        <v>41</v>
      </c>
      <c r="E339" s="3" t="s">
        <v>25</v>
      </c>
      <c r="F339" s="3" t="s">
        <v>72</v>
      </c>
      <c r="G339" s="2">
        <v>57.95</v>
      </c>
      <c r="H339" s="2">
        <v>6</v>
      </c>
      <c r="I339" s="2">
        <v>17.385000000000002</v>
      </c>
      <c r="J339" s="2">
        <v>365.08499999999998</v>
      </c>
      <c r="K339" s="5">
        <v>43520</v>
      </c>
      <c r="L339" s="4">
        <v>0.54305555555555551</v>
      </c>
      <c r="M339" s="3" t="s">
        <v>49</v>
      </c>
      <c r="N339" s="2">
        <v>347.7</v>
      </c>
      <c r="O339" s="2">
        <v>4.7619047620000003</v>
      </c>
      <c r="P339" s="2">
        <v>17.385000000000002</v>
      </c>
      <c r="Q339" s="2">
        <v>5.2</v>
      </c>
      <c r="R339" s="3"/>
      <c r="S339" s="1"/>
      <c r="T339" s="1"/>
      <c r="U339" s="1" t="s">
        <v>37</v>
      </c>
      <c r="V339" s="1" t="s">
        <v>37</v>
      </c>
      <c r="W339" s="1" t="s">
        <v>37</v>
      </c>
    </row>
    <row r="340" spans="1:23">
      <c r="A340" s="3" t="s">
        <v>2112</v>
      </c>
      <c r="B340" s="3" t="s">
        <v>39</v>
      </c>
      <c r="C340" s="3" t="s">
        <v>40</v>
      </c>
      <c r="D340" s="3" t="s">
        <v>41</v>
      </c>
      <c r="E340" s="3" t="s">
        <v>25</v>
      </c>
      <c r="F340" s="3" t="s">
        <v>42</v>
      </c>
      <c r="G340" s="2">
        <v>47.65</v>
      </c>
      <c r="H340" s="2">
        <v>3</v>
      </c>
      <c r="I340" s="2">
        <v>7.1475</v>
      </c>
      <c r="J340" s="2">
        <v>150.0975</v>
      </c>
      <c r="K340" s="5">
        <v>43552</v>
      </c>
      <c r="L340" s="4">
        <v>0.54027777777777775</v>
      </c>
      <c r="M340" s="3" t="s">
        <v>59</v>
      </c>
      <c r="N340" s="2">
        <v>142.94999999999999</v>
      </c>
      <c r="O340" s="2">
        <v>4.7619047620000003</v>
      </c>
      <c r="P340" s="2">
        <v>7.1475</v>
      </c>
      <c r="Q340" s="2">
        <v>9.5</v>
      </c>
      <c r="R340" s="3"/>
      <c r="S340" s="1"/>
      <c r="T340" s="1"/>
      <c r="U340" s="1" t="s">
        <v>37</v>
      </c>
      <c r="V340" s="1" t="s">
        <v>37</v>
      </c>
      <c r="W340" s="1" t="s">
        <v>37</v>
      </c>
    </row>
    <row r="341" spans="1:23">
      <c r="A341" s="3" t="s">
        <v>2117</v>
      </c>
      <c r="B341" s="3" t="s">
        <v>115</v>
      </c>
      <c r="C341" s="3" t="s">
        <v>116</v>
      </c>
      <c r="D341" s="3" t="s">
        <v>24</v>
      </c>
      <c r="E341" s="3" t="s">
        <v>25</v>
      </c>
      <c r="F341" s="3" t="s">
        <v>117</v>
      </c>
      <c r="G341" s="2">
        <v>42.82</v>
      </c>
      <c r="H341" s="2">
        <v>9</v>
      </c>
      <c r="I341" s="2">
        <v>19.268999999999998</v>
      </c>
      <c r="J341" s="2">
        <v>404.649</v>
      </c>
      <c r="K341" s="5">
        <v>43501</v>
      </c>
      <c r="L341" s="4">
        <v>0.6430555555555556</v>
      </c>
      <c r="M341" s="3" t="s">
        <v>59</v>
      </c>
      <c r="N341" s="2">
        <v>385.38</v>
      </c>
      <c r="O341" s="2">
        <v>4.7619047620000003</v>
      </c>
      <c r="P341" s="2">
        <v>19.268999999999998</v>
      </c>
      <c r="Q341" s="2">
        <v>8.9</v>
      </c>
      <c r="R341" s="3"/>
      <c r="S341" s="1"/>
      <c r="T341" s="1"/>
      <c r="U341" s="1" t="s">
        <v>37</v>
      </c>
      <c r="V341" s="1" t="s">
        <v>37</v>
      </c>
      <c r="W341" s="1" t="s">
        <v>37</v>
      </c>
    </row>
    <row r="342" spans="1:23">
      <c r="A342" s="3" t="s">
        <v>2122</v>
      </c>
      <c r="B342" s="3" t="s">
        <v>115</v>
      </c>
      <c r="C342" s="3" t="s">
        <v>116</v>
      </c>
      <c r="D342" s="3" t="s">
        <v>24</v>
      </c>
      <c r="E342" s="3" t="s">
        <v>992</v>
      </c>
      <c r="F342" s="3" t="s">
        <v>42</v>
      </c>
      <c r="G342" s="2">
        <v>48.09</v>
      </c>
      <c r="H342" s="2">
        <v>3</v>
      </c>
      <c r="I342" s="2">
        <v>7.2134999999999998</v>
      </c>
      <c r="J342" s="2">
        <v>151.48349999999999</v>
      </c>
      <c r="K342" s="5">
        <v>43506</v>
      </c>
      <c r="L342" s="4">
        <v>0.76597222222222228</v>
      </c>
      <c r="M342" s="3" t="s">
        <v>59</v>
      </c>
      <c r="N342" s="2">
        <v>144.27000000000001</v>
      </c>
      <c r="O342" s="2">
        <v>4.7619047620000003</v>
      </c>
      <c r="P342" s="2">
        <v>7.2134999999999998</v>
      </c>
      <c r="Q342" s="2">
        <v>7.8</v>
      </c>
      <c r="R342" s="3"/>
      <c r="S342" s="1"/>
      <c r="T342" s="1"/>
      <c r="U342" s="1" t="s">
        <v>37</v>
      </c>
      <c r="V342" s="1" t="s">
        <v>37</v>
      </c>
      <c r="W342" s="1" t="s">
        <v>37</v>
      </c>
    </row>
    <row r="343" spans="1:23">
      <c r="A343" s="3" t="s">
        <v>2127</v>
      </c>
      <c r="B343" s="3" t="s">
        <v>115</v>
      </c>
      <c r="C343" s="3" t="s">
        <v>116</v>
      </c>
      <c r="D343" s="3" t="s">
        <v>24</v>
      </c>
      <c r="E343" s="3" t="s">
        <v>25</v>
      </c>
      <c r="F343" s="3" t="s">
        <v>26</v>
      </c>
      <c r="G343" s="2">
        <v>55.97</v>
      </c>
      <c r="H343" s="2">
        <v>7</v>
      </c>
      <c r="I343" s="2">
        <v>19.589500000000001</v>
      </c>
      <c r="J343" s="2">
        <v>411.37950000000001</v>
      </c>
      <c r="K343" s="5">
        <v>43529</v>
      </c>
      <c r="L343" s="4">
        <v>0.79583333333333328</v>
      </c>
      <c r="M343" s="3" t="s">
        <v>33</v>
      </c>
      <c r="N343" s="2">
        <v>391.79</v>
      </c>
      <c r="O343" s="2">
        <v>4.7619047620000003</v>
      </c>
      <c r="P343" s="2">
        <v>19.589500000000001</v>
      </c>
      <c r="Q343" s="2">
        <v>8.9</v>
      </c>
      <c r="R343" s="3"/>
      <c r="S343" s="1"/>
      <c r="T343" s="1"/>
      <c r="U343" s="1" t="s">
        <v>37</v>
      </c>
      <c r="V343" s="1" t="s">
        <v>37</v>
      </c>
      <c r="W343" s="1" t="s">
        <v>37</v>
      </c>
    </row>
    <row r="344" spans="1:23">
      <c r="A344" s="3" t="s">
        <v>2132</v>
      </c>
      <c r="B344" s="3" t="s">
        <v>115</v>
      </c>
      <c r="C344" s="3" t="s">
        <v>116</v>
      </c>
      <c r="D344" s="3" t="s">
        <v>24</v>
      </c>
      <c r="E344" s="3" t="s">
        <v>25</v>
      </c>
      <c r="F344" s="3" t="s">
        <v>26</v>
      </c>
      <c r="G344" s="2">
        <v>76.900000000000006</v>
      </c>
      <c r="H344" s="2">
        <v>7</v>
      </c>
      <c r="I344" s="2">
        <v>26.914999999999999</v>
      </c>
      <c r="J344" s="2">
        <v>565.21500000000003</v>
      </c>
      <c r="K344" s="5">
        <v>43511</v>
      </c>
      <c r="L344" s="4">
        <v>0.84791666666666665</v>
      </c>
      <c r="M344" s="3" t="s">
        <v>49</v>
      </c>
      <c r="N344" s="2">
        <v>538.29999999999995</v>
      </c>
      <c r="O344" s="2">
        <v>4.7619047620000003</v>
      </c>
      <c r="P344" s="2">
        <v>26.914999999999999</v>
      </c>
      <c r="Q344" s="2">
        <v>7.7</v>
      </c>
      <c r="R344" s="3"/>
      <c r="S344" s="1"/>
      <c r="T344" s="1"/>
      <c r="U344" s="1" t="s">
        <v>37</v>
      </c>
      <c r="V344" s="1" t="s">
        <v>37</v>
      </c>
      <c r="W344" s="1" t="s">
        <v>37</v>
      </c>
    </row>
    <row r="345" spans="1:23">
      <c r="A345" s="3" t="s">
        <v>2138</v>
      </c>
      <c r="B345" s="3" t="s">
        <v>39</v>
      </c>
      <c r="C345" s="3" t="s">
        <v>40</v>
      </c>
      <c r="D345" s="3" t="s">
        <v>41</v>
      </c>
      <c r="E345" s="3" t="s">
        <v>25</v>
      </c>
      <c r="F345" s="3" t="s">
        <v>117</v>
      </c>
      <c r="G345" s="2">
        <v>97.03</v>
      </c>
      <c r="H345" s="2">
        <v>5</v>
      </c>
      <c r="I345" s="2">
        <v>24.2575</v>
      </c>
      <c r="J345" s="2">
        <v>509.40750000000003</v>
      </c>
      <c r="K345" s="5">
        <v>43495</v>
      </c>
      <c r="L345" s="4">
        <v>0.68333333333333335</v>
      </c>
      <c r="M345" s="3" t="s">
        <v>33</v>
      </c>
      <c r="N345" s="2">
        <v>485.15</v>
      </c>
      <c r="O345" s="2">
        <v>4.7619047620000003</v>
      </c>
      <c r="P345" s="2">
        <v>24.2575</v>
      </c>
      <c r="Q345" s="2">
        <v>9.3000000000000007</v>
      </c>
      <c r="R345" s="3"/>
      <c r="S345" s="1"/>
      <c r="T345" s="1"/>
      <c r="U345" s="1" t="s">
        <v>37</v>
      </c>
      <c r="V345" s="1" t="s">
        <v>37</v>
      </c>
      <c r="W345" s="1" t="s">
        <v>37</v>
      </c>
    </row>
    <row r="346" spans="1:23">
      <c r="A346" s="3" t="s">
        <v>2143</v>
      </c>
      <c r="B346" s="3" t="s">
        <v>22</v>
      </c>
      <c r="C346" s="3" t="s">
        <v>23</v>
      </c>
      <c r="D346" s="3" t="s">
        <v>41</v>
      </c>
      <c r="E346" s="3" t="s">
        <v>992</v>
      </c>
      <c r="F346" s="3" t="s">
        <v>72</v>
      </c>
      <c r="G346" s="2">
        <v>44.65</v>
      </c>
      <c r="H346" s="2">
        <v>3</v>
      </c>
      <c r="I346" s="2">
        <v>6.6974999999999998</v>
      </c>
      <c r="J346" s="2">
        <v>140.64750000000001</v>
      </c>
      <c r="K346" s="5">
        <v>43510</v>
      </c>
      <c r="L346" s="4">
        <v>0.62777777777777777</v>
      </c>
      <c r="M346" s="3" t="s">
        <v>49</v>
      </c>
      <c r="N346" s="2">
        <v>133.94999999999999</v>
      </c>
      <c r="O346" s="2">
        <v>4.7619047620000003</v>
      </c>
      <c r="P346" s="2">
        <v>6.6974999999999998</v>
      </c>
      <c r="Q346" s="2">
        <v>6.2</v>
      </c>
      <c r="R346" s="3"/>
      <c r="S346" s="1"/>
      <c r="T346" s="1"/>
      <c r="U346" s="1" t="s">
        <v>37</v>
      </c>
      <c r="V346" s="1" t="s">
        <v>37</v>
      </c>
      <c r="W346" s="1" t="s">
        <v>37</v>
      </c>
    </row>
    <row r="347" spans="1:23">
      <c r="A347" s="3" t="s">
        <v>2149</v>
      </c>
      <c r="B347" s="3" t="s">
        <v>22</v>
      </c>
      <c r="C347" s="3" t="s">
        <v>23</v>
      </c>
      <c r="D347" s="3" t="s">
        <v>41</v>
      </c>
      <c r="E347" s="3" t="s">
        <v>25</v>
      </c>
      <c r="F347" s="3" t="s">
        <v>127</v>
      </c>
      <c r="G347" s="2">
        <v>77.930000000000007</v>
      </c>
      <c r="H347" s="2">
        <v>9</v>
      </c>
      <c r="I347" s="2">
        <v>35.0685</v>
      </c>
      <c r="J347" s="2">
        <v>736.43849999999998</v>
      </c>
      <c r="K347" s="5">
        <v>43523</v>
      </c>
      <c r="L347" s="4">
        <v>0.67361111111111116</v>
      </c>
      <c r="M347" s="3" t="s">
        <v>33</v>
      </c>
      <c r="N347" s="2">
        <v>701.37</v>
      </c>
      <c r="O347" s="2">
        <v>4.7619047620000003</v>
      </c>
      <c r="P347" s="2">
        <v>35.0685</v>
      </c>
      <c r="Q347" s="2">
        <v>7.6</v>
      </c>
      <c r="R347" s="3"/>
      <c r="S347" s="1"/>
      <c r="T347" s="1"/>
      <c r="U347" s="1" t="s">
        <v>37</v>
      </c>
      <c r="V347" s="1" t="s">
        <v>37</v>
      </c>
      <c r="W347" s="1" t="s">
        <v>37</v>
      </c>
    </row>
    <row r="348" spans="1:23">
      <c r="A348" s="3" t="s">
        <v>2155</v>
      </c>
      <c r="B348" s="3" t="s">
        <v>22</v>
      </c>
      <c r="C348" s="3" t="s">
        <v>23</v>
      </c>
      <c r="D348" s="3" t="s">
        <v>24</v>
      </c>
      <c r="E348" s="3" t="s">
        <v>992</v>
      </c>
      <c r="F348" s="3" t="s">
        <v>42</v>
      </c>
      <c r="G348" s="2">
        <v>71.95</v>
      </c>
      <c r="H348" s="2">
        <v>1</v>
      </c>
      <c r="I348" s="2">
        <v>3.5975000000000001</v>
      </c>
      <c r="J348" s="2">
        <v>75.547499999999999</v>
      </c>
      <c r="K348" s="5">
        <v>43500</v>
      </c>
      <c r="L348" s="4">
        <v>0.50972222222222219</v>
      </c>
      <c r="M348" s="3" t="s">
        <v>49</v>
      </c>
      <c r="N348" s="2">
        <v>71.95</v>
      </c>
      <c r="O348" s="2">
        <v>4.7619047620000003</v>
      </c>
      <c r="P348" s="2">
        <v>3.5975000000000001</v>
      </c>
      <c r="Q348" s="2">
        <v>7.3</v>
      </c>
      <c r="R348" s="3"/>
      <c r="S348" s="1"/>
      <c r="T348" s="1"/>
      <c r="U348" s="1" t="s">
        <v>37</v>
      </c>
      <c r="V348" s="1" t="s">
        <v>37</v>
      </c>
      <c r="W348" s="1" t="s">
        <v>37</v>
      </c>
    </row>
    <row r="349" spans="1:23">
      <c r="A349" s="3" t="s">
        <v>2161</v>
      </c>
      <c r="B349" s="3" t="s">
        <v>39</v>
      </c>
      <c r="C349" s="3" t="s">
        <v>40</v>
      </c>
      <c r="D349" s="3" t="s">
        <v>24</v>
      </c>
      <c r="E349" s="3" t="s">
        <v>25</v>
      </c>
      <c r="F349" s="3" t="s">
        <v>53</v>
      </c>
      <c r="G349" s="2">
        <v>89.25</v>
      </c>
      <c r="H349" s="2">
        <v>8</v>
      </c>
      <c r="I349" s="2">
        <v>35.700000000000003</v>
      </c>
      <c r="J349" s="2">
        <v>749.7</v>
      </c>
      <c r="K349" s="5">
        <v>43485</v>
      </c>
      <c r="L349" s="4">
        <v>0.42569444444444443</v>
      </c>
      <c r="M349" s="3" t="s">
        <v>49</v>
      </c>
      <c r="N349" s="2">
        <v>714</v>
      </c>
      <c r="O349" s="2">
        <v>4.7619047620000003</v>
      </c>
      <c r="P349" s="2">
        <v>35.700000000000003</v>
      </c>
      <c r="Q349" s="2">
        <v>4.7</v>
      </c>
      <c r="R349" s="3"/>
      <c r="S349" s="1"/>
      <c r="T349" s="1"/>
      <c r="U349" s="1" t="s">
        <v>37</v>
      </c>
      <c r="V349" s="1" t="s">
        <v>37</v>
      </c>
      <c r="W349" s="1" t="s">
        <v>37</v>
      </c>
    </row>
    <row r="350" spans="1:23">
      <c r="A350" s="3" t="s">
        <v>2166</v>
      </c>
      <c r="B350" s="3" t="s">
        <v>22</v>
      </c>
      <c r="C350" s="3" t="s">
        <v>23</v>
      </c>
      <c r="D350" s="3" t="s">
        <v>41</v>
      </c>
      <c r="E350" s="3" t="s">
        <v>992</v>
      </c>
      <c r="F350" s="3" t="s">
        <v>42</v>
      </c>
      <c r="G350" s="2">
        <v>26.02</v>
      </c>
      <c r="H350" s="2">
        <v>7</v>
      </c>
      <c r="I350" s="2">
        <v>9.1069999999999993</v>
      </c>
      <c r="J350" s="2">
        <v>191.24700000000001</v>
      </c>
      <c r="K350" s="5">
        <v>43552</v>
      </c>
      <c r="L350" s="4">
        <v>0.73472222222222228</v>
      </c>
      <c r="M350" s="3" t="s">
        <v>49</v>
      </c>
      <c r="N350" s="2">
        <v>182.14</v>
      </c>
      <c r="O350" s="2">
        <v>4.7619047620000003</v>
      </c>
      <c r="P350" s="2">
        <v>9.1069999999999993</v>
      </c>
      <c r="Q350" s="2">
        <v>5.0999999999999996</v>
      </c>
      <c r="R350" s="3"/>
      <c r="S350" s="1"/>
      <c r="T350" s="1"/>
      <c r="U350" s="1" t="s">
        <v>37</v>
      </c>
      <c r="V350" s="1" t="s">
        <v>37</v>
      </c>
      <c r="W350" s="1" t="s">
        <v>37</v>
      </c>
    </row>
    <row r="351" spans="1:23">
      <c r="A351" s="3" t="s">
        <v>2171</v>
      </c>
      <c r="B351" s="3" t="s">
        <v>115</v>
      </c>
      <c r="C351" s="3" t="s">
        <v>116</v>
      </c>
      <c r="D351" s="3" t="s">
        <v>41</v>
      </c>
      <c r="E351" s="3" t="s">
        <v>25</v>
      </c>
      <c r="F351" s="3" t="s">
        <v>26</v>
      </c>
      <c r="G351" s="2">
        <v>13.5</v>
      </c>
      <c r="H351" s="2">
        <v>10</v>
      </c>
      <c r="I351" s="2">
        <v>6.75</v>
      </c>
      <c r="J351" s="2">
        <v>141.75</v>
      </c>
      <c r="K351" s="5">
        <v>43523</v>
      </c>
      <c r="L351" s="4">
        <v>0.46250000000000002</v>
      </c>
      <c r="M351" s="3" t="s">
        <v>59</v>
      </c>
      <c r="N351" s="2">
        <v>135</v>
      </c>
      <c r="O351" s="2">
        <v>4.7619047620000003</v>
      </c>
      <c r="P351" s="2">
        <v>6.75</v>
      </c>
      <c r="Q351" s="2">
        <v>4.8</v>
      </c>
      <c r="R351" s="3"/>
      <c r="S351" s="1"/>
      <c r="T351" s="1"/>
      <c r="U351" s="1" t="s">
        <v>37</v>
      </c>
      <c r="V351" s="1" t="s">
        <v>37</v>
      </c>
      <c r="W351" s="1" t="s">
        <v>37</v>
      </c>
    </row>
    <row r="352" spans="1:23">
      <c r="A352" s="3" t="s">
        <v>2177</v>
      </c>
      <c r="B352" s="3" t="s">
        <v>39</v>
      </c>
      <c r="C352" s="3" t="s">
        <v>40</v>
      </c>
      <c r="D352" s="3" t="s">
        <v>24</v>
      </c>
      <c r="E352" s="3" t="s">
        <v>25</v>
      </c>
      <c r="F352" s="3" t="s">
        <v>127</v>
      </c>
      <c r="G352" s="2">
        <v>99.3</v>
      </c>
      <c r="H352" s="2">
        <v>10</v>
      </c>
      <c r="I352" s="2">
        <v>49.65</v>
      </c>
      <c r="J352" s="2">
        <v>1042.6500000000001</v>
      </c>
      <c r="K352" s="5">
        <v>43511</v>
      </c>
      <c r="L352" s="4">
        <v>0.62013888888888891</v>
      </c>
      <c r="M352" s="3" t="s">
        <v>59</v>
      </c>
      <c r="N352" s="2">
        <v>993</v>
      </c>
      <c r="O352" s="2">
        <v>4.7619047620000003</v>
      </c>
      <c r="P352" s="2">
        <v>49.65</v>
      </c>
      <c r="Q352" s="2">
        <v>6.6</v>
      </c>
      <c r="R352" s="3"/>
      <c r="S352" s="1"/>
      <c r="T352" s="1"/>
      <c r="U352" s="1" t="s">
        <v>37</v>
      </c>
      <c r="V352" s="1" t="s">
        <v>37</v>
      </c>
      <c r="W352" s="1" t="s">
        <v>37</v>
      </c>
    </row>
    <row r="353" spans="1:23">
      <c r="A353" s="3" t="s">
        <v>2182</v>
      </c>
      <c r="B353" s="3" t="s">
        <v>22</v>
      </c>
      <c r="C353" s="3" t="s">
        <v>23</v>
      </c>
      <c r="D353" s="3" t="s">
        <v>41</v>
      </c>
      <c r="E353" s="3" t="s">
        <v>992</v>
      </c>
      <c r="F353" s="3" t="s">
        <v>42</v>
      </c>
      <c r="G353" s="2">
        <v>51.69</v>
      </c>
      <c r="H353" s="2">
        <v>7</v>
      </c>
      <c r="I353" s="2">
        <v>18.0915</v>
      </c>
      <c r="J353" s="2">
        <v>379.92149999999998</v>
      </c>
      <c r="K353" s="5">
        <v>43491</v>
      </c>
      <c r="L353" s="4">
        <v>0.76527777777777772</v>
      </c>
      <c r="M353" s="3" t="s">
        <v>49</v>
      </c>
      <c r="N353" s="2">
        <v>361.83</v>
      </c>
      <c r="O353" s="2">
        <v>4.7619047620000003</v>
      </c>
      <c r="P353" s="2">
        <v>18.0915</v>
      </c>
      <c r="Q353" s="2">
        <v>5.5</v>
      </c>
      <c r="R353" s="3"/>
      <c r="S353" s="1"/>
      <c r="T353" s="1"/>
      <c r="U353" s="1" t="s">
        <v>37</v>
      </c>
      <c r="V353" s="1" t="s">
        <v>37</v>
      </c>
      <c r="W353" s="1" t="s">
        <v>37</v>
      </c>
    </row>
    <row r="354" spans="1:23">
      <c r="A354" s="3" t="s">
        <v>2188</v>
      </c>
      <c r="B354" s="3" t="s">
        <v>115</v>
      </c>
      <c r="C354" s="3" t="s">
        <v>116</v>
      </c>
      <c r="D354" s="3" t="s">
        <v>24</v>
      </c>
      <c r="E354" s="3" t="s">
        <v>25</v>
      </c>
      <c r="F354" s="3" t="s">
        <v>127</v>
      </c>
      <c r="G354" s="2">
        <v>54.73</v>
      </c>
      <c r="H354" s="2">
        <v>7</v>
      </c>
      <c r="I354" s="2">
        <v>19.1555</v>
      </c>
      <c r="J354" s="2">
        <v>402.26549999999997</v>
      </c>
      <c r="K354" s="5">
        <v>43538</v>
      </c>
      <c r="L354" s="4">
        <v>0.79305555555555551</v>
      </c>
      <c r="M354" s="3" t="s">
        <v>59</v>
      </c>
      <c r="N354" s="2">
        <v>383.11</v>
      </c>
      <c r="O354" s="2">
        <v>4.7619047620000003</v>
      </c>
      <c r="P354" s="2">
        <v>19.1555</v>
      </c>
      <c r="Q354" s="2">
        <v>8.5</v>
      </c>
      <c r="R354" s="3"/>
      <c r="S354" s="1"/>
      <c r="T354" s="1"/>
      <c r="U354" s="1" t="s">
        <v>37</v>
      </c>
      <c r="V354" s="1" t="s">
        <v>37</v>
      </c>
      <c r="W354" s="1" t="s">
        <v>37</v>
      </c>
    </row>
    <row r="355" spans="1:23">
      <c r="A355" s="3" t="s">
        <v>2194</v>
      </c>
      <c r="B355" s="3" t="s">
        <v>115</v>
      </c>
      <c r="C355" s="3" t="s">
        <v>116</v>
      </c>
      <c r="D355" s="3" t="s">
        <v>24</v>
      </c>
      <c r="E355" s="3" t="s">
        <v>992</v>
      </c>
      <c r="F355" s="3" t="s">
        <v>53</v>
      </c>
      <c r="G355" s="2">
        <v>27</v>
      </c>
      <c r="H355" s="2">
        <v>9</v>
      </c>
      <c r="I355" s="2">
        <v>12.15</v>
      </c>
      <c r="J355" s="2">
        <v>255.15</v>
      </c>
      <c r="K355" s="5">
        <v>43526</v>
      </c>
      <c r="L355" s="4">
        <v>0.59444444444444444</v>
      </c>
      <c r="M355" s="3" t="s">
        <v>49</v>
      </c>
      <c r="N355" s="2">
        <v>243</v>
      </c>
      <c r="O355" s="2">
        <v>4.7619047620000003</v>
      </c>
      <c r="P355" s="2">
        <v>12.15</v>
      </c>
      <c r="Q355" s="2">
        <v>4.8</v>
      </c>
      <c r="R355" s="3"/>
      <c r="S355" s="1"/>
      <c r="T355" s="1"/>
      <c r="U355" s="1" t="s">
        <v>37</v>
      </c>
      <c r="V355" s="1" t="s">
        <v>37</v>
      </c>
      <c r="W355" s="1" t="s">
        <v>37</v>
      </c>
    </row>
    <row r="356" spans="1:23">
      <c r="A356" s="3" t="s">
        <v>2199</v>
      </c>
      <c r="B356" s="3" t="s">
        <v>39</v>
      </c>
      <c r="C356" s="3" t="s">
        <v>40</v>
      </c>
      <c r="D356" s="3" t="s">
        <v>41</v>
      </c>
      <c r="E356" s="3" t="s">
        <v>25</v>
      </c>
      <c r="F356" s="3" t="s">
        <v>42</v>
      </c>
      <c r="G356" s="2">
        <v>30.24</v>
      </c>
      <c r="H356" s="2">
        <v>1</v>
      </c>
      <c r="I356" s="2">
        <v>1.512</v>
      </c>
      <c r="J356" s="2">
        <v>31.751999999999999</v>
      </c>
      <c r="K356" s="5">
        <v>43528</v>
      </c>
      <c r="L356" s="4">
        <v>0.65555555555555556</v>
      </c>
      <c r="M356" s="3" t="s">
        <v>49</v>
      </c>
      <c r="N356" s="2">
        <v>30.24</v>
      </c>
      <c r="O356" s="2">
        <v>4.7619047620000003</v>
      </c>
      <c r="P356" s="2">
        <v>1.512</v>
      </c>
      <c r="Q356" s="2">
        <v>8.4</v>
      </c>
      <c r="R356" s="3"/>
      <c r="S356" s="1"/>
      <c r="T356" s="1"/>
      <c r="U356" s="1" t="s">
        <v>37</v>
      </c>
      <c r="V356" s="1" t="s">
        <v>37</v>
      </c>
      <c r="W356" s="1" t="s">
        <v>37</v>
      </c>
    </row>
    <row r="357" spans="1:23">
      <c r="A357" s="3" t="s">
        <v>2204</v>
      </c>
      <c r="B357" s="3" t="s">
        <v>115</v>
      </c>
      <c r="C357" s="3" t="s">
        <v>116</v>
      </c>
      <c r="D357" s="3" t="s">
        <v>24</v>
      </c>
      <c r="E357" s="3" t="s">
        <v>25</v>
      </c>
      <c r="F357" s="3" t="s">
        <v>117</v>
      </c>
      <c r="G357" s="2">
        <v>89.14</v>
      </c>
      <c r="H357" s="2">
        <v>4</v>
      </c>
      <c r="I357" s="2">
        <v>17.827999999999999</v>
      </c>
      <c r="J357" s="2">
        <v>374.38799999999998</v>
      </c>
      <c r="K357" s="5">
        <v>43472</v>
      </c>
      <c r="L357" s="4">
        <v>0.51388888888888884</v>
      </c>
      <c r="M357" s="3" t="s">
        <v>59</v>
      </c>
      <c r="N357" s="2">
        <v>356.56</v>
      </c>
      <c r="O357" s="2">
        <v>4.7619047620000003</v>
      </c>
      <c r="P357" s="2">
        <v>17.827999999999999</v>
      </c>
      <c r="Q357" s="2">
        <v>7.8</v>
      </c>
      <c r="R357" s="3"/>
      <c r="S357" s="1"/>
      <c r="T357" s="1"/>
      <c r="U357" s="1" t="s">
        <v>37</v>
      </c>
      <c r="V357" s="1" t="s">
        <v>37</v>
      </c>
      <c r="W357" s="1" t="s">
        <v>37</v>
      </c>
    </row>
    <row r="358" spans="1:23">
      <c r="A358" s="3" t="s">
        <v>2209</v>
      </c>
      <c r="B358" s="3" t="s">
        <v>39</v>
      </c>
      <c r="C358" s="3" t="s">
        <v>40</v>
      </c>
      <c r="D358" s="3" t="s">
        <v>41</v>
      </c>
      <c r="E358" s="3" t="s">
        <v>25</v>
      </c>
      <c r="F358" s="3" t="s">
        <v>127</v>
      </c>
      <c r="G358" s="2">
        <v>37.549999999999997</v>
      </c>
      <c r="H358" s="2">
        <v>10</v>
      </c>
      <c r="I358" s="2">
        <v>18.774999999999999</v>
      </c>
      <c r="J358" s="2">
        <v>394.27499999999998</v>
      </c>
      <c r="K358" s="5">
        <v>43532</v>
      </c>
      <c r="L358" s="4">
        <v>0.83402777777777781</v>
      </c>
      <c r="M358" s="3" t="s">
        <v>59</v>
      </c>
      <c r="N358" s="2">
        <v>375.5</v>
      </c>
      <c r="O358" s="2">
        <v>4.7619047620000003</v>
      </c>
      <c r="P358" s="2">
        <v>18.774999999999999</v>
      </c>
      <c r="Q358" s="2">
        <v>9.3000000000000007</v>
      </c>
      <c r="R358" s="3"/>
      <c r="S358" s="1"/>
      <c r="T358" s="1"/>
      <c r="U358" s="1" t="s">
        <v>37</v>
      </c>
      <c r="V358" s="1" t="s">
        <v>37</v>
      </c>
      <c r="W358" s="1" t="s">
        <v>37</v>
      </c>
    </row>
    <row r="359" spans="1:23">
      <c r="A359" s="3" t="s">
        <v>2215</v>
      </c>
      <c r="B359" s="3" t="s">
        <v>39</v>
      </c>
      <c r="C359" s="3" t="s">
        <v>40</v>
      </c>
      <c r="D359" s="3" t="s">
        <v>41</v>
      </c>
      <c r="E359" s="3" t="s">
        <v>25</v>
      </c>
      <c r="F359" s="3" t="s">
        <v>72</v>
      </c>
      <c r="G359" s="2">
        <v>95.44</v>
      </c>
      <c r="H359" s="2">
        <v>10</v>
      </c>
      <c r="I359" s="2">
        <v>47.72</v>
      </c>
      <c r="J359" s="2">
        <v>1002.12</v>
      </c>
      <c r="K359" s="5">
        <v>43474</v>
      </c>
      <c r="L359" s="4">
        <v>0.57291666666666663</v>
      </c>
      <c r="M359" s="3" t="s">
        <v>49</v>
      </c>
      <c r="N359" s="2">
        <v>954.4</v>
      </c>
      <c r="O359" s="2">
        <v>4.7619047620000003</v>
      </c>
      <c r="P359" s="2">
        <v>47.72</v>
      </c>
      <c r="Q359" s="2">
        <v>5.2</v>
      </c>
      <c r="R359" s="3"/>
      <c r="S359" s="1"/>
      <c r="T359" s="1"/>
      <c r="U359" s="1" t="s">
        <v>37</v>
      </c>
      <c r="V359" s="1" t="s">
        <v>37</v>
      </c>
      <c r="W359" s="1" t="s">
        <v>37</v>
      </c>
    </row>
    <row r="360" spans="1:23">
      <c r="A360" s="3" t="s">
        <v>2221</v>
      </c>
      <c r="B360" s="3" t="s">
        <v>115</v>
      </c>
      <c r="C360" s="3" t="s">
        <v>116</v>
      </c>
      <c r="D360" s="3" t="s">
        <v>41</v>
      </c>
      <c r="E360" s="3" t="s">
        <v>992</v>
      </c>
      <c r="F360" s="3" t="s">
        <v>42</v>
      </c>
      <c r="G360" s="2">
        <v>27.5</v>
      </c>
      <c r="H360" s="2">
        <v>3</v>
      </c>
      <c r="I360" s="2">
        <v>4.125</v>
      </c>
      <c r="J360" s="2">
        <v>86.625</v>
      </c>
      <c r="K360" s="5">
        <v>43525</v>
      </c>
      <c r="L360" s="4">
        <v>0.65277777777777779</v>
      </c>
      <c r="M360" s="3" t="s">
        <v>33</v>
      </c>
      <c r="N360" s="2">
        <v>82.5</v>
      </c>
      <c r="O360" s="2">
        <v>4.7619047620000003</v>
      </c>
      <c r="P360" s="2">
        <v>4.125</v>
      </c>
      <c r="Q360" s="2">
        <v>6.5</v>
      </c>
      <c r="R360" s="3"/>
      <c r="S360" s="1"/>
      <c r="T360" s="1"/>
      <c r="U360" s="1" t="s">
        <v>37</v>
      </c>
      <c r="V360" s="1" t="s">
        <v>37</v>
      </c>
      <c r="W360" s="1" t="s">
        <v>37</v>
      </c>
    </row>
    <row r="361" spans="1:23">
      <c r="A361" s="3" t="s">
        <v>2227</v>
      </c>
      <c r="B361" s="3" t="s">
        <v>115</v>
      </c>
      <c r="C361" s="3" t="s">
        <v>116</v>
      </c>
      <c r="D361" s="3" t="s">
        <v>41</v>
      </c>
      <c r="E361" s="3" t="s">
        <v>992</v>
      </c>
      <c r="F361" s="3" t="s">
        <v>72</v>
      </c>
      <c r="G361" s="2">
        <v>74.97</v>
      </c>
      <c r="H361" s="2">
        <v>1</v>
      </c>
      <c r="I361" s="2">
        <v>3.7484999999999999</v>
      </c>
      <c r="J361" s="2">
        <v>78.718500000000006</v>
      </c>
      <c r="K361" s="5">
        <v>43540</v>
      </c>
      <c r="L361" s="4">
        <v>0.70694444444444449</v>
      </c>
      <c r="M361" s="3" t="s">
        <v>49</v>
      </c>
      <c r="N361" s="2">
        <v>74.97</v>
      </c>
      <c r="O361" s="2">
        <v>4.7619047620000003</v>
      </c>
      <c r="P361" s="2">
        <v>3.7484999999999999</v>
      </c>
      <c r="Q361" s="2">
        <v>5.6</v>
      </c>
      <c r="R361" s="3"/>
      <c r="S361" s="1"/>
      <c r="T361" s="1"/>
      <c r="U361" s="1" t="s">
        <v>37</v>
      </c>
      <c r="V361" s="1" t="s">
        <v>37</v>
      </c>
      <c r="W361" s="1" t="s">
        <v>37</v>
      </c>
    </row>
    <row r="362" spans="1:23">
      <c r="A362" s="3" t="s">
        <v>2232</v>
      </c>
      <c r="B362" s="3" t="s">
        <v>22</v>
      </c>
      <c r="C362" s="3" t="s">
        <v>23</v>
      </c>
      <c r="D362" s="3" t="s">
        <v>24</v>
      </c>
      <c r="E362" s="3" t="s">
        <v>992</v>
      </c>
      <c r="F362" s="3" t="s">
        <v>117</v>
      </c>
      <c r="G362" s="2">
        <v>80.959999999999994</v>
      </c>
      <c r="H362" s="2">
        <v>8</v>
      </c>
      <c r="I362" s="2">
        <v>32.384</v>
      </c>
      <c r="J362" s="2">
        <v>680.06399999999996</v>
      </c>
      <c r="K362" s="5">
        <v>43513</v>
      </c>
      <c r="L362" s="4">
        <v>0.46666666666666667</v>
      </c>
      <c r="M362" s="3" t="s">
        <v>59</v>
      </c>
      <c r="N362" s="2">
        <v>647.67999999999995</v>
      </c>
      <c r="O362" s="2">
        <v>4.7619047620000003</v>
      </c>
      <c r="P362" s="2">
        <v>32.384</v>
      </c>
      <c r="Q362" s="2">
        <v>7.4</v>
      </c>
      <c r="R362" s="3"/>
      <c r="S362" s="1"/>
      <c r="T362" s="1"/>
      <c r="U362" s="1" t="s">
        <v>37</v>
      </c>
      <c r="V362" s="1" t="s">
        <v>37</v>
      </c>
      <c r="W362" s="1" t="s">
        <v>37</v>
      </c>
    </row>
    <row r="363" spans="1:23">
      <c r="A363" s="3" t="s">
        <v>2238</v>
      </c>
      <c r="B363" s="3" t="s">
        <v>39</v>
      </c>
      <c r="C363" s="3" t="s">
        <v>40</v>
      </c>
      <c r="D363" s="3" t="s">
        <v>41</v>
      </c>
      <c r="E363" s="3" t="s">
        <v>25</v>
      </c>
      <c r="F363" s="3" t="s">
        <v>117</v>
      </c>
      <c r="G363" s="2">
        <v>94.47</v>
      </c>
      <c r="H363" s="2">
        <v>8</v>
      </c>
      <c r="I363" s="2">
        <v>37.787999999999997</v>
      </c>
      <c r="J363" s="2">
        <v>793.548</v>
      </c>
      <c r="K363" s="5">
        <v>43523</v>
      </c>
      <c r="L363" s="4">
        <v>0.6333333333333333</v>
      </c>
      <c r="M363" s="3" t="s">
        <v>49</v>
      </c>
      <c r="N363" s="2">
        <v>755.76</v>
      </c>
      <c r="O363" s="2">
        <v>4.7619047620000003</v>
      </c>
      <c r="P363" s="2">
        <v>37.787999999999997</v>
      </c>
      <c r="Q363" s="2">
        <v>9.1</v>
      </c>
      <c r="R363" s="3"/>
      <c r="S363" s="1"/>
      <c r="T363" s="1"/>
      <c r="U363" s="1" t="s">
        <v>37</v>
      </c>
      <c r="V363" s="1" t="s">
        <v>37</v>
      </c>
      <c r="W363" s="1" t="s">
        <v>37</v>
      </c>
    </row>
    <row r="364" spans="1:23">
      <c r="A364" s="3" t="s">
        <v>2244</v>
      </c>
      <c r="B364" s="3" t="s">
        <v>39</v>
      </c>
      <c r="C364" s="3" t="s">
        <v>40</v>
      </c>
      <c r="D364" s="3" t="s">
        <v>41</v>
      </c>
      <c r="E364" s="3" t="s">
        <v>992</v>
      </c>
      <c r="F364" s="3" t="s">
        <v>117</v>
      </c>
      <c r="G364" s="2">
        <v>99.79</v>
      </c>
      <c r="H364" s="2">
        <v>2</v>
      </c>
      <c r="I364" s="2">
        <v>9.9789999999999992</v>
      </c>
      <c r="J364" s="2">
        <v>209.559</v>
      </c>
      <c r="K364" s="5">
        <v>43531</v>
      </c>
      <c r="L364" s="4">
        <v>0.85902777777777772</v>
      </c>
      <c r="M364" s="3" t="s">
        <v>33</v>
      </c>
      <c r="N364" s="2">
        <v>199.58</v>
      </c>
      <c r="O364" s="2">
        <v>4.7619047620000003</v>
      </c>
      <c r="P364" s="2">
        <v>9.9789999999999992</v>
      </c>
      <c r="Q364" s="2">
        <v>8</v>
      </c>
      <c r="R364" s="3"/>
      <c r="S364" s="1"/>
      <c r="T364" s="1"/>
      <c r="U364" s="1" t="s">
        <v>37</v>
      </c>
      <c r="V364" s="1" t="s">
        <v>37</v>
      </c>
      <c r="W364" s="1" t="s">
        <v>37</v>
      </c>
    </row>
    <row r="365" spans="1:23">
      <c r="A365" s="3" t="s">
        <v>2250</v>
      </c>
      <c r="B365" s="3" t="s">
        <v>22</v>
      </c>
      <c r="C365" s="3" t="s">
        <v>23</v>
      </c>
      <c r="D365" s="3" t="s">
        <v>41</v>
      </c>
      <c r="E365" s="3" t="s">
        <v>992</v>
      </c>
      <c r="F365" s="3" t="s">
        <v>53</v>
      </c>
      <c r="G365" s="2">
        <v>73.22</v>
      </c>
      <c r="H365" s="2">
        <v>6</v>
      </c>
      <c r="I365" s="2">
        <v>21.966000000000001</v>
      </c>
      <c r="J365" s="2">
        <v>461.286</v>
      </c>
      <c r="K365" s="5">
        <v>43486</v>
      </c>
      <c r="L365" s="4">
        <v>0.73888888888888893</v>
      </c>
      <c r="M365" s="3" t="s">
        <v>49</v>
      </c>
      <c r="N365" s="2">
        <v>439.32</v>
      </c>
      <c r="O365" s="2">
        <v>4.7619047620000003</v>
      </c>
      <c r="P365" s="2">
        <v>21.966000000000001</v>
      </c>
      <c r="Q365" s="2">
        <v>7.2</v>
      </c>
      <c r="R365" s="3"/>
      <c r="S365" s="1"/>
      <c r="T365" s="1"/>
      <c r="U365" s="1" t="s">
        <v>37</v>
      </c>
      <c r="V365" s="1" t="s">
        <v>37</v>
      </c>
      <c r="W365" s="1" t="s">
        <v>37</v>
      </c>
    </row>
    <row r="366" spans="1:23">
      <c r="A366" s="3" t="s">
        <v>2256</v>
      </c>
      <c r="B366" s="3" t="s">
        <v>39</v>
      </c>
      <c r="C366" s="3" t="s">
        <v>40</v>
      </c>
      <c r="D366" s="3" t="s">
        <v>41</v>
      </c>
      <c r="E366" s="3" t="s">
        <v>25</v>
      </c>
      <c r="F366" s="3" t="s">
        <v>117</v>
      </c>
      <c r="G366" s="2">
        <v>41.24</v>
      </c>
      <c r="H366" s="2">
        <v>4</v>
      </c>
      <c r="I366" s="2">
        <v>8.2479999999999993</v>
      </c>
      <c r="J366" s="2">
        <v>173.208</v>
      </c>
      <c r="K366" s="5">
        <v>43515</v>
      </c>
      <c r="L366" s="4">
        <v>0.68263888888888891</v>
      </c>
      <c r="M366" s="3" t="s">
        <v>49</v>
      </c>
      <c r="N366" s="2">
        <v>164.96</v>
      </c>
      <c r="O366" s="2">
        <v>4.7619047620000003</v>
      </c>
      <c r="P366" s="2">
        <v>8.2479999999999993</v>
      </c>
      <c r="Q366" s="2">
        <v>7.1</v>
      </c>
      <c r="R366" s="3"/>
      <c r="S366" s="1"/>
      <c r="T366" s="1"/>
      <c r="U366" s="1" t="s">
        <v>37</v>
      </c>
      <c r="V366" s="1" t="s">
        <v>37</v>
      </c>
      <c r="W366" s="1" t="s">
        <v>37</v>
      </c>
    </row>
    <row r="367" spans="1:23">
      <c r="A367" s="3" t="s">
        <v>2263</v>
      </c>
      <c r="B367" s="3" t="s">
        <v>39</v>
      </c>
      <c r="C367" s="3" t="s">
        <v>40</v>
      </c>
      <c r="D367" s="3" t="s">
        <v>41</v>
      </c>
      <c r="E367" s="3" t="s">
        <v>25</v>
      </c>
      <c r="F367" s="3" t="s">
        <v>127</v>
      </c>
      <c r="G367" s="2">
        <v>81.680000000000007</v>
      </c>
      <c r="H367" s="2">
        <v>4</v>
      </c>
      <c r="I367" s="2">
        <v>16.335999999999999</v>
      </c>
      <c r="J367" s="2">
        <v>343.05599999999998</v>
      </c>
      <c r="K367" s="5">
        <v>43471</v>
      </c>
      <c r="L367" s="4">
        <v>0.5083333333333333</v>
      </c>
      <c r="M367" s="3" t="s">
        <v>49</v>
      </c>
      <c r="N367" s="2">
        <v>326.72000000000003</v>
      </c>
      <c r="O367" s="2">
        <v>4.7619047620000003</v>
      </c>
      <c r="P367" s="2">
        <v>16.335999999999999</v>
      </c>
      <c r="Q367" s="2">
        <v>9.1</v>
      </c>
      <c r="R367" s="3"/>
      <c r="S367" s="1"/>
      <c r="T367" s="1"/>
      <c r="U367" s="1" t="s">
        <v>37</v>
      </c>
      <c r="V367" s="1" t="s">
        <v>37</v>
      </c>
      <c r="W367" s="1" t="s">
        <v>37</v>
      </c>
    </row>
    <row r="368" spans="1:23">
      <c r="A368" s="3" t="s">
        <v>2269</v>
      </c>
      <c r="B368" s="3" t="s">
        <v>39</v>
      </c>
      <c r="C368" s="3" t="s">
        <v>40</v>
      </c>
      <c r="D368" s="3" t="s">
        <v>41</v>
      </c>
      <c r="E368" s="3" t="s">
        <v>25</v>
      </c>
      <c r="F368" s="3" t="s">
        <v>42</v>
      </c>
      <c r="G368" s="2">
        <v>51.32</v>
      </c>
      <c r="H368" s="2">
        <v>9</v>
      </c>
      <c r="I368" s="2">
        <v>23.094000000000001</v>
      </c>
      <c r="J368" s="2">
        <v>484.97399999999999</v>
      </c>
      <c r="K368" s="5">
        <v>43538</v>
      </c>
      <c r="L368" s="4">
        <v>0.81458333333333333</v>
      </c>
      <c r="M368" s="3" t="s">
        <v>49</v>
      </c>
      <c r="N368" s="2">
        <v>461.88</v>
      </c>
      <c r="O368" s="2">
        <v>4.7619047620000003</v>
      </c>
      <c r="P368" s="2">
        <v>23.094000000000001</v>
      </c>
      <c r="Q368" s="2">
        <v>5.6</v>
      </c>
      <c r="R368" s="3"/>
      <c r="S368" s="1"/>
      <c r="T368" s="1"/>
      <c r="U368" s="1" t="s">
        <v>37</v>
      </c>
      <c r="V368" s="1" t="s">
        <v>37</v>
      </c>
      <c r="W368" s="1" t="s">
        <v>37</v>
      </c>
    </row>
    <row r="369" spans="1:23">
      <c r="A369" s="3" t="s">
        <v>2275</v>
      </c>
      <c r="B369" s="3" t="s">
        <v>22</v>
      </c>
      <c r="C369" s="3" t="s">
        <v>23</v>
      </c>
      <c r="D369" s="3" t="s">
        <v>24</v>
      </c>
      <c r="E369" s="3" t="s">
        <v>992</v>
      </c>
      <c r="F369" s="3" t="s">
        <v>53</v>
      </c>
      <c r="G369" s="2">
        <v>65.94</v>
      </c>
      <c r="H369" s="2">
        <v>4</v>
      </c>
      <c r="I369" s="2">
        <v>13.188000000000001</v>
      </c>
      <c r="J369" s="2">
        <v>276.94799999999998</v>
      </c>
      <c r="K369" s="5">
        <v>43548</v>
      </c>
      <c r="L369" s="4">
        <v>0.43680555555555556</v>
      </c>
      <c r="M369" s="3" t="s">
        <v>49</v>
      </c>
      <c r="N369" s="2">
        <v>263.76</v>
      </c>
      <c r="O369" s="2">
        <v>4.7619047620000003</v>
      </c>
      <c r="P369" s="2">
        <v>13.188000000000001</v>
      </c>
      <c r="Q369" s="2">
        <v>6</v>
      </c>
      <c r="R369" s="3"/>
      <c r="S369" s="1"/>
      <c r="T369" s="1"/>
      <c r="U369" s="1" t="s">
        <v>37</v>
      </c>
      <c r="V369" s="1" t="s">
        <v>37</v>
      </c>
      <c r="W369" s="1" t="s">
        <v>37</v>
      </c>
    </row>
    <row r="370" spans="1:23">
      <c r="A370" s="3" t="s">
        <v>2276</v>
      </c>
      <c r="B370" s="3" t="s">
        <v>39</v>
      </c>
      <c r="C370" s="3" t="s">
        <v>40</v>
      </c>
      <c r="D370" s="3" t="s">
        <v>41</v>
      </c>
      <c r="E370" s="3" t="s">
        <v>25</v>
      </c>
      <c r="F370" s="3" t="s">
        <v>72</v>
      </c>
      <c r="G370" s="2">
        <v>14.36</v>
      </c>
      <c r="H370" s="2">
        <v>10</v>
      </c>
      <c r="I370" s="2">
        <v>7.18</v>
      </c>
      <c r="J370" s="2">
        <v>150.78</v>
      </c>
      <c r="K370" s="5">
        <v>43492</v>
      </c>
      <c r="L370" s="4">
        <v>0.60277777777777775</v>
      </c>
      <c r="M370" s="3" t="s">
        <v>49</v>
      </c>
      <c r="N370" s="2">
        <v>143.6</v>
      </c>
      <c r="O370" s="2">
        <v>4.7619047620000003</v>
      </c>
      <c r="P370" s="2">
        <v>7.18</v>
      </c>
      <c r="Q370" s="2">
        <v>5.4</v>
      </c>
      <c r="R370" s="3"/>
      <c r="S370" s="1"/>
      <c r="T370" s="1"/>
      <c r="U370" s="1" t="s">
        <v>37</v>
      </c>
      <c r="V370" s="1" t="s">
        <v>37</v>
      </c>
      <c r="W370" s="1" t="s">
        <v>37</v>
      </c>
    </row>
    <row r="371" spans="1:23">
      <c r="A371" s="3" t="s">
        <v>2282</v>
      </c>
      <c r="B371" s="3" t="s">
        <v>22</v>
      </c>
      <c r="C371" s="3" t="s">
        <v>23</v>
      </c>
      <c r="D371" s="3" t="s">
        <v>24</v>
      </c>
      <c r="E371" s="3" t="s">
        <v>992</v>
      </c>
      <c r="F371" s="3" t="s">
        <v>42</v>
      </c>
      <c r="G371" s="2">
        <v>21.5</v>
      </c>
      <c r="H371" s="2">
        <v>9</v>
      </c>
      <c r="I371" s="2">
        <v>9.6750000000000007</v>
      </c>
      <c r="J371" s="2">
        <v>203.17500000000001</v>
      </c>
      <c r="K371" s="5">
        <v>43530</v>
      </c>
      <c r="L371" s="4">
        <v>0.53194444444444444</v>
      </c>
      <c r="M371" s="3" t="s">
        <v>59</v>
      </c>
      <c r="N371" s="2">
        <v>193.5</v>
      </c>
      <c r="O371" s="2">
        <v>4.7619047620000003</v>
      </c>
      <c r="P371" s="2">
        <v>9.6750000000000007</v>
      </c>
      <c r="Q371" s="2">
        <v>7.8</v>
      </c>
      <c r="R371" s="3"/>
      <c r="S371" s="1"/>
      <c r="T371" s="1"/>
      <c r="U371" s="1" t="s">
        <v>37</v>
      </c>
      <c r="V371" s="1" t="s">
        <v>37</v>
      </c>
      <c r="W371" s="1" t="s">
        <v>37</v>
      </c>
    </row>
    <row r="372" spans="1:23">
      <c r="A372" s="3" t="s">
        <v>2287</v>
      </c>
      <c r="B372" s="3" t="s">
        <v>115</v>
      </c>
      <c r="C372" s="3" t="s">
        <v>116</v>
      </c>
      <c r="D372" s="3" t="s">
        <v>24</v>
      </c>
      <c r="E372" s="3" t="s">
        <v>25</v>
      </c>
      <c r="F372" s="3" t="s">
        <v>42</v>
      </c>
      <c r="G372" s="2">
        <v>26.26</v>
      </c>
      <c r="H372" s="2">
        <v>7</v>
      </c>
      <c r="I372" s="2">
        <v>9.1910000000000007</v>
      </c>
      <c r="J372" s="2">
        <v>193.011</v>
      </c>
      <c r="K372" s="5">
        <v>43498</v>
      </c>
      <c r="L372" s="4">
        <v>0.81944444444444442</v>
      </c>
      <c r="M372" s="3" t="s">
        <v>49</v>
      </c>
      <c r="N372" s="2">
        <v>183.82</v>
      </c>
      <c r="O372" s="2">
        <v>4.7619047620000003</v>
      </c>
      <c r="P372" s="2">
        <v>9.1910000000000007</v>
      </c>
      <c r="Q372" s="2">
        <v>9.9</v>
      </c>
      <c r="R372" s="3"/>
      <c r="S372" s="1"/>
      <c r="T372" s="1"/>
      <c r="U372" s="1" t="s">
        <v>37</v>
      </c>
      <c r="V372" s="1" t="s">
        <v>37</v>
      </c>
      <c r="W372" s="1" t="s">
        <v>37</v>
      </c>
    </row>
    <row r="373" spans="1:23">
      <c r="A373" s="3" t="s">
        <v>2292</v>
      </c>
      <c r="B373" s="3" t="s">
        <v>115</v>
      </c>
      <c r="C373" s="3" t="s">
        <v>116</v>
      </c>
      <c r="D373" s="3" t="s">
        <v>41</v>
      </c>
      <c r="E373" s="3" t="s">
        <v>25</v>
      </c>
      <c r="F373" s="3" t="s">
        <v>127</v>
      </c>
      <c r="G373" s="2">
        <v>60.96</v>
      </c>
      <c r="H373" s="2">
        <v>2</v>
      </c>
      <c r="I373" s="2">
        <v>6.0960000000000001</v>
      </c>
      <c r="J373" s="2">
        <v>128.01599999999999</v>
      </c>
      <c r="K373" s="5">
        <v>43490</v>
      </c>
      <c r="L373" s="4">
        <v>0.81874999999999998</v>
      </c>
      <c r="M373" s="3" t="s">
        <v>59</v>
      </c>
      <c r="N373" s="2">
        <v>121.92</v>
      </c>
      <c r="O373" s="2">
        <v>4.7619047620000003</v>
      </c>
      <c r="P373" s="2">
        <v>6.0960000000000001</v>
      </c>
      <c r="Q373" s="2">
        <v>4.9000000000000004</v>
      </c>
      <c r="R373" s="3"/>
      <c r="S373" s="1"/>
      <c r="T373" s="1"/>
      <c r="U373" s="1" t="s">
        <v>37</v>
      </c>
      <c r="V373" s="1" t="s">
        <v>37</v>
      </c>
      <c r="W373" s="1" t="s">
        <v>37</v>
      </c>
    </row>
    <row r="374" spans="1:23">
      <c r="A374" s="3" t="s">
        <v>2297</v>
      </c>
      <c r="B374" s="3" t="s">
        <v>39</v>
      </c>
      <c r="C374" s="3" t="s">
        <v>40</v>
      </c>
      <c r="D374" s="3" t="s">
        <v>41</v>
      </c>
      <c r="E374" s="3" t="s">
        <v>25</v>
      </c>
      <c r="F374" s="3" t="s">
        <v>53</v>
      </c>
      <c r="G374" s="2">
        <v>70.11</v>
      </c>
      <c r="H374" s="2">
        <v>6</v>
      </c>
      <c r="I374" s="2">
        <v>21.033000000000001</v>
      </c>
      <c r="J374" s="2">
        <v>441.69299999999998</v>
      </c>
      <c r="K374" s="5">
        <v>43538</v>
      </c>
      <c r="L374" s="4">
        <v>0.74583333333333335</v>
      </c>
      <c r="M374" s="3" t="s">
        <v>33</v>
      </c>
      <c r="N374" s="2">
        <v>420.66</v>
      </c>
      <c r="O374" s="2">
        <v>4.7619047620000003</v>
      </c>
      <c r="P374" s="2">
        <v>21.033000000000001</v>
      </c>
      <c r="Q374" s="2">
        <v>5.2</v>
      </c>
      <c r="R374" s="3"/>
      <c r="S374" s="1"/>
      <c r="T374" s="1"/>
      <c r="U374" s="1" t="s">
        <v>37</v>
      </c>
      <c r="V374" s="1" t="s">
        <v>37</v>
      </c>
      <c r="W374" s="1" t="s">
        <v>37</v>
      </c>
    </row>
    <row r="375" spans="1:23">
      <c r="A375" s="3" t="s">
        <v>2303</v>
      </c>
      <c r="B375" s="3" t="s">
        <v>39</v>
      </c>
      <c r="C375" s="3" t="s">
        <v>40</v>
      </c>
      <c r="D375" s="3" t="s">
        <v>41</v>
      </c>
      <c r="E375" s="3" t="s">
        <v>992</v>
      </c>
      <c r="F375" s="3" t="s">
        <v>127</v>
      </c>
      <c r="G375" s="2">
        <v>42.08</v>
      </c>
      <c r="H375" s="2">
        <v>6</v>
      </c>
      <c r="I375" s="2">
        <v>12.624000000000001</v>
      </c>
      <c r="J375" s="2">
        <v>265.10399999999998</v>
      </c>
      <c r="K375" s="5">
        <v>43494</v>
      </c>
      <c r="L375" s="4">
        <v>0.51736111111111116</v>
      </c>
      <c r="M375" s="3" t="s">
        <v>49</v>
      </c>
      <c r="N375" s="2">
        <v>252.48</v>
      </c>
      <c r="O375" s="2">
        <v>4.7619047620000003</v>
      </c>
      <c r="P375" s="2">
        <v>12.624000000000001</v>
      </c>
      <c r="Q375" s="2">
        <v>8.9</v>
      </c>
      <c r="R375" s="3"/>
      <c r="S375" s="1"/>
      <c r="T375" s="1"/>
      <c r="U375" s="1" t="s">
        <v>37</v>
      </c>
      <c r="V375" s="1" t="s">
        <v>37</v>
      </c>
      <c r="W375" s="1" t="s">
        <v>37</v>
      </c>
    </row>
    <row r="376" spans="1:23">
      <c r="A376" s="3" t="s">
        <v>2309</v>
      </c>
      <c r="B376" s="3" t="s">
        <v>22</v>
      </c>
      <c r="C376" s="3" t="s">
        <v>23</v>
      </c>
      <c r="D376" s="3" t="s">
        <v>41</v>
      </c>
      <c r="E376" s="3" t="s">
        <v>25</v>
      </c>
      <c r="F376" s="3" t="s">
        <v>53</v>
      </c>
      <c r="G376" s="2">
        <v>67.09</v>
      </c>
      <c r="H376" s="2">
        <v>5</v>
      </c>
      <c r="I376" s="2">
        <v>16.772500000000001</v>
      </c>
      <c r="J376" s="2">
        <v>352.22250000000003</v>
      </c>
      <c r="K376" s="5">
        <v>43468</v>
      </c>
      <c r="L376" s="4">
        <v>0.69930555555555551</v>
      </c>
      <c r="M376" s="3" t="s">
        <v>59</v>
      </c>
      <c r="N376" s="2">
        <v>335.45</v>
      </c>
      <c r="O376" s="2">
        <v>4.7619047620000003</v>
      </c>
      <c r="P376" s="2">
        <v>16.772500000000001</v>
      </c>
      <c r="Q376" s="2">
        <v>9.1</v>
      </c>
      <c r="R376" s="3"/>
      <c r="S376" s="1"/>
      <c r="T376" s="1"/>
      <c r="U376" s="1" t="s">
        <v>37</v>
      </c>
      <c r="V376" s="1" t="s">
        <v>37</v>
      </c>
      <c r="W376" s="1" t="s">
        <v>37</v>
      </c>
    </row>
    <row r="377" spans="1:23">
      <c r="A377" s="3" t="s">
        <v>2314</v>
      </c>
      <c r="B377" s="3" t="s">
        <v>22</v>
      </c>
      <c r="C377" s="3" t="s">
        <v>23</v>
      </c>
      <c r="D377" s="3" t="s">
        <v>24</v>
      </c>
      <c r="E377" s="3" t="s">
        <v>25</v>
      </c>
      <c r="F377" s="3" t="s">
        <v>127</v>
      </c>
      <c r="G377" s="2">
        <v>96.7</v>
      </c>
      <c r="H377" s="2">
        <v>5</v>
      </c>
      <c r="I377" s="2">
        <v>24.175000000000001</v>
      </c>
      <c r="J377" s="2">
        <v>507.67500000000001</v>
      </c>
      <c r="K377" s="5">
        <v>43479</v>
      </c>
      <c r="L377" s="4">
        <v>0.53611111111111109</v>
      </c>
      <c r="M377" s="3" t="s">
        <v>33</v>
      </c>
      <c r="N377" s="2">
        <v>483.5</v>
      </c>
      <c r="O377" s="2">
        <v>4.7619047620000003</v>
      </c>
      <c r="P377" s="2">
        <v>24.175000000000001</v>
      </c>
      <c r="Q377" s="2">
        <v>7</v>
      </c>
      <c r="R377" s="3"/>
      <c r="S377" s="1"/>
      <c r="T377" s="1"/>
      <c r="U377" s="1" t="s">
        <v>37</v>
      </c>
      <c r="V377" s="1" t="s">
        <v>37</v>
      </c>
      <c r="W377" s="1" t="s">
        <v>37</v>
      </c>
    </row>
    <row r="378" spans="1:23">
      <c r="A378" s="3" t="s">
        <v>2320</v>
      </c>
      <c r="B378" s="3" t="s">
        <v>115</v>
      </c>
      <c r="C378" s="3" t="s">
        <v>116</v>
      </c>
      <c r="D378" s="3" t="s">
        <v>24</v>
      </c>
      <c r="E378" s="3" t="s">
        <v>25</v>
      </c>
      <c r="F378" s="3" t="s">
        <v>53</v>
      </c>
      <c r="G378" s="2">
        <v>35.380000000000003</v>
      </c>
      <c r="H378" s="2">
        <v>9</v>
      </c>
      <c r="I378" s="2">
        <v>15.920999999999999</v>
      </c>
      <c r="J378" s="2">
        <v>334.34100000000001</v>
      </c>
      <c r="K378" s="5">
        <v>43470</v>
      </c>
      <c r="L378" s="4">
        <v>0.82638888888888884</v>
      </c>
      <c r="M378" s="3" t="s">
        <v>59</v>
      </c>
      <c r="N378" s="2">
        <v>318.42</v>
      </c>
      <c r="O378" s="2">
        <v>4.7619047620000003</v>
      </c>
      <c r="P378" s="2">
        <v>15.920999999999999</v>
      </c>
      <c r="Q378" s="2">
        <v>9.6</v>
      </c>
      <c r="R378" s="3"/>
      <c r="S378" s="1"/>
      <c r="T378" s="1"/>
      <c r="U378" s="1" t="s">
        <v>37</v>
      </c>
      <c r="V378" s="1" t="s">
        <v>37</v>
      </c>
      <c r="W378" s="1" t="s">
        <v>37</v>
      </c>
    </row>
    <row r="379" spans="1:23">
      <c r="A379" s="3" t="s">
        <v>2326</v>
      </c>
      <c r="B379" s="3" t="s">
        <v>39</v>
      </c>
      <c r="C379" s="3" t="s">
        <v>40</v>
      </c>
      <c r="D379" s="3" t="s">
        <v>41</v>
      </c>
      <c r="E379" s="3" t="s">
        <v>992</v>
      </c>
      <c r="F379" s="3" t="s">
        <v>72</v>
      </c>
      <c r="G379" s="2">
        <v>95.49</v>
      </c>
      <c r="H379" s="2">
        <v>7</v>
      </c>
      <c r="I379" s="2">
        <v>33.421500000000002</v>
      </c>
      <c r="J379" s="2">
        <v>701.85149999999999</v>
      </c>
      <c r="K379" s="5">
        <v>43518</v>
      </c>
      <c r="L379" s="4">
        <v>0.76180555555555551</v>
      </c>
      <c r="M379" s="3" t="s">
        <v>33</v>
      </c>
      <c r="N379" s="2">
        <v>668.43</v>
      </c>
      <c r="O379" s="2">
        <v>4.7619047620000003</v>
      </c>
      <c r="P379" s="2">
        <v>33.421500000000002</v>
      </c>
      <c r="Q379" s="2">
        <v>8.6999999999999993</v>
      </c>
      <c r="R379" s="3"/>
      <c r="S379" s="1"/>
      <c r="T379" s="1"/>
      <c r="U379" s="1" t="s">
        <v>37</v>
      </c>
      <c r="V379" s="1" t="s">
        <v>37</v>
      </c>
      <c r="W379" s="1" t="s">
        <v>37</v>
      </c>
    </row>
    <row r="380" spans="1:23">
      <c r="A380" s="3" t="s">
        <v>2331</v>
      </c>
      <c r="B380" s="3" t="s">
        <v>39</v>
      </c>
      <c r="C380" s="3" t="s">
        <v>40</v>
      </c>
      <c r="D380" s="3" t="s">
        <v>24</v>
      </c>
      <c r="E380" s="3" t="s">
        <v>992</v>
      </c>
      <c r="F380" s="3" t="s">
        <v>127</v>
      </c>
      <c r="G380" s="2">
        <v>96.98</v>
      </c>
      <c r="H380" s="2">
        <v>4</v>
      </c>
      <c r="I380" s="2">
        <v>19.396000000000001</v>
      </c>
      <c r="J380" s="2">
        <v>407.31599999999997</v>
      </c>
      <c r="K380" s="5">
        <v>43502</v>
      </c>
      <c r="L380" s="4">
        <v>0.72222222222222221</v>
      </c>
      <c r="M380" s="3" t="s">
        <v>33</v>
      </c>
      <c r="N380" s="2">
        <v>387.92</v>
      </c>
      <c r="O380" s="2">
        <v>4.7619047620000003</v>
      </c>
      <c r="P380" s="2">
        <v>19.396000000000001</v>
      </c>
      <c r="Q380" s="2">
        <v>9.4</v>
      </c>
      <c r="R380" s="3"/>
      <c r="S380" s="1"/>
      <c r="T380" s="1"/>
      <c r="U380" s="1" t="s">
        <v>37</v>
      </c>
      <c r="V380" s="1" t="s">
        <v>37</v>
      </c>
      <c r="W380" s="1" t="s">
        <v>37</v>
      </c>
    </row>
    <row r="381" spans="1:23">
      <c r="A381" s="3" t="s">
        <v>2336</v>
      </c>
      <c r="B381" s="3" t="s">
        <v>115</v>
      </c>
      <c r="C381" s="3" t="s">
        <v>116</v>
      </c>
      <c r="D381" s="3" t="s">
        <v>41</v>
      </c>
      <c r="E381" s="3" t="s">
        <v>25</v>
      </c>
      <c r="F381" s="3" t="s">
        <v>42</v>
      </c>
      <c r="G381" s="2">
        <v>23.65</v>
      </c>
      <c r="H381" s="2">
        <v>4</v>
      </c>
      <c r="I381" s="2">
        <v>4.7300000000000004</v>
      </c>
      <c r="J381" s="2">
        <v>99.33</v>
      </c>
      <c r="K381" s="5">
        <v>43495</v>
      </c>
      <c r="L381" s="4">
        <v>0.56388888888888888</v>
      </c>
      <c r="M381" s="3" t="s">
        <v>59</v>
      </c>
      <c r="N381" s="2">
        <v>94.6</v>
      </c>
      <c r="O381" s="2">
        <v>4.7619047620000003</v>
      </c>
      <c r="P381" s="2">
        <v>4.7300000000000004</v>
      </c>
      <c r="Q381" s="2">
        <v>4</v>
      </c>
      <c r="R381" s="3"/>
      <c r="S381" s="1"/>
      <c r="T381" s="1"/>
      <c r="U381" s="1" t="s">
        <v>37</v>
      </c>
      <c r="V381" s="1" t="s">
        <v>37</v>
      </c>
      <c r="W381" s="1" t="s">
        <v>37</v>
      </c>
    </row>
    <row r="382" spans="1:23">
      <c r="A382" s="3" t="s">
        <v>2341</v>
      </c>
      <c r="B382" s="3" t="s">
        <v>22</v>
      </c>
      <c r="C382" s="3" t="s">
        <v>23</v>
      </c>
      <c r="D382" s="3" t="s">
        <v>24</v>
      </c>
      <c r="E382" s="3" t="s">
        <v>992</v>
      </c>
      <c r="F382" s="3" t="s">
        <v>72</v>
      </c>
      <c r="G382" s="2">
        <v>82.33</v>
      </c>
      <c r="H382" s="2">
        <v>4</v>
      </c>
      <c r="I382" s="2">
        <v>16.466000000000001</v>
      </c>
      <c r="J382" s="2">
        <v>345.786</v>
      </c>
      <c r="K382" s="5">
        <v>43476</v>
      </c>
      <c r="L382" s="4">
        <v>0.44236111111111109</v>
      </c>
      <c r="M382" s="3" t="s">
        <v>59</v>
      </c>
      <c r="N382" s="2">
        <v>329.32</v>
      </c>
      <c r="O382" s="2">
        <v>4.7619047620000003</v>
      </c>
      <c r="P382" s="2">
        <v>16.466000000000001</v>
      </c>
      <c r="Q382" s="2">
        <v>7.5</v>
      </c>
      <c r="R382" s="3"/>
      <c r="S382" s="1"/>
      <c r="T382" s="1"/>
      <c r="U382" s="1" t="s">
        <v>37</v>
      </c>
      <c r="V382" s="1" t="s">
        <v>37</v>
      </c>
      <c r="W382" s="1" t="s">
        <v>37</v>
      </c>
    </row>
    <row r="383" spans="1:23">
      <c r="A383" s="3" t="s">
        <v>2346</v>
      </c>
      <c r="B383" s="3" t="s">
        <v>39</v>
      </c>
      <c r="C383" s="3" t="s">
        <v>40</v>
      </c>
      <c r="D383" s="3" t="s">
        <v>41</v>
      </c>
      <c r="E383" s="3" t="s">
        <v>25</v>
      </c>
      <c r="F383" s="3" t="s">
        <v>42</v>
      </c>
      <c r="G383" s="2">
        <v>26.61</v>
      </c>
      <c r="H383" s="2">
        <v>2</v>
      </c>
      <c r="I383" s="2">
        <v>2.661</v>
      </c>
      <c r="J383" s="2">
        <v>55.881</v>
      </c>
      <c r="K383" s="5">
        <v>43543</v>
      </c>
      <c r="L383" s="4">
        <v>0.60763888888888884</v>
      </c>
      <c r="M383" s="3" t="s">
        <v>49</v>
      </c>
      <c r="N383" s="2">
        <v>53.22</v>
      </c>
      <c r="O383" s="2">
        <v>4.7619047620000003</v>
      </c>
      <c r="P383" s="2">
        <v>2.661</v>
      </c>
      <c r="Q383" s="2">
        <v>4.2</v>
      </c>
      <c r="R383" s="3"/>
      <c r="S383" s="1"/>
      <c r="T383" s="1"/>
      <c r="U383" s="1" t="s">
        <v>37</v>
      </c>
      <c r="V383" s="1" t="s">
        <v>37</v>
      </c>
      <c r="W383" s="1" t="s">
        <v>37</v>
      </c>
    </row>
    <row r="384" spans="1:23">
      <c r="A384" s="3" t="s">
        <v>2351</v>
      </c>
      <c r="B384" s="3" t="s">
        <v>115</v>
      </c>
      <c r="C384" s="3" t="s">
        <v>116</v>
      </c>
      <c r="D384" s="3" t="s">
        <v>41</v>
      </c>
      <c r="E384" s="3" t="s">
        <v>25</v>
      </c>
      <c r="F384" s="3" t="s">
        <v>117</v>
      </c>
      <c r="G384" s="2">
        <v>99.69</v>
      </c>
      <c r="H384" s="2">
        <v>5</v>
      </c>
      <c r="I384" s="2">
        <v>24.922499999999999</v>
      </c>
      <c r="J384" s="2">
        <v>523.37249999999995</v>
      </c>
      <c r="K384" s="5">
        <v>43479</v>
      </c>
      <c r="L384" s="4">
        <v>0.50624999999999998</v>
      </c>
      <c r="M384" s="3" t="s">
        <v>49</v>
      </c>
      <c r="N384" s="2">
        <v>498.45</v>
      </c>
      <c r="O384" s="2">
        <v>4.7619047620000003</v>
      </c>
      <c r="P384" s="2">
        <v>24.922499999999999</v>
      </c>
      <c r="Q384" s="2">
        <v>9.9</v>
      </c>
      <c r="R384" s="3"/>
      <c r="S384" s="1"/>
      <c r="T384" s="1"/>
      <c r="U384" s="1" t="s">
        <v>37</v>
      </c>
      <c r="V384" s="1" t="s">
        <v>37</v>
      </c>
      <c r="W384" s="1" t="s">
        <v>37</v>
      </c>
    </row>
    <row r="385" spans="1:23">
      <c r="A385" s="3" t="s">
        <v>2356</v>
      </c>
      <c r="B385" s="3" t="s">
        <v>39</v>
      </c>
      <c r="C385" s="3" t="s">
        <v>40</v>
      </c>
      <c r="D385" s="3" t="s">
        <v>24</v>
      </c>
      <c r="E385" s="3" t="s">
        <v>25</v>
      </c>
      <c r="F385" s="3" t="s">
        <v>117</v>
      </c>
      <c r="G385" s="2">
        <v>74.89</v>
      </c>
      <c r="H385" s="2">
        <v>4</v>
      </c>
      <c r="I385" s="2">
        <v>14.978</v>
      </c>
      <c r="J385" s="2">
        <v>314.53800000000001</v>
      </c>
      <c r="K385" s="5">
        <v>43525</v>
      </c>
      <c r="L385" s="4">
        <v>0.64722222222222225</v>
      </c>
      <c r="M385" s="3" t="s">
        <v>33</v>
      </c>
      <c r="N385" s="2">
        <v>299.56</v>
      </c>
      <c r="O385" s="2">
        <v>4.7619047620000003</v>
      </c>
      <c r="P385" s="2">
        <v>14.978</v>
      </c>
      <c r="Q385" s="2">
        <v>4.2</v>
      </c>
      <c r="R385" s="3"/>
      <c r="S385" s="1"/>
      <c r="T385" s="1"/>
      <c r="U385" s="1" t="s">
        <v>37</v>
      </c>
      <c r="V385" s="1" t="s">
        <v>37</v>
      </c>
      <c r="W385" s="1" t="s">
        <v>37</v>
      </c>
    </row>
    <row r="386" spans="1:23">
      <c r="A386" s="3" t="s">
        <v>2362</v>
      </c>
      <c r="B386" s="3" t="s">
        <v>22</v>
      </c>
      <c r="C386" s="3" t="s">
        <v>23</v>
      </c>
      <c r="D386" s="3" t="s">
        <v>41</v>
      </c>
      <c r="E386" s="3" t="s">
        <v>25</v>
      </c>
      <c r="F386" s="3" t="s">
        <v>117</v>
      </c>
      <c r="G386" s="2">
        <v>40.94</v>
      </c>
      <c r="H386" s="2">
        <v>5</v>
      </c>
      <c r="I386" s="2">
        <v>10.234999999999999</v>
      </c>
      <c r="J386" s="2">
        <v>214.935</v>
      </c>
      <c r="K386" s="5">
        <v>43471</v>
      </c>
      <c r="L386" s="4">
        <v>0.58194444444444449</v>
      </c>
      <c r="M386" s="3" t="s">
        <v>33</v>
      </c>
      <c r="N386" s="2">
        <v>204.7</v>
      </c>
      <c r="O386" s="2">
        <v>4.7619047620000003</v>
      </c>
      <c r="P386" s="2">
        <v>10.234999999999999</v>
      </c>
      <c r="Q386" s="2">
        <v>9.9</v>
      </c>
      <c r="R386" s="3"/>
      <c r="S386" s="1"/>
      <c r="T386" s="1"/>
      <c r="U386" s="1" t="s">
        <v>37</v>
      </c>
      <c r="V386" s="1" t="s">
        <v>37</v>
      </c>
      <c r="W386" s="1" t="s">
        <v>37</v>
      </c>
    </row>
    <row r="387" spans="1:23">
      <c r="A387" s="3" t="s">
        <v>2367</v>
      </c>
      <c r="B387" s="3" t="s">
        <v>115</v>
      </c>
      <c r="C387" s="3" t="s">
        <v>116</v>
      </c>
      <c r="D387" s="3" t="s">
        <v>24</v>
      </c>
      <c r="E387" s="3" t="s">
        <v>992</v>
      </c>
      <c r="F387" s="3" t="s">
        <v>72</v>
      </c>
      <c r="G387" s="2">
        <v>75.819999999999993</v>
      </c>
      <c r="H387" s="2">
        <v>1</v>
      </c>
      <c r="I387" s="2">
        <v>3.7909999999999999</v>
      </c>
      <c r="J387" s="2">
        <v>79.611000000000004</v>
      </c>
      <c r="K387" s="5">
        <v>43496</v>
      </c>
      <c r="L387" s="4">
        <v>0.55486111111111114</v>
      </c>
      <c r="M387" s="3" t="s">
        <v>49</v>
      </c>
      <c r="N387" s="2">
        <v>75.819999999999993</v>
      </c>
      <c r="O387" s="2">
        <v>4.7619047620000003</v>
      </c>
      <c r="P387" s="2">
        <v>3.7909999999999999</v>
      </c>
      <c r="Q387" s="2">
        <v>5.8</v>
      </c>
      <c r="R387" s="3"/>
      <c r="S387" s="1"/>
      <c r="T387" s="1"/>
      <c r="U387" s="1" t="s">
        <v>37</v>
      </c>
      <c r="V387" s="1" t="s">
        <v>37</v>
      </c>
      <c r="W387" s="1" t="s">
        <v>37</v>
      </c>
    </row>
    <row r="388" spans="1:23">
      <c r="A388" s="3" t="s">
        <v>2372</v>
      </c>
      <c r="B388" s="3" t="s">
        <v>39</v>
      </c>
      <c r="C388" s="3" t="s">
        <v>40</v>
      </c>
      <c r="D388" s="3" t="s">
        <v>41</v>
      </c>
      <c r="E388" s="3" t="s">
        <v>992</v>
      </c>
      <c r="F388" s="3" t="s">
        <v>117</v>
      </c>
      <c r="G388" s="2">
        <v>46.77</v>
      </c>
      <c r="H388" s="2">
        <v>6</v>
      </c>
      <c r="I388" s="2">
        <v>14.031000000000001</v>
      </c>
      <c r="J388" s="2">
        <v>294.65100000000001</v>
      </c>
      <c r="K388" s="5">
        <v>43535</v>
      </c>
      <c r="L388" s="4">
        <v>0.56736111111111109</v>
      </c>
      <c r="M388" s="3" t="s">
        <v>49</v>
      </c>
      <c r="N388" s="2">
        <v>280.62</v>
      </c>
      <c r="O388" s="2">
        <v>4.7619047620000003</v>
      </c>
      <c r="P388" s="2">
        <v>14.031000000000001</v>
      </c>
      <c r="Q388" s="2">
        <v>6</v>
      </c>
      <c r="R388" s="3"/>
      <c r="S388" s="1"/>
      <c r="T388" s="1"/>
      <c r="U388" s="1" t="s">
        <v>37</v>
      </c>
      <c r="V388" s="1" t="s">
        <v>37</v>
      </c>
      <c r="W388" s="1" t="s">
        <v>37</v>
      </c>
    </row>
    <row r="389" spans="1:23">
      <c r="A389" s="3" t="s">
        <v>2378</v>
      </c>
      <c r="B389" s="3" t="s">
        <v>22</v>
      </c>
      <c r="C389" s="3" t="s">
        <v>23</v>
      </c>
      <c r="D389" s="3" t="s">
        <v>41</v>
      </c>
      <c r="E389" s="3" t="s">
        <v>25</v>
      </c>
      <c r="F389" s="3" t="s">
        <v>26</v>
      </c>
      <c r="G389" s="2">
        <v>32.32</v>
      </c>
      <c r="H389" s="2">
        <v>10</v>
      </c>
      <c r="I389" s="2">
        <v>16.16</v>
      </c>
      <c r="J389" s="2">
        <v>339.36</v>
      </c>
      <c r="K389" s="5">
        <v>43516</v>
      </c>
      <c r="L389" s="4">
        <v>0.7006944444444444</v>
      </c>
      <c r="M389" s="3" t="s">
        <v>59</v>
      </c>
      <c r="N389" s="2">
        <v>323.2</v>
      </c>
      <c r="O389" s="2">
        <v>4.7619047620000003</v>
      </c>
      <c r="P389" s="2">
        <v>16.16</v>
      </c>
      <c r="Q389" s="2">
        <v>10</v>
      </c>
      <c r="R389" s="3"/>
      <c r="S389" s="1"/>
      <c r="T389" s="1"/>
      <c r="U389" s="1" t="s">
        <v>37</v>
      </c>
      <c r="V389" s="1" t="s">
        <v>37</v>
      </c>
      <c r="W389" s="1" t="s">
        <v>37</v>
      </c>
    </row>
    <row r="390" spans="1:23">
      <c r="A390" s="3" t="s">
        <v>2381</v>
      </c>
      <c r="B390" s="3" t="s">
        <v>39</v>
      </c>
      <c r="C390" s="3" t="s">
        <v>40</v>
      </c>
      <c r="D390" s="3" t="s">
        <v>24</v>
      </c>
      <c r="E390" s="3" t="s">
        <v>25</v>
      </c>
      <c r="F390" s="3" t="s">
        <v>127</v>
      </c>
      <c r="G390" s="2">
        <v>54.07</v>
      </c>
      <c r="H390" s="2">
        <v>9</v>
      </c>
      <c r="I390" s="2">
        <v>24.331499999999998</v>
      </c>
      <c r="J390" s="2">
        <v>510.9615</v>
      </c>
      <c r="K390" s="5">
        <v>43492</v>
      </c>
      <c r="L390" s="4">
        <v>0.62152777777777779</v>
      </c>
      <c r="M390" s="3" t="s">
        <v>33</v>
      </c>
      <c r="N390" s="2">
        <v>486.63</v>
      </c>
      <c r="O390" s="2">
        <v>4.7619047620000003</v>
      </c>
      <c r="P390" s="2">
        <v>24.331499999999998</v>
      </c>
      <c r="Q390" s="2">
        <v>9.5</v>
      </c>
      <c r="R390" s="3"/>
      <c r="S390" s="1"/>
      <c r="T390" s="1"/>
      <c r="U390" s="1" t="s">
        <v>37</v>
      </c>
      <c r="V390" s="1" t="s">
        <v>37</v>
      </c>
      <c r="W390" s="1" t="s">
        <v>37</v>
      </c>
    </row>
    <row r="391" spans="1:23">
      <c r="A391" s="3" t="s">
        <v>2387</v>
      </c>
      <c r="B391" s="3" t="s">
        <v>115</v>
      </c>
      <c r="C391" s="3" t="s">
        <v>116</v>
      </c>
      <c r="D391" s="3" t="s">
        <v>41</v>
      </c>
      <c r="E391" s="3" t="s">
        <v>992</v>
      </c>
      <c r="F391" s="3" t="s">
        <v>117</v>
      </c>
      <c r="G391" s="2">
        <v>18.22</v>
      </c>
      <c r="H391" s="2">
        <v>7</v>
      </c>
      <c r="I391" s="2">
        <v>6.3769999999999998</v>
      </c>
      <c r="J391" s="2">
        <v>133.917</v>
      </c>
      <c r="K391" s="5">
        <v>43534</v>
      </c>
      <c r="L391" s="4">
        <v>0.58611111111111114</v>
      </c>
      <c r="M391" s="3" t="s">
        <v>59</v>
      </c>
      <c r="N391" s="2">
        <v>127.54</v>
      </c>
      <c r="O391" s="2">
        <v>4.7619047620000003</v>
      </c>
      <c r="P391" s="2">
        <v>6.3769999999999998</v>
      </c>
      <c r="Q391" s="2">
        <v>6.6</v>
      </c>
      <c r="R391" s="3"/>
      <c r="S391" s="1"/>
      <c r="T391" s="1"/>
      <c r="U391" s="1" t="s">
        <v>37</v>
      </c>
      <c r="V391" s="1" t="s">
        <v>37</v>
      </c>
      <c r="W391" s="1" t="s">
        <v>37</v>
      </c>
    </row>
    <row r="392" spans="1:23">
      <c r="A392" s="3" t="s">
        <v>2392</v>
      </c>
      <c r="B392" s="3" t="s">
        <v>39</v>
      </c>
      <c r="C392" s="3" t="s">
        <v>40</v>
      </c>
      <c r="D392" s="3" t="s">
        <v>24</v>
      </c>
      <c r="E392" s="3" t="s">
        <v>25</v>
      </c>
      <c r="F392" s="3" t="s">
        <v>127</v>
      </c>
      <c r="G392" s="2">
        <v>80.48</v>
      </c>
      <c r="H392" s="2">
        <v>3</v>
      </c>
      <c r="I392" s="2">
        <v>12.071999999999999</v>
      </c>
      <c r="J392" s="2">
        <v>253.512</v>
      </c>
      <c r="K392" s="5">
        <v>43511</v>
      </c>
      <c r="L392" s="4">
        <v>0.52152777777777781</v>
      </c>
      <c r="M392" s="3" t="s">
        <v>49</v>
      </c>
      <c r="N392" s="2">
        <v>241.44</v>
      </c>
      <c r="O392" s="2">
        <v>4.7619047620000003</v>
      </c>
      <c r="P392" s="2">
        <v>12.071999999999999</v>
      </c>
      <c r="Q392" s="2">
        <v>8.1</v>
      </c>
      <c r="R392" s="3"/>
      <c r="S392" s="1"/>
      <c r="T392" s="1"/>
      <c r="U392" s="1" t="s">
        <v>37</v>
      </c>
      <c r="V392" s="1" t="s">
        <v>37</v>
      </c>
      <c r="W392" s="1" t="s">
        <v>37</v>
      </c>
    </row>
    <row r="393" spans="1:23">
      <c r="A393" s="3" t="s">
        <v>2398</v>
      </c>
      <c r="B393" s="3" t="s">
        <v>115</v>
      </c>
      <c r="C393" s="3" t="s">
        <v>116</v>
      </c>
      <c r="D393" s="3" t="s">
        <v>41</v>
      </c>
      <c r="E393" s="3" t="s">
        <v>25</v>
      </c>
      <c r="F393" s="3" t="s">
        <v>127</v>
      </c>
      <c r="G393" s="2">
        <v>37.950000000000003</v>
      </c>
      <c r="H393" s="2">
        <v>10</v>
      </c>
      <c r="I393" s="2">
        <v>18.975000000000001</v>
      </c>
      <c r="J393" s="2">
        <v>398.47500000000002</v>
      </c>
      <c r="K393" s="5">
        <v>43491</v>
      </c>
      <c r="L393" s="4">
        <v>0.61875000000000002</v>
      </c>
      <c r="M393" s="3" t="s">
        <v>49</v>
      </c>
      <c r="N393" s="2">
        <v>379.5</v>
      </c>
      <c r="O393" s="2">
        <v>4.7619047620000003</v>
      </c>
      <c r="P393" s="2">
        <v>18.975000000000001</v>
      </c>
      <c r="Q393" s="2">
        <v>9.6999999999999993</v>
      </c>
      <c r="R393" s="3"/>
      <c r="S393" s="1"/>
      <c r="T393" s="1"/>
      <c r="U393" s="1" t="s">
        <v>37</v>
      </c>
      <c r="V393" s="1" t="s">
        <v>37</v>
      </c>
      <c r="W393" s="1" t="s">
        <v>37</v>
      </c>
    </row>
    <row r="394" spans="1:23">
      <c r="A394" s="3" t="s">
        <v>2403</v>
      </c>
      <c r="B394" s="3" t="s">
        <v>22</v>
      </c>
      <c r="C394" s="3" t="s">
        <v>23</v>
      </c>
      <c r="D394" s="3" t="s">
        <v>24</v>
      </c>
      <c r="E394" s="3" t="s">
        <v>992</v>
      </c>
      <c r="F394" s="3" t="s">
        <v>42</v>
      </c>
      <c r="G394" s="2">
        <v>76.819999999999993</v>
      </c>
      <c r="H394" s="2">
        <v>1</v>
      </c>
      <c r="I394" s="2">
        <v>3.8410000000000002</v>
      </c>
      <c r="J394" s="2">
        <v>80.661000000000001</v>
      </c>
      <c r="K394" s="5">
        <v>43509</v>
      </c>
      <c r="L394" s="4">
        <v>0.76875000000000004</v>
      </c>
      <c r="M394" s="3" t="s">
        <v>33</v>
      </c>
      <c r="N394" s="2">
        <v>76.819999999999993</v>
      </c>
      <c r="O394" s="2">
        <v>4.7619047620000003</v>
      </c>
      <c r="P394" s="2">
        <v>3.8410000000000002</v>
      </c>
      <c r="Q394" s="2">
        <v>7.2</v>
      </c>
      <c r="R394" s="3"/>
      <c r="S394" s="1"/>
      <c r="T394" s="1"/>
      <c r="U394" s="1" t="s">
        <v>37</v>
      </c>
      <c r="V394" s="1" t="s">
        <v>37</v>
      </c>
      <c r="W394" s="1" t="s">
        <v>37</v>
      </c>
    </row>
    <row r="395" spans="1:23">
      <c r="A395" s="3" t="s">
        <v>2407</v>
      </c>
      <c r="B395" s="3" t="s">
        <v>22</v>
      </c>
      <c r="C395" s="3" t="s">
        <v>23</v>
      </c>
      <c r="D395" s="3" t="s">
        <v>24</v>
      </c>
      <c r="E395" s="3" t="s">
        <v>25</v>
      </c>
      <c r="F395" s="3" t="s">
        <v>72</v>
      </c>
      <c r="G395" s="2">
        <v>52.26</v>
      </c>
      <c r="H395" s="2">
        <v>10</v>
      </c>
      <c r="I395" s="2">
        <v>26.13</v>
      </c>
      <c r="J395" s="2">
        <v>548.73</v>
      </c>
      <c r="K395" s="5">
        <v>43533</v>
      </c>
      <c r="L395" s="4">
        <v>0.53125</v>
      </c>
      <c r="M395" s="3" t="s">
        <v>59</v>
      </c>
      <c r="N395" s="2">
        <v>522.6</v>
      </c>
      <c r="O395" s="2">
        <v>4.7619047620000003</v>
      </c>
      <c r="P395" s="2">
        <v>26.13</v>
      </c>
      <c r="Q395" s="2">
        <v>6.2</v>
      </c>
      <c r="R395" s="3"/>
      <c r="S395" s="1"/>
      <c r="T395" s="1"/>
      <c r="U395" s="1" t="s">
        <v>37</v>
      </c>
      <c r="V395" s="1" t="s">
        <v>37</v>
      </c>
      <c r="W395" s="1" t="s">
        <v>37</v>
      </c>
    </row>
    <row r="396" spans="1:23">
      <c r="A396" s="3" t="s">
        <v>2412</v>
      </c>
      <c r="B396" s="3" t="s">
        <v>22</v>
      </c>
      <c r="C396" s="3" t="s">
        <v>23</v>
      </c>
      <c r="D396" s="3" t="s">
        <v>41</v>
      </c>
      <c r="E396" s="3" t="s">
        <v>25</v>
      </c>
      <c r="F396" s="3" t="s">
        <v>26</v>
      </c>
      <c r="G396" s="2">
        <v>79.739999999999995</v>
      </c>
      <c r="H396" s="2">
        <v>1</v>
      </c>
      <c r="I396" s="2">
        <v>3.9870000000000001</v>
      </c>
      <c r="J396" s="2">
        <v>83.727000000000004</v>
      </c>
      <c r="K396" s="5">
        <v>43530</v>
      </c>
      <c r="L396" s="4">
        <v>0.44166666666666665</v>
      </c>
      <c r="M396" s="3" t="s">
        <v>33</v>
      </c>
      <c r="N396" s="2">
        <v>79.739999999999995</v>
      </c>
      <c r="O396" s="2">
        <v>4.7619047620000003</v>
      </c>
      <c r="P396" s="2">
        <v>3.9870000000000001</v>
      </c>
      <c r="Q396" s="2">
        <v>7.3</v>
      </c>
      <c r="R396" s="3"/>
      <c r="S396" s="1"/>
      <c r="T396" s="1"/>
      <c r="U396" s="1" t="s">
        <v>37</v>
      </c>
      <c r="V396" s="1" t="s">
        <v>37</v>
      </c>
      <c r="W396" s="1" t="s">
        <v>37</v>
      </c>
    </row>
    <row r="397" spans="1:23">
      <c r="A397" s="3" t="s">
        <v>2416</v>
      </c>
      <c r="B397" s="3" t="s">
        <v>22</v>
      </c>
      <c r="C397" s="3" t="s">
        <v>23</v>
      </c>
      <c r="D397" s="3" t="s">
        <v>41</v>
      </c>
      <c r="E397" s="3" t="s">
        <v>25</v>
      </c>
      <c r="F397" s="3" t="s">
        <v>26</v>
      </c>
      <c r="G397" s="2">
        <v>77.5</v>
      </c>
      <c r="H397" s="2">
        <v>5</v>
      </c>
      <c r="I397" s="2">
        <v>19.375</v>
      </c>
      <c r="J397" s="2">
        <v>406.875</v>
      </c>
      <c r="K397" s="5">
        <v>43489</v>
      </c>
      <c r="L397" s="4">
        <v>0.85833333333333328</v>
      </c>
      <c r="M397" s="3" t="s">
        <v>33</v>
      </c>
      <c r="N397" s="2">
        <v>387.5</v>
      </c>
      <c r="O397" s="2">
        <v>4.7619047620000003</v>
      </c>
      <c r="P397" s="2">
        <v>19.375</v>
      </c>
      <c r="Q397" s="2">
        <v>4.3</v>
      </c>
      <c r="R397" s="3"/>
      <c r="S397" s="1"/>
      <c r="T397" s="1"/>
      <c r="U397" s="1" t="s">
        <v>37</v>
      </c>
      <c r="V397" s="1" t="s">
        <v>37</v>
      </c>
      <c r="W397" s="1" t="s">
        <v>37</v>
      </c>
    </row>
    <row r="398" spans="1:23">
      <c r="A398" s="3" t="s">
        <v>2421</v>
      </c>
      <c r="B398" s="3" t="s">
        <v>22</v>
      </c>
      <c r="C398" s="3" t="s">
        <v>23</v>
      </c>
      <c r="D398" s="3" t="s">
        <v>41</v>
      </c>
      <c r="E398" s="3" t="s">
        <v>25</v>
      </c>
      <c r="F398" s="3" t="s">
        <v>117</v>
      </c>
      <c r="G398" s="2">
        <v>54.27</v>
      </c>
      <c r="H398" s="2">
        <v>5</v>
      </c>
      <c r="I398" s="2">
        <v>13.567500000000001</v>
      </c>
      <c r="J398" s="2">
        <v>284.91750000000002</v>
      </c>
      <c r="K398" s="5">
        <v>43537</v>
      </c>
      <c r="L398" s="4">
        <v>0.59444444444444444</v>
      </c>
      <c r="M398" s="3" t="s">
        <v>33</v>
      </c>
      <c r="N398" s="2">
        <v>271.35000000000002</v>
      </c>
      <c r="O398" s="2">
        <v>4.7619047620000003</v>
      </c>
      <c r="P398" s="2">
        <v>13.567500000000001</v>
      </c>
      <c r="Q398" s="2">
        <v>4.5999999999999996</v>
      </c>
      <c r="R398" s="3"/>
      <c r="S398" s="1"/>
      <c r="T398" s="1"/>
      <c r="U398" s="1" t="s">
        <v>37</v>
      </c>
      <c r="V398" s="1" t="s">
        <v>37</v>
      </c>
      <c r="W398" s="1" t="s">
        <v>37</v>
      </c>
    </row>
    <row r="399" spans="1:23">
      <c r="A399" s="3" t="s">
        <v>2426</v>
      </c>
      <c r="B399" s="3" t="s">
        <v>115</v>
      </c>
      <c r="C399" s="3" t="s">
        <v>116</v>
      </c>
      <c r="D399" s="3" t="s">
        <v>41</v>
      </c>
      <c r="E399" s="3" t="s">
        <v>992</v>
      </c>
      <c r="F399" s="3" t="s">
        <v>53</v>
      </c>
      <c r="G399" s="2">
        <v>13.59</v>
      </c>
      <c r="H399" s="2">
        <v>9</v>
      </c>
      <c r="I399" s="2">
        <v>6.1154999999999999</v>
      </c>
      <c r="J399" s="2">
        <v>128.4255</v>
      </c>
      <c r="K399" s="5">
        <v>43539</v>
      </c>
      <c r="L399" s="4">
        <v>0.43472222222222223</v>
      </c>
      <c r="M399" s="3" t="s">
        <v>49</v>
      </c>
      <c r="N399" s="2">
        <v>122.31</v>
      </c>
      <c r="O399" s="2">
        <v>4.7619047620000003</v>
      </c>
      <c r="P399" s="2">
        <v>6.1154999999999999</v>
      </c>
      <c r="Q399" s="2">
        <v>5.8</v>
      </c>
      <c r="R399" s="3"/>
      <c r="S399" s="1"/>
      <c r="T399" s="1"/>
      <c r="U399" s="1" t="s">
        <v>37</v>
      </c>
      <c r="V399" s="1" t="s">
        <v>37</v>
      </c>
      <c r="W399" s="1" t="s">
        <v>37</v>
      </c>
    </row>
    <row r="400" spans="1:23">
      <c r="A400" s="3" t="s">
        <v>2432</v>
      </c>
      <c r="B400" s="3" t="s">
        <v>115</v>
      </c>
      <c r="C400" s="3" t="s">
        <v>116</v>
      </c>
      <c r="D400" s="3" t="s">
        <v>24</v>
      </c>
      <c r="E400" s="3" t="s">
        <v>25</v>
      </c>
      <c r="F400" s="3" t="s">
        <v>26</v>
      </c>
      <c r="G400" s="2">
        <v>41.06</v>
      </c>
      <c r="H400" s="2">
        <v>6</v>
      </c>
      <c r="I400" s="2">
        <v>12.318</v>
      </c>
      <c r="J400" s="2">
        <v>258.678</v>
      </c>
      <c r="K400" s="5">
        <v>43529</v>
      </c>
      <c r="L400" s="4">
        <v>0.5625</v>
      </c>
      <c r="M400" s="3" t="s">
        <v>59</v>
      </c>
      <c r="N400" s="2">
        <v>246.36</v>
      </c>
      <c r="O400" s="2">
        <v>4.7619047620000003</v>
      </c>
      <c r="P400" s="2">
        <v>12.318</v>
      </c>
      <c r="Q400" s="2">
        <v>8.3000000000000007</v>
      </c>
      <c r="R400" s="3"/>
      <c r="S400" s="1"/>
      <c r="T400" s="1"/>
      <c r="U400" s="1" t="s">
        <v>37</v>
      </c>
      <c r="V400" s="1" t="s">
        <v>37</v>
      </c>
      <c r="W400" s="1" t="s">
        <v>37</v>
      </c>
    </row>
    <row r="401" spans="1:23">
      <c r="A401" s="3" t="s">
        <v>2437</v>
      </c>
      <c r="B401" s="3" t="s">
        <v>115</v>
      </c>
      <c r="C401" s="3" t="s">
        <v>116</v>
      </c>
      <c r="D401" s="3" t="s">
        <v>24</v>
      </c>
      <c r="E401" s="3" t="s">
        <v>992</v>
      </c>
      <c r="F401" s="3" t="s">
        <v>42</v>
      </c>
      <c r="G401" s="2">
        <v>19.239999999999998</v>
      </c>
      <c r="H401" s="2">
        <v>9</v>
      </c>
      <c r="I401" s="2">
        <v>8.6579999999999995</v>
      </c>
      <c r="J401" s="2">
        <v>181.81800000000001</v>
      </c>
      <c r="K401" s="5">
        <v>43528</v>
      </c>
      <c r="L401" s="4">
        <v>0.68611111111111112</v>
      </c>
      <c r="M401" s="3" t="s">
        <v>49</v>
      </c>
      <c r="N401" s="2">
        <v>173.16</v>
      </c>
      <c r="O401" s="2">
        <v>4.7619047620000003</v>
      </c>
      <c r="P401" s="2">
        <v>8.6579999999999995</v>
      </c>
      <c r="Q401" s="2">
        <v>8</v>
      </c>
      <c r="R401" s="3"/>
      <c r="S401" s="1"/>
      <c r="T401" s="1"/>
      <c r="U401" s="1" t="s">
        <v>37</v>
      </c>
      <c r="V401" s="1" t="s">
        <v>37</v>
      </c>
      <c r="W401" s="1" t="s">
        <v>37</v>
      </c>
    </row>
    <row r="402" spans="1:23">
      <c r="A402" s="3" t="s">
        <v>2442</v>
      </c>
      <c r="B402" s="3" t="s">
        <v>39</v>
      </c>
      <c r="C402" s="3" t="s">
        <v>40</v>
      </c>
      <c r="D402" s="3" t="s">
        <v>41</v>
      </c>
      <c r="E402" s="3" t="s">
        <v>25</v>
      </c>
      <c r="F402" s="3" t="s">
        <v>117</v>
      </c>
      <c r="G402" s="2">
        <v>39.43</v>
      </c>
      <c r="H402" s="2">
        <v>6</v>
      </c>
      <c r="I402" s="2">
        <v>11.829000000000001</v>
      </c>
      <c r="J402" s="2">
        <v>248.40899999999999</v>
      </c>
      <c r="K402" s="5">
        <v>43549</v>
      </c>
      <c r="L402" s="4">
        <v>0.84583333333333333</v>
      </c>
      <c r="M402" s="3" t="s">
        <v>59</v>
      </c>
      <c r="N402" s="2">
        <v>236.58</v>
      </c>
      <c r="O402" s="2">
        <v>4.7619047620000003</v>
      </c>
      <c r="P402" s="2">
        <v>11.829000000000001</v>
      </c>
      <c r="Q402" s="2">
        <v>9.4</v>
      </c>
      <c r="R402" s="3"/>
      <c r="S402" s="1"/>
      <c r="T402" s="1"/>
      <c r="U402" s="1" t="s">
        <v>37</v>
      </c>
      <c r="V402" s="1" t="s">
        <v>37</v>
      </c>
      <c r="W402" s="1" t="s">
        <v>37</v>
      </c>
    </row>
    <row r="403" spans="1:23">
      <c r="A403" s="3" t="s">
        <v>2448</v>
      </c>
      <c r="B403" s="3" t="s">
        <v>39</v>
      </c>
      <c r="C403" s="3" t="s">
        <v>40</v>
      </c>
      <c r="D403" s="3" t="s">
        <v>41</v>
      </c>
      <c r="E403" s="3" t="s">
        <v>992</v>
      </c>
      <c r="F403" s="3" t="s">
        <v>53</v>
      </c>
      <c r="G403" s="2">
        <v>46.22</v>
      </c>
      <c r="H403" s="2">
        <v>4</v>
      </c>
      <c r="I403" s="2">
        <v>9.2439999999999998</v>
      </c>
      <c r="J403" s="2">
        <v>194.124</v>
      </c>
      <c r="K403" s="5">
        <v>43536</v>
      </c>
      <c r="L403" s="4">
        <v>0.83611111111111114</v>
      </c>
      <c r="M403" s="3" t="s">
        <v>59</v>
      </c>
      <c r="N403" s="2">
        <v>184.88</v>
      </c>
      <c r="O403" s="2">
        <v>4.7619047620000003</v>
      </c>
      <c r="P403" s="2">
        <v>9.2439999999999998</v>
      </c>
      <c r="Q403" s="2">
        <v>6.2</v>
      </c>
      <c r="R403" s="3"/>
      <c r="S403" s="1"/>
      <c r="T403" s="1"/>
      <c r="U403" s="1" t="s">
        <v>37</v>
      </c>
      <c r="V403" s="1" t="s">
        <v>37</v>
      </c>
      <c r="W403" s="1" t="s">
        <v>37</v>
      </c>
    </row>
    <row r="404" spans="1:23">
      <c r="A404" s="3" t="s">
        <v>2454</v>
      </c>
      <c r="B404" s="3" t="s">
        <v>39</v>
      </c>
      <c r="C404" s="3" t="s">
        <v>40</v>
      </c>
      <c r="D404" s="3" t="s">
        <v>24</v>
      </c>
      <c r="E404" s="3" t="s">
        <v>992</v>
      </c>
      <c r="F404" s="3" t="s">
        <v>53</v>
      </c>
      <c r="G404" s="2">
        <v>13.98</v>
      </c>
      <c r="H404" s="2">
        <v>1</v>
      </c>
      <c r="I404" s="2">
        <v>0.69899999999999995</v>
      </c>
      <c r="J404" s="2">
        <v>14.679</v>
      </c>
      <c r="K404" s="5">
        <v>43500</v>
      </c>
      <c r="L404" s="4">
        <v>0.56805555555555554</v>
      </c>
      <c r="M404" s="3" t="s">
        <v>33</v>
      </c>
      <c r="N404" s="2">
        <v>13.98</v>
      </c>
      <c r="O404" s="2">
        <v>4.7619047620000003</v>
      </c>
      <c r="P404" s="2">
        <v>0.69899999999999995</v>
      </c>
      <c r="Q404" s="2">
        <v>9.8000000000000007</v>
      </c>
      <c r="R404" s="3"/>
      <c r="S404" s="1"/>
      <c r="T404" s="1"/>
      <c r="U404" s="1" t="s">
        <v>37</v>
      </c>
      <c r="V404" s="1" t="s">
        <v>37</v>
      </c>
      <c r="W404" s="1" t="s">
        <v>37</v>
      </c>
    </row>
    <row r="405" spans="1:23">
      <c r="A405" s="3" t="s">
        <v>2459</v>
      </c>
      <c r="B405" s="3" t="s">
        <v>115</v>
      </c>
      <c r="C405" s="3" t="s">
        <v>116</v>
      </c>
      <c r="D405" s="3" t="s">
        <v>41</v>
      </c>
      <c r="E405" s="3" t="s">
        <v>25</v>
      </c>
      <c r="F405" s="3" t="s">
        <v>127</v>
      </c>
      <c r="G405" s="2">
        <v>39.75</v>
      </c>
      <c r="H405" s="2">
        <v>5</v>
      </c>
      <c r="I405" s="2">
        <v>9.9375</v>
      </c>
      <c r="J405" s="2">
        <v>208.6875</v>
      </c>
      <c r="K405" s="5">
        <v>43518</v>
      </c>
      <c r="L405" s="4">
        <v>0.4465277777777778</v>
      </c>
      <c r="M405" s="3" t="s">
        <v>33</v>
      </c>
      <c r="N405" s="2">
        <v>198.75</v>
      </c>
      <c r="O405" s="2">
        <v>4.7619047620000003</v>
      </c>
      <c r="P405" s="2">
        <v>9.9375</v>
      </c>
      <c r="Q405" s="2">
        <v>9.6</v>
      </c>
      <c r="R405" s="3"/>
      <c r="S405" s="1"/>
      <c r="T405" s="1"/>
      <c r="U405" s="1" t="s">
        <v>37</v>
      </c>
      <c r="V405" s="1" t="s">
        <v>37</v>
      </c>
      <c r="W405" s="1" t="s">
        <v>37</v>
      </c>
    </row>
    <row r="406" spans="1:23">
      <c r="A406" s="3" t="s">
        <v>2464</v>
      </c>
      <c r="B406" s="3" t="s">
        <v>39</v>
      </c>
      <c r="C406" s="3" t="s">
        <v>40</v>
      </c>
      <c r="D406" s="3" t="s">
        <v>24</v>
      </c>
      <c r="E406" s="3" t="s">
        <v>25</v>
      </c>
      <c r="F406" s="3" t="s">
        <v>127</v>
      </c>
      <c r="G406" s="2">
        <v>97.79</v>
      </c>
      <c r="H406" s="2">
        <v>7</v>
      </c>
      <c r="I406" s="2">
        <v>34.226500000000001</v>
      </c>
      <c r="J406" s="2">
        <v>718.75649999999996</v>
      </c>
      <c r="K406" s="5">
        <v>43512</v>
      </c>
      <c r="L406" s="4">
        <v>0.72916666666666663</v>
      </c>
      <c r="M406" s="3" t="s">
        <v>33</v>
      </c>
      <c r="N406" s="2">
        <v>684.53</v>
      </c>
      <c r="O406" s="2">
        <v>4.7619047620000003</v>
      </c>
      <c r="P406" s="2">
        <v>34.226500000000001</v>
      </c>
      <c r="Q406" s="2">
        <v>4.9000000000000004</v>
      </c>
      <c r="R406" s="3"/>
      <c r="S406" s="1"/>
      <c r="T406" s="1"/>
      <c r="U406" s="1" t="s">
        <v>37</v>
      </c>
      <c r="V406" s="1" t="s">
        <v>37</v>
      </c>
      <c r="W406" s="1" t="s">
        <v>37</v>
      </c>
    </row>
    <row r="407" spans="1:23">
      <c r="A407" s="3" t="s">
        <v>2470</v>
      </c>
      <c r="B407" s="3" t="s">
        <v>22</v>
      </c>
      <c r="C407" s="3" t="s">
        <v>23</v>
      </c>
      <c r="D407" s="3" t="s">
        <v>24</v>
      </c>
      <c r="E407" s="3" t="s">
        <v>992</v>
      </c>
      <c r="F407" s="3" t="s">
        <v>72</v>
      </c>
      <c r="G407" s="2">
        <v>67.260000000000005</v>
      </c>
      <c r="H407" s="2">
        <v>4</v>
      </c>
      <c r="I407" s="2">
        <v>13.452</v>
      </c>
      <c r="J407" s="2">
        <v>282.49200000000002</v>
      </c>
      <c r="K407" s="5">
        <v>43484</v>
      </c>
      <c r="L407" s="4">
        <v>0.64444444444444449</v>
      </c>
      <c r="M407" s="3" t="s">
        <v>59</v>
      </c>
      <c r="N407" s="2">
        <v>269.04000000000002</v>
      </c>
      <c r="O407" s="2">
        <v>4.7619047620000003</v>
      </c>
      <c r="P407" s="2">
        <v>13.452</v>
      </c>
      <c r="Q407" s="2">
        <v>8</v>
      </c>
      <c r="R407" s="3"/>
      <c r="S407" s="1"/>
      <c r="T407" s="1"/>
      <c r="U407" s="1" t="s">
        <v>37</v>
      </c>
      <c r="V407" s="1" t="s">
        <v>37</v>
      </c>
      <c r="W407" s="1" t="s">
        <v>37</v>
      </c>
    </row>
    <row r="408" spans="1:23">
      <c r="A408" s="3" t="s">
        <v>2476</v>
      </c>
      <c r="B408" s="3" t="s">
        <v>22</v>
      </c>
      <c r="C408" s="3" t="s">
        <v>23</v>
      </c>
      <c r="D408" s="3" t="s">
        <v>41</v>
      </c>
      <c r="E408" s="3" t="s">
        <v>992</v>
      </c>
      <c r="F408" s="3" t="s">
        <v>117</v>
      </c>
      <c r="G408" s="2">
        <v>13.79</v>
      </c>
      <c r="H408" s="2">
        <v>5</v>
      </c>
      <c r="I408" s="2">
        <v>3.4474999999999998</v>
      </c>
      <c r="J408" s="2">
        <v>72.397499999999994</v>
      </c>
      <c r="K408" s="5">
        <v>43476</v>
      </c>
      <c r="L408" s="4">
        <v>0.79652777777777772</v>
      </c>
      <c r="M408" s="3" t="s">
        <v>59</v>
      </c>
      <c r="N408" s="2">
        <v>68.95</v>
      </c>
      <c r="O408" s="2">
        <v>4.7619047620000003</v>
      </c>
      <c r="P408" s="2">
        <v>3.4474999999999998</v>
      </c>
      <c r="Q408" s="2">
        <v>7.8</v>
      </c>
      <c r="R408" s="3"/>
      <c r="S408" s="1"/>
      <c r="T408" s="1"/>
      <c r="U408" s="1" t="s">
        <v>37</v>
      </c>
      <c r="V408" s="1" t="s">
        <v>37</v>
      </c>
      <c r="W408" s="1" t="s">
        <v>37</v>
      </c>
    </row>
    <row r="409" spans="1:23">
      <c r="A409" s="3" t="s">
        <v>2482</v>
      </c>
      <c r="B409" s="3" t="s">
        <v>115</v>
      </c>
      <c r="C409" s="3" t="s">
        <v>116</v>
      </c>
      <c r="D409" s="3" t="s">
        <v>24</v>
      </c>
      <c r="E409" s="3" t="s">
        <v>25</v>
      </c>
      <c r="F409" s="3" t="s">
        <v>127</v>
      </c>
      <c r="G409" s="2">
        <v>68.709999999999994</v>
      </c>
      <c r="H409" s="2">
        <v>4</v>
      </c>
      <c r="I409" s="2">
        <v>13.742000000000001</v>
      </c>
      <c r="J409" s="2">
        <v>288.58199999999999</v>
      </c>
      <c r="K409" s="5">
        <v>43469</v>
      </c>
      <c r="L409" s="4">
        <v>0.79236111111111107</v>
      </c>
      <c r="M409" s="3" t="s">
        <v>49</v>
      </c>
      <c r="N409" s="2">
        <v>274.83999999999997</v>
      </c>
      <c r="O409" s="2">
        <v>4.7619047620000003</v>
      </c>
      <c r="P409" s="2">
        <v>13.742000000000001</v>
      </c>
      <c r="Q409" s="2">
        <v>4.0999999999999996</v>
      </c>
      <c r="R409" s="3"/>
      <c r="S409" s="1"/>
      <c r="T409" s="1"/>
      <c r="U409" s="1" t="s">
        <v>37</v>
      </c>
      <c r="V409" s="1" t="s">
        <v>37</v>
      </c>
      <c r="W409" s="1" t="s">
        <v>37</v>
      </c>
    </row>
    <row r="410" spans="1:23">
      <c r="A410" s="3" t="s">
        <v>2487</v>
      </c>
      <c r="B410" s="3" t="s">
        <v>22</v>
      </c>
      <c r="C410" s="3" t="s">
        <v>23</v>
      </c>
      <c r="D410" s="3" t="s">
        <v>41</v>
      </c>
      <c r="E410" s="3" t="s">
        <v>25</v>
      </c>
      <c r="F410" s="3" t="s">
        <v>53</v>
      </c>
      <c r="G410" s="2">
        <v>56.53</v>
      </c>
      <c r="H410" s="2">
        <v>4</v>
      </c>
      <c r="I410" s="2">
        <v>11.305999999999999</v>
      </c>
      <c r="J410" s="2">
        <v>237.42599999999999</v>
      </c>
      <c r="K410" s="5">
        <v>43528</v>
      </c>
      <c r="L410" s="4">
        <v>0.82499999999999996</v>
      </c>
      <c r="M410" s="3" t="s">
        <v>33</v>
      </c>
      <c r="N410" s="2">
        <v>226.12</v>
      </c>
      <c r="O410" s="2">
        <v>4.7619047620000003</v>
      </c>
      <c r="P410" s="2">
        <v>11.305999999999999</v>
      </c>
      <c r="Q410" s="2">
        <v>5.5</v>
      </c>
      <c r="R410" s="3"/>
      <c r="S410" s="1"/>
      <c r="T410" s="1"/>
      <c r="U410" s="1" t="s">
        <v>37</v>
      </c>
      <c r="V410" s="1" t="s">
        <v>37</v>
      </c>
      <c r="W410" s="1" t="s">
        <v>37</v>
      </c>
    </row>
    <row r="411" spans="1:23">
      <c r="A411" s="3" t="s">
        <v>2492</v>
      </c>
      <c r="B411" s="3" t="s">
        <v>39</v>
      </c>
      <c r="C411" s="3" t="s">
        <v>40</v>
      </c>
      <c r="D411" s="3" t="s">
        <v>41</v>
      </c>
      <c r="E411" s="3" t="s">
        <v>25</v>
      </c>
      <c r="F411" s="3" t="s">
        <v>127</v>
      </c>
      <c r="G411" s="2">
        <v>23.82</v>
      </c>
      <c r="H411" s="2">
        <v>5</v>
      </c>
      <c r="I411" s="2">
        <v>5.9550000000000001</v>
      </c>
      <c r="J411" s="2">
        <v>125.05500000000001</v>
      </c>
      <c r="K411" s="5">
        <v>43493</v>
      </c>
      <c r="L411" s="4">
        <v>0.80833333333333335</v>
      </c>
      <c r="M411" s="3" t="s">
        <v>33</v>
      </c>
      <c r="N411" s="2">
        <v>119.1</v>
      </c>
      <c r="O411" s="2">
        <v>4.7619047620000003</v>
      </c>
      <c r="P411" s="2">
        <v>5.9550000000000001</v>
      </c>
      <c r="Q411" s="2">
        <v>5.4</v>
      </c>
      <c r="R411" s="3"/>
      <c r="S411" s="1"/>
      <c r="T411" s="1"/>
      <c r="U411" s="1" t="s">
        <v>37</v>
      </c>
      <c r="V411" s="1" t="s">
        <v>37</v>
      </c>
      <c r="W411" s="1" t="s">
        <v>37</v>
      </c>
    </row>
    <row r="412" spans="1:23">
      <c r="A412" s="3" t="s">
        <v>2497</v>
      </c>
      <c r="B412" s="3" t="s">
        <v>115</v>
      </c>
      <c r="C412" s="3" t="s">
        <v>116</v>
      </c>
      <c r="D412" s="3" t="s">
        <v>41</v>
      </c>
      <c r="E412" s="3" t="s">
        <v>25</v>
      </c>
      <c r="F412" s="3" t="s">
        <v>26</v>
      </c>
      <c r="G412" s="2">
        <v>34.21</v>
      </c>
      <c r="H412" s="2">
        <v>10</v>
      </c>
      <c r="I412" s="2">
        <v>17.105</v>
      </c>
      <c r="J412" s="2">
        <v>359.20499999999998</v>
      </c>
      <c r="K412" s="5">
        <v>43467</v>
      </c>
      <c r="L412" s="4">
        <v>0.54166666666666663</v>
      </c>
      <c r="M412" s="3" t="s">
        <v>49</v>
      </c>
      <c r="N412" s="2">
        <v>342.1</v>
      </c>
      <c r="O412" s="2">
        <v>4.7619047620000003</v>
      </c>
      <c r="P412" s="2">
        <v>17.105</v>
      </c>
      <c r="Q412" s="2">
        <v>5.0999999999999996</v>
      </c>
      <c r="R412" s="3"/>
      <c r="S412" s="1"/>
      <c r="T412" s="1"/>
      <c r="U412" s="1" t="s">
        <v>37</v>
      </c>
      <c r="V412" s="1" t="s">
        <v>37</v>
      </c>
      <c r="W412" s="1" t="s">
        <v>37</v>
      </c>
    </row>
    <row r="413" spans="1:23">
      <c r="A413" s="3" t="s">
        <v>2502</v>
      </c>
      <c r="B413" s="3" t="s">
        <v>115</v>
      </c>
      <c r="C413" s="3" t="s">
        <v>116</v>
      </c>
      <c r="D413" s="3" t="s">
        <v>41</v>
      </c>
      <c r="E413" s="3" t="s">
        <v>992</v>
      </c>
      <c r="F413" s="3" t="s">
        <v>72</v>
      </c>
      <c r="G413" s="2">
        <v>21.87</v>
      </c>
      <c r="H413" s="2">
        <v>2</v>
      </c>
      <c r="I413" s="2">
        <v>2.1869999999999998</v>
      </c>
      <c r="J413" s="2">
        <v>45.927</v>
      </c>
      <c r="K413" s="5">
        <v>43490</v>
      </c>
      <c r="L413" s="4">
        <v>0.60347222222222219</v>
      </c>
      <c r="M413" s="3" t="s">
        <v>33</v>
      </c>
      <c r="N413" s="2">
        <v>43.74</v>
      </c>
      <c r="O413" s="2">
        <v>4.7619047620000003</v>
      </c>
      <c r="P413" s="2">
        <v>2.1869999999999998</v>
      </c>
      <c r="Q413" s="2">
        <v>6.9</v>
      </c>
      <c r="R413" s="3"/>
      <c r="S413" s="1"/>
      <c r="T413" s="1"/>
      <c r="U413" s="1" t="s">
        <v>37</v>
      </c>
      <c r="V413" s="1" t="s">
        <v>37</v>
      </c>
      <c r="W413" s="1" t="s">
        <v>37</v>
      </c>
    </row>
    <row r="414" spans="1:23">
      <c r="A414" s="3" t="s">
        <v>2507</v>
      </c>
      <c r="B414" s="3" t="s">
        <v>22</v>
      </c>
      <c r="C414" s="3" t="s">
        <v>23</v>
      </c>
      <c r="D414" s="3" t="s">
        <v>24</v>
      </c>
      <c r="E414" s="3" t="s">
        <v>992</v>
      </c>
      <c r="F414" s="3" t="s">
        <v>26</v>
      </c>
      <c r="G414" s="2">
        <v>20.97</v>
      </c>
      <c r="H414" s="2">
        <v>5</v>
      </c>
      <c r="I414" s="2">
        <v>5.2424999999999997</v>
      </c>
      <c r="J414" s="2">
        <v>110.0925</v>
      </c>
      <c r="K414" s="5">
        <v>43469</v>
      </c>
      <c r="L414" s="4">
        <v>0.55625000000000002</v>
      </c>
      <c r="M414" s="3" t="s">
        <v>49</v>
      </c>
      <c r="N414" s="2">
        <v>104.85</v>
      </c>
      <c r="O414" s="2">
        <v>4.7619047620000003</v>
      </c>
      <c r="P414" s="2">
        <v>5.2424999999999997</v>
      </c>
      <c r="Q414" s="2">
        <v>7.8</v>
      </c>
      <c r="R414" s="3"/>
      <c r="S414" s="1"/>
      <c r="T414" s="1"/>
      <c r="U414" s="1" t="s">
        <v>37</v>
      </c>
      <c r="V414" s="1" t="s">
        <v>37</v>
      </c>
      <c r="W414" s="1" t="s">
        <v>37</v>
      </c>
    </row>
    <row r="415" spans="1:23">
      <c r="A415" s="3" t="s">
        <v>2512</v>
      </c>
      <c r="B415" s="3" t="s">
        <v>22</v>
      </c>
      <c r="C415" s="3" t="s">
        <v>23</v>
      </c>
      <c r="D415" s="3" t="s">
        <v>41</v>
      </c>
      <c r="E415" s="3" t="s">
        <v>992</v>
      </c>
      <c r="F415" s="3" t="s">
        <v>72</v>
      </c>
      <c r="G415" s="2">
        <v>25.84</v>
      </c>
      <c r="H415" s="2">
        <v>3</v>
      </c>
      <c r="I415" s="2">
        <v>3.8759999999999999</v>
      </c>
      <c r="J415" s="2">
        <v>81.396000000000001</v>
      </c>
      <c r="K415" s="5">
        <v>43534</v>
      </c>
      <c r="L415" s="4">
        <v>0.78819444444444442</v>
      </c>
      <c r="M415" s="3" t="s">
        <v>33</v>
      </c>
      <c r="N415" s="2">
        <v>77.52</v>
      </c>
      <c r="O415" s="2">
        <v>4.7619047620000003</v>
      </c>
      <c r="P415" s="2">
        <v>3.8759999999999999</v>
      </c>
      <c r="Q415" s="2">
        <v>6.6</v>
      </c>
      <c r="R415" s="3"/>
      <c r="S415" s="1"/>
      <c r="T415" s="1"/>
      <c r="U415" s="1" t="s">
        <v>37</v>
      </c>
      <c r="V415" s="1" t="s">
        <v>37</v>
      </c>
      <c r="W415" s="1" t="s">
        <v>37</v>
      </c>
    </row>
    <row r="416" spans="1:23">
      <c r="A416" s="3" t="s">
        <v>2518</v>
      </c>
      <c r="B416" s="3" t="s">
        <v>22</v>
      </c>
      <c r="C416" s="3" t="s">
        <v>23</v>
      </c>
      <c r="D416" s="3" t="s">
        <v>41</v>
      </c>
      <c r="E416" s="3" t="s">
        <v>992</v>
      </c>
      <c r="F416" s="3" t="s">
        <v>53</v>
      </c>
      <c r="G416" s="2">
        <v>50.93</v>
      </c>
      <c r="H416" s="2">
        <v>8</v>
      </c>
      <c r="I416" s="2">
        <v>20.372</v>
      </c>
      <c r="J416" s="2">
        <v>427.81200000000001</v>
      </c>
      <c r="K416" s="5">
        <v>43546</v>
      </c>
      <c r="L416" s="4">
        <v>0.81666666666666665</v>
      </c>
      <c r="M416" s="3" t="s">
        <v>33</v>
      </c>
      <c r="N416" s="2">
        <v>407.44</v>
      </c>
      <c r="O416" s="2">
        <v>4.7619047620000003</v>
      </c>
      <c r="P416" s="2">
        <v>20.372</v>
      </c>
      <c r="Q416" s="2">
        <v>9.1999999999999993</v>
      </c>
      <c r="R416" s="3"/>
      <c r="S416" s="1"/>
      <c r="T416" s="1"/>
      <c r="U416" s="1" t="s">
        <v>37</v>
      </c>
      <c r="V416" s="1" t="s">
        <v>37</v>
      </c>
      <c r="W416" s="1" t="s">
        <v>37</v>
      </c>
    </row>
    <row r="417" spans="1:23">
      <c r="A417" s="3" t="s">
        <v>2524</v>
      </c>
      <c r="B417" s="3" t="s">
        <v>115</v>
      </c>
      <c r="C417" s="3" t="s">
        <v>116</v>
      </c>
      <c r="D417" s="3" t="s">
        <v>41</v>
      </c>
      <c r="E417" s="3" t="s">
        <v>992</v>
      </c>
      <c r="F417" s="3" t="s">
        <v>26</v>
      </c>
      <c r="G417" s="2">
        <v>96.11</v>
      </c>
      <c r="H417" s="2">
        <v>1</v>
      </c>
      <c r="I417" s="2">
        <v>4.8055000000000003</v>
      </c>
      <c r="J417" s="2">
        <v>100.91549999999999</v>
      </c>
      <c r="K417" s="5">
        <v>43490</v>
      </c>
      <c r="L417" s="4">
        <v>0.68611111111111112</v>
      </c>
      <c r="M417" s="3" t="s">
        <v>33</v>
      </c>
      <c r="N417" s="2">
        <v>96.11</v>
      </c>
      <c r="O417" s="2">
        <v>4.7619047620000003</v>
      </c>
      <c r="P417" s="2">
        <v>4.8055000000000003</v>
      </c>
      <c r="Q417" s="2">
        <v>7.8</v>
      </c>
      <c r="R417" s="3"/>
      <c r="S417" s="1"/>
      <c r="T417" s="1"/>
      <c r="U417" s="1" t="s">
        <v>37</v>
      </c>
      <c r="V417" s="1" t="s">
        <v>37</v>
      </c>
      <c r="W417" s="1" t="s">
        <v>37</v>
      </c>
    </row>
    <row r="418" spans="1:23">
      <c r="A418" s="3" t="s">
        <v>2528</v>
      </c>
      <c r="B418" s="3" t="s">
        <v>39</v>
      </c>
      <c r="C418" s="3" t="s">
        <v>40</v>
      </c>
      <c r="D418" s="3" t="s">
        <v>41</v>
      </c>
      <c r="E418" s="3" t="s">
        <v>25</v>
      </c>
      <c r="F418" s="3" t="s">
        <v>53</v>
      </c>
      <c r="G418" s="2">
        <v>45.38</v>
      </c>
      <c r="H418" s="2">
        <v>4</v>
      </c>
      <c r="I418" s="2">
        <v>9.0760000000000005</v>
      </c>
      <c r="J418" s="2">
        <v>190.596</v>
      </c>
      <c r="K418" s="5">
        <v>43473</v>
      </c>
      <c r="L418" s="4">
        <v>0.57499999999999996</v>
      </c>
      <c r="M418" s="3" t="s">
        <v>59</v>
      </c>
      <c r="N418" s="2">
        <v>181.52</v>
      </c>
      <c r="O418" s="2">
        <v>4.7619047620000003</v>
      </c>
      <c r="P418" s="2">
        <v>9.0760000000000005</v>
      </c>
      <c r="Q418" s="2">
        <v>8.6999999999999993</v>
      </c>
      <c r="R418" s="3"/>
      <c r="S418" s="1"/>
      <c r="T418" s="1"/>
      <c r="U418" s="1" t="s">
        <v>37</v>
      </c>
      <c r="V418" s="1" t="s">
        <v>37</v>
      </c>
      <c r="W418" s="1" t="s">
        <v>37</v>
      </c>
    </row>
    <row r="419" spans="1:23">
      <c r="A419" s="3" t="s">
        <v>2533</v>
      </c>
      <c r="B419" s="3" t="s">
        <v>39</v>
      </c>
      <c r="C419" s="3" t="s">
        <v>40</v>
      </c>
      <c r="D419" s="3" t="s">
        <v>24</v>
      </c>
      <c r="E419" s="3" t="s">
        <v>25</v>
      </c>
      <c r="F419" s="3" t="s">
        <v>26</v>
      </c>
      <c r="G419" s="2">
        <v>81.510000000000005</v>
      </c>
      <c r="H419" s="2">
        <v>1</v>
      </c>
      <c r="I419" s="2">
        <v>4.0754999999999999</v>
      </c>
      <c r="J419" s="2">
        <v>85.585499999999996</v>
      </c>
      <c r="K419" s="5">
        <v>43487</v>
      </c>
      <c r="L419" s="4">
        <v>0.45624999999999999</v>
      </c>
      <c r="M419" s="3" t="s">
        <v>33</v>
      </c>
      <c r="N419" s="2">
        <v>81.510000000000005</v>
      </c>
      <c r="O419" s="2">
        <v>4.7619047620000003</v>
      </c>
      <c r="P419" s="2">
        <v>4.0754999999999999</v>
      </c>
      <c r="Q419" s="2">
        <v>9.1999999999999993</v>
      </c>
      <c r="R419" s="3"/>
      <c r="S419" s="1"/>
      <c r="T419" s="1"/>
      <c r="U419" s="1" t="s">
        <v>37</v>
      </c>
      <c r="V419" s="1" t="s">
        <v>37</v>
      </c>
      <c r="W419" s="1" t="s">
        <v>37</v>
      </c>
    </row>
    <row r="420" spans="1:23">
      <c r="A420" s="3" t="s">
        <v>2538</v>
      </c>
      <c r="B420" s="3" t="s">
        <v>115</v>
      </c>
      <c r="C420" s="3" t="s">
        <v>116</v>
      </c>
      <c r="D420" s="3" t="s">
        <v>41</v>
      </c>
      <c r="E420" s="3" t="s">
        <v>25</v>
      </c>
      <c r="F420" s="3" t="s">
        <v>26</v>
      </c>
      <c r="G420" s="2">
        <v>57.22</v>
      </c>
      <c r="H420" s="2">
        <v>2</v>
      </c>
      <c r="I420" s="2">
        <v>5.7220000000000004</v>
      </c>
      <c r="J420" s="2">
        <v>120.16200000000001</v>
      </c>
      <c r="K420" s="5">
        <v>43477</v>
      </c>
      <c r="L420" s="4">
        <v>0.71736111111111112</v>
      </c>
      <c r="M420" s="3" t="s">
        <v>33</v>
      </c>
      <c r="N420" s="2">
        <v>114.44</v>
      </c>
      <c r="O420" s="2">
        <v>4.7619047620000003</v>
      </c>
      <c r="P420" s="2">
        <v>5.7220000000000004</v>
      </c>
      <c r="Q420" s="2">
        <v>8.3000000000000007</v>
      </c>
      <c r="R420" s="3"/>
      <c r="S420" s="1"/>
      <c r="T420" s="1"/>
      <c r="U420" s="1" t="s">
        <v>37</v>
      </c>
      <c r="V420" s="1" t="s">
        <v>37</v>
      </c>
      <c r="W420" s="1" t="s">
        <v>37</v>
      </c>
    </row>
    <row r="421" spans="1:23">
      <c r="A421" s="3" t="s">
        <v>2544</v>
      </c>
      <c r="B421" s="3" t="s">
        <v>22</v>
      </c>
      <c r="C421" s="3" t="s">
        <v>23</v>
      </c>
      <c r="D421" s="3" t="s">
        <v>24</v>
      </c>
      <c r="E421" s="3" t="s">
        <v>25</v>
      </c>
      <c r="F421" s="3" t="s">
        <v>42</v>
      </c>
      <c r="G421" s="2">
        <v>25.22</v>
      </c>
      <c r="H421" s="2">
        <v>7</v>
      </c>
      <c r="I421" s="2">
        <v>8.827</v>
      </c>
      <c r="J421" s="2">
        <v>185.36699999999999</v>
      </c>
      <c r="K421" s="5">
        <v>43500</v>
      </c>
      <c r="L421" s="4">
        <v>0.43263888888888891</v>
      </c>
      <c r="M421" s="3" t="s">
        <v>49</v>
      </c>
      <c r="N421" s="2">
        <v>176.54</v>
      </c>
      <c r="O421" s="2">
        <v>4.7619047620000003</v>
      </c>
      <c r="P421" s="2">
        <v>8.827</v>
      </c>
      <c r="Q421" s="2">
        <v>8.1999999999999993</v>
      </c>
      <c r="R421" s="3"/>
      <c r="S421" s="1"/>
      <c r="T421" s="1"/>
      <c r="U421" s="1" t="s">
        <v>37</v>
      </c>
      <c r="V421" s="1" t="s">
        <v>37</v>
      </c>
      <c r="W421" s="1" t="s">
        <v>37</v>
      </c>
    </row>
    <row r="422" spans="1:23">
      <c r="A422" s="3" t="s">
        <v>2549</v>
      </c>
      <c r="B422" s="3" t="s">
        <v>39</v>
      </c>
      <c r="C422" s="3" t="s">
        <v>40</v>
      </c>
      <c r="D422" s="3" t="s">
        <v>24</v>
      </c>
      <c r="E422" s="3" t="s">
        <v>25</v>
      </c>
      <c r="F422" s="3" t="s">
        <v>117</v>
      </c>
      <c r="G422" s="2">
        <v>38.6</v>
      </c>
      <c r="H422" s="2">
        <v>3</v>
      </c>
      <c r="I422" s="2">
        <v>5.79</v>
      </c>
      <c r="J422" s="2">
        <v>121.59</v>
      </c>
      <c r="K422" s="5">
        <v>43552</v>
      </c>
      <c r="L422" s="4">
        <v>0.58125000000000004</v>
      </c>
      <c r="M422" s="3" t="s">
        <v>33</v>
      </c>
      <c r="N422" s="2">
        <v>115.8</v>
      </c>
      <c r="O422" s="2">
        <v>4.7619047620000003</v>
      </c>
      <c r="P422" s="2">
        <v>5.79</v>
      </c>
      <c r="Q422" s="2">
        <v>7.5</v>
      </c>
      <c r="R422" s="3"/>
      <c r="S422" s="1"/>
      <c r="T422" s="1"/>
      <c r="U422" s="1" t="s">
        <v>37</v>
      </c>
      <c r="V422" s="1" t="s">
        <v>37</v>
      </c>
      <c r="W422" s="1" t="s">
        <v>37</v>
      </c>
    </row>
    <row r="423" spans="1:23">
      <c r="A423" s="3" t="s">
        <v>2555</v>
      </c>
      <c r="B423" s="3" t="s">
        <v>39</v>
      </c>
      <c r="C423" s="3" t="s">
        <v>40</v>
      </c>
      <c r="D423" s="3" t="s">
        <v>41</v>
      </c>
      <c r="E423" s="3" t="s">
        <v>25</v>
      </c>
      <c r="F423" s="3" t="s">
        <v>42</v>
      </c>
      <c r="G423" s="2">
        <v>84.05</v>
      </c>
      <c r="H423" s="2">
        <v>3</v>
      </c>
      <c r="I423" s="2">
        <v>12.6075</v>
      </c>
      <c r="J423" s="2">
        <v>264.75749999999999</v>
      </c>
      <c r="K423" s="5">
        <v>43488</v>
      </c>
      <c r="L423" s="4">
        <v>0.56180555555555556</v>
      </c>
      <c r="M423" s="3" t="s">
        <v>49</v>
      </c>
      <c r="N423" s="2">
        <v>252.15</v>
      </c>
      <c r="O423" s="2">
        <v>4.7619047620000003</v>
      </c>
      <c r="P423" s="2">
        <v>12.6075</v>
      </c>
      <c r="Q423" s="2">
        <v>9.8000000000000007</v>
      </c>
      <c r="R423" s="3"/>
      <c r="S423" s="1"/>
      <c r="T423" s="1"/>
      <c r="U423" s="1" t="s">
        <v>37</v>
      </c>
      <c r="V423" s="1" t="s">
        <v>37</v>
      </c>
      <c r="W423" s="1" t="s">
        <v>37</v>
      </c>
    </row>
    <row r="424" spans="1:23">
      <c r="A424" s="3" t="s">
        <v>2560</v>
      </c>
      <c r="B424" s="3" t="s">
        <v>39</v>
      </c>
      <c r="C424" s="3" t="s">
        <v>40</v>
      </c>
      <c r="D424" s="3" t="s">
        <v>24</v>
      </c>
      <c r="E424" s="3" t="s">
        <v>25</v>
      </c>
      <c r="F424" s="3" t="s">
        <v>127</v>
      </c>
      <c r="G424" s="2">
        <v>97.21</v>
      </c>
      <c r="H424" s="2">
        <v>10</v>
      </c>
      <c r="I424" s="2">
        <v>48.604999999999997</v>
      </c>
      <c r="J424" s="2">
        <v>1020.705</v>
      </c>
      <c r="K424" s="5">
        <v>43504</v>
      </c>
      <c r="L424" s="4">
        <v>0.54166666666666663</v>
      </c>
      <c r="M424" s="3" t="s">
        <v>59</v>
      </c>
      <c r="N424" s="2">
        <v>972.1</v>
      </c>
      <c r="O424" s="2">
        <v>4.7619047620000003</v>
      </c>
      <c r="P424" s="2">
        <v>48.604999999999997</v>
      </c>
      <c r="Q424" s="2">
        <v>8.6999999999999993</v>
      </c>
      <c r="R424" s="3"/>
      <c r="S424" s="1"/>
      <c r="T424" s="1"/>
      <c r="U424" s="1" t="s">
        <v>37</v>
      </c>
      <c r="V424" s="1" t="s">
        <v>37</v>
      </c>
      <c r="W424" s="1" t="s">
        <v>37</v>
      </c>
    </row>
    <row r="425" spans="1:23">
      <c r="A425" s="3" t="s">
        <v>2565</v>
      </c>
      <c r="B425" s="3" t="s">
        <v>115</v>
      </c>
      <c r="C425" s="3" t="s">
        <v>116</v>
      </c>
      <c r="D425" s="3" t="s">
        <v>24</v>
      </c>
      <c r="E425" s="3" t="s">
        <v>992</v>
      </c>
      <c r="F425" s="3" t="s">
        <v>127</v>
      </c>
      <c r="G425" s="2">
        <v>25.42</v>
      </c>
      <c r="H425" s="2">
        <v>8</v>
      </c>
      <c r="I425" s="2">
        <v>10.167999999999999</v>
      </c>
      <c r="J425" s="2">
        <v>213.52799999999999</v>
      </c>
      <c r="K425" s="5">
        <v>43543</v>
      </c>
      <c r="L425" s="4">
        <v>0.8208333333333333</v>
      </c>
      <c r="M425" s="3" t="s">
        <v>59</v>
      </c>
      <c r="N425" s="2">
        <v>203.36</v>
      </c>
      <c r="O425" s="2">
        <v>4.7619047620000003</v>
      </c>
      <c r="P425" s="2">
        <v>10.167999999999999</v>
      </c>
      <c r="Q425" s="2">
        <v>6.7</v>
      </c>
      <c r="R425" s="3"/>
      <c r="S425" s="1"/>
      <c r="T425" s="1"/>
      <c r="U425" s="1" t="s">
        <v>37</v>
      </c>
      <c r="V425" s="1" t="s">
        <v>37</v>
      </c>
      <c r="W425" s="1" t="s">
        <v>37</v>
      </c>
    </row>
    <row r="426" spans="1:23">
      <c r="A426" s="3" t="s">
        <v>2570</v>
      </c>
      <c r="B426" s="3" t="s">
        <v>39</v>
      </c>
      <c r="C426" s="3" t="s">
        <v>40</v>
      </c>
      <c r="D426" s="3" t="s">
        <v>41</v>
      </c>
      <c r="E426" s="3" t="s">
        <v>992</v>
      </c>
      <c r="F426" s="3" t="s">
        <v>127</v>
      </c>
      <c r="G426" s="2">
        <v>16.28</v>
      </c>
      <c r="H426" s="2">
        <v>1</v>
      </c>
      <c r="I426" s="2">
        <v>0.81399999999999995</v>
      </c>
      <c r="J426" s="2">
        <v>17.094000000000001</v>
      </c>
      <c r="K426" s="5">
        <v>43533</v>
      </c>
      <c r="L426" s="4">
        <v>0.65</v>
      </c>
      <c r="M426" s="3" t="s">
        <v>49</v>
      </c>
      <c r="N426" s="2">
        <v>16.28</v>
      </c>
      <c r="O426" s="2">
        <v>4.7619047620000003</v>
      </c>
      <c r="P426" s="2">
        <v>0.81399999999999995</v>
      </c>
      <c r="Q426" s="2">
        <v>5</v>
      </c>
      <c r="R426" s="3"/>
      <c r="S426" s="1"/>
      <c r="T426" s="1"/>
      <c r="U426" s="1" t="s">
        <v>37</v>
      </c>
      <c r="V426" s="1" t="s">
        <v>37</v>
      </c>
      <c r="W426" s="1" t="s">
        <v>37</v>
      </c>
    </row>
    <row r="427" spans="1:23">
      <c r="A427" s="3" t="s">
        <v>2574</v>
      </c>
      <c r="B427" s="3" t="s">
        <v>115</v>
      </c>
      <c r="C427" s="3" t="s">
        <v>116</v>
      </c>
      <c r="D427" s="3" t="s">
        <v>24</v>
      </c>
      <c r="E427" s="3" t="s">
        <v>992</v>
      </c>
      <c r="F427" s="3" t="s">
        <v>127</v>
      </c>
      <c r="G427" s="2">
        <v>40.61</v>
      </c>
      <c r="H427" s="2">
        <v>9</v>
      </c>
      <c r="I427" s="2">
        <v>18.2745</v>
      </c>
      <c r="J427" s="2">
        <v>383.7645</v>
      </c>
      <c r="K427" s="5">
        <v>43467</v>
      </c>
      <c r="L427" s="4">
        <v>0.56944444444444442</v>
      </c>
      <c r="M427" s="3" t="s">
        <v>49</v>
      </c>
      <c r="N427" s="2">
        <v>365.49</v>
      </c>
      <c r="O427" s="2">
        <v>4.7619047620000003</v>
      </c>
      <c r="P427" s="2">
        <v>18.2745</v>
      </c>
      <c r="Q427" s="2">
        <v>7</v>
      </c>
      <c r="R427" s="3"/>
      <c r="S427" s="1"/>
      <c r="T427" s="1"/>
      <c r="U427" s="1" t="s">
        <v>37</v>
      </c>
      <c r="V427" s="1" t="s">
        <v>37</v>
      </c>
      <c r="W427" s="1" t="s">
        <v>37</v>
      </c>
    </row>
    <row r="428" spans="1:23">
      <c r="A428" s="3" t="s">
        <v>2579</v>
      </c>
      <c r="B428" s="3" t="s">
        <v>22</v>
      </c>
      <c r="C428" s="3" t="s">
        <v>23</v>
      </c>
      <c r="D428" s="3" t="s">
        <v>24</v>
      </c>
      <c r="E428" s="3" t="s">
        <v>992</v>
      </c>
      <c r="F428" s="3" t="s">
        <v>26</v>
      </c>
      <c r="G428" s="2">
        <v>53.17</v>
      </c>
      <c r="H428" s="2">
        <v>7</v>
      </c>
      <c r="I428" s="2">
        <v>18.609500000000001</v>
      </c>
      <c r="J428" s="2">
        <v>390.79950000000002</v>
      </c>
      <c r="K428" s="5">
        <v>43486</v>
      </c>
      <c r="L428" s="4">
        <v>0.75069444444444444</v>
      </c>
      <c r="M428" s="3" t="s">
        <v>49</v>
      </c>
      <c r="N428" s="2">
        <v>372.19</v>
      </c>
      <c r="O428" s="2">
        <v>4.7619047620000003</v>
      </c>
      <c r="P428" s="2">
        <v>18.609500000000001</v>
      </c>
      <c r="Q428" s="2">
        <v>8.9</v>
      </c>
      <c r="R428" s="3"/>
      <c r="S428" s="1"/>
      <c r="T428" s="1"/>
      <c r="U428" s="1" t="s">
        <v>37</v>
      </c>
      <c r="V428" s="1" t="s">
        <v>37</v>
      </c>
      <c r="W428" s="1" t="s">
        <v>37</v>
      </c>
    </row>
    <row r="429" spans="1:23">
      <c r="A429" s="3" t="s">
        <v>2584</v>
      </c>
      <c r="B429" s="3" t="s">
        <v>115</v>
      </c>
      <c r="C429" s="3" t="s">
        <v>116</v>
      </c>
      <c r="D429" s="3" t="s">
        <v>24</v>
      </c>
      <c r="E429" s="3" t="s">
        <v>25</v>
      </c>
      <c r="F429" s="3" t="s">
        <v>117</v>
      </c>
      <c r="G429" s="2">
        <v>20.87</v>
      </c>
      <c r="H429" s="2">
        <v>3</v>
      </c>
      <c r="I429" s="2">
        <v>3.1305000000000001</v>
      </c>
      <c r="J429" s="2">
        <v>65.740499999999997</v>
      </c>
      <c r="K429" s="5">
        <v>43544</v>
      </c>
      <c r="L429" s="4">
        <v>0.57847222222222228</v>
      </c>
      <c r="M429" s="3" t="s">
        <v>59</v>
      </c>
      <c r="N429" s="2">
        <v>62.61</v>
      </c>
      <c r="O429" s="2">
        <v>4.7619047620000003</v>
      </c>
      <c r="P429" s="2">
        <v>3.1305000000000001</v>
      </c>
      <c r="Q429" s="2">
        <v>8</v>
      </c>
      <c r="R429" s="3"/>
      <c r="S429" s="1"/>
      <c r="T429" s="1"/>
      <c r="U429" s="1" t="s">
        <v>37</v>
      </c>
      <c r="V429" s="1" t="s">
        <v>37</v>
      </c>
      <c r="W429" s="1" t="s">
        <v>37</v>
      </c>
    </row>
    <row r="430" spans="1:23">
      <c r="A430" s="3" t="s">
        <v>2590</v>
      </c>
      <c r="B430" s="3" t="s">
        <v>115</v>
      </c>
      <c r="C430" s="3" t="s">
        <v>116</v>
      </c>
      <c r="D430" s="3" t="s">
        <v>41</v>
      </c>
      <c r="E430" s="3" t="s">
        <v>992</v>
      </c>
      <c r="F430" s="3" t="s">
        <v>72</v>
      </c>
      <c r="G430" s="2">
        <v>67.27</v>
      </c>
      <c r="H430" s="2">
        <v>5</v>
      </c>
      <c r="I430" s="2">
        <v>16.817499999999999</v>
      </c>
      <c r="J430" s="2">
        <v>353.16750000000002</v>
      </c>
      <c r="K430" s="5">
        <v>43523</v>
      </c>
      <c r="L430" s="4">
        <v>0.7270833333333333</v>
      </c>
      <c r="M430" s="3" t="s">
        <v>49</v>
      </c>
      <c r="N430" s="2">
        <v>336.35</v>
      </c>
      <c r="O430" s="2">
        <v>4.7619047620000003</v>
      </c>
      <c r="P430" s="2">
        <v>16.817499999999999</v>
      </c>
      <c r="Q430" s="2">
        <v>6.9</v>
      </c>
      <c r="R430" s="3"/>
      <c r="S430" s="1"/>
      <c r="T430" s="1"/>
      <c r="U430" s="1" t="s">
        <v>37</v>
      </c>
      <c r="V430" s="1" t="s">
        <v>37</v>
      </c>
      <c r="W430" s="1" t="s">
        <v>37</v>
      </c>
    </row>
    <row r="431" spans="1:23">
      <c r="A431" s="3" t="s">
        <v>2595</v>
      </c>
      <c r="B431" s="3" t="s">
        <v>22</v>
      </c>
      <c r="C431" s="3" t="s">
        <v>23</v>
      </c>
      <c r="D431" s="3" t="s">
        <v>24</v>
      </c>
      <c r="E431" s="3" t="s">
        <v>25</v>
      </c>
      <c r="F431" s="3" t="s">
        <v>53</v>
      </c>
      <c r="G431" s="2">
        <v>90.65</v>
      </c>
      <c r="H431" s="2">
        <v>10</v>
      </c>
      <c r="I431" s="2">
        <v>45.325000000000003</v>
      </c>
      <c r="J431" s="2">
        <v>951.82500000000005</v>
      </c>
      <c r="K431" s="5">
        <v>43532</v>
      </c>
      <c r="L431" s="4">
        <v>0.45347222222222222</v>
      </c>
      <c r="M431" s="3" t="s">
        <v>33</v>
      </c>
      <c r="N431" s="2">
        <v>906.5</v>
      </c>
      <c r="O431" s="2">
        <v>4.7619047620000003</v>
      </c>
      <c r="P431" s="2">
        <v>45.325000000000003</v>
      </c>
      <c r="Q431" s="2">
        <v>7.3</v>
      </c>
      <c r="R431" s="3"/>
      <c r="S431" s="1"/>
      <c r="T431" s="1"/>
      <c r="U431" s="1" t="s">
        <v>37</v>
      </c>
      <c r="V431" s="1" t="s">
        <v>37</v>
      </c>
      <c r="W431" s="1" t="s">
        <v>37</v>
      </c>
    </row>
    <row r="432" spans="1:23">
      <c r="A432" s="3" t="s">
        <v>2600</v>
      </c>
      <c r="B432" s="3" t="s">
        <v>115</v>
      </c>
      <c r="C432" s="3" t="s">
        <v>116</v>
      </c>
      <c r="D432" s="3" t="s">
        <v>41</v>
      </c>
      <c r="E432" s="3" t="s">
        <v>992</v>
      </c>
      <c r="F432" s="3" t="s">
        <v>127</v>
      </c>
      <c r="G432" s="2">
        <v>69.08</v>
      </c>
      <c r="H432" s="2">
        <v>2</v>
      </c>
      <c r="I432" s="2">
        <v>6.9080000000000004</v>
      </c>
      <c r="J432" s="2">
        <v>145.06800000000001</v>
      </c>
      <c r="K432" s="5">
        <v>43496</v>
      </c>
      <c r="L432" s="4">
        <v>0.82499999999999996</v>
      </c>
      <c r="M432" s="3" t="s">
        <v>59</v>
      </c>
      <c r="N432" s="2">
        <v>138.16</v>
      </c>
      <c r="O432" s="2">
        <v>4.7619047620000003</v>
      </c>
      <c r="P432" s="2">
        <v>6.9080000000000004</v>
      </c>
      <c r="Q432" s="2">
        <v>6.9</v>
      </c>
      <c r="R432" s="3"/>
      <c r="S432" s="1"/>
      <c r="T432" s="1"/>
      <c r="U432" s="1" t="s">
        <v>37</v>
      </c>
      <c r="V432" s="1" t="s">
        <v>37</v>
      </c>
      <c r="W432" s="1" t="s">
        <v>37</v>
      </c>
    </row>
    <row r="433" spans="1:23">
      <c r="A433" s="3" t="s">
        <v>2605</v>
      </c>
      <c r="B433" s="3" t="s">
        <v>39</v>
      </c>
      <c r="C433" s="3" t="s">
        <v>40</v>
      </c>
      <c r="D433" s="3" t="s">
        <v>41</v>
      </c>
      <c r="E433" s="3" t="s">
        <v>992</v>
      </c>
      <c r="F433" s="3" t="s">
        <v>117</v>
      </c>
      <c r="G433" s="2">
        <v>43.27</v>
      </c>
      <c r="H433" s="2">
        <v>2</v>
      </c>
      <c r="I433" s="2">
        <v>4.327</v>
      </c>
      <c r="J433" s="2">
        <v>90.867000000000004</v>
      </c>
      <c r="K433" s="5">
        <v>43532</v>
      </c>
      <c r="L433" s="4">
        <v>0.70347222222222228</v>
      </c>
      <c r="M433" s="3" t="s">
        <v>33</v>
      </c>
      <c r="N433" s="2">
        <v>86.54</v>
      </c>
      <c r="O433" s="2">
        <v>4.7619047620000003</v>
      </c>
      <c r="P433" s="2">
        <v>4.327</v>
      </c>
      <c r="Q433" s="2">
        <v>5.7</v>
      </c>
      <c r="R433" s="3"/>
      <c r="S433" s="1"/>
      <c r="T433" s="1"/>
      <c r="U433" s="1" t="s">
        <v>37</v>
      </c>
      <c r="V433" s="1" t="s">
        <v>37</v>
      </c>
      <c r="W433" s="1" t="s">
        <v>37</v>
      </c>
    </row>
    <row r="434" spans="1:23">
      <c r="A434" s="3" t="s">
        <v>2611</v>
      </c>
      <c r="B434" s="3" t="s">
        <v>22</v>
      </c>
      <c r="C434" s="3" t="s">
        <v>23</v>
      </c>
      <c r="D434" s="3" t="s">
        <v>41</v>
      </c>
      <c r="E434" s="3" t="s">
        <v>25</v>
      </c>
      <c r="F434" s="3" t="s">
        <v>42</v>
      </c>
      <c r="G434" s="2">
        <v>23.46</v>
      </c>
      <c r="H434" s="2">
        <v>6</v>
      </c>
      <c r="I434" s="2">
        <v>7.0380000000000003</v>
      </c>
      <c r="J434" s="2">
        <v>147.798</v>
      </c>
      <c r="K434" s="5">
        <v>43478</v>
      </c>
      <c r="L434" s="4">
        <v>0.80138888888888893</v>
      </c>
      <c r="M434" s="3" t="s">
        <v>33</v>
      </c>
      <c r="N434" s="2">
        <v>140.76</v>
      </c>
      <c r="O434" s="2">
        <v>4.7619047620000003</v>
      </c>
      <c r="P434" s="2">
        <v>7.0380000000000003</v>
      </c>
      <c r="Q434" s="2">
        <v>6.4</v>
      </c>
      <c r="R434" s="3"/>
      <c r="S434" s="1"/>
      <c r="T434" s="1"/>
      <c r="U434" s="1" t="s">
        <v>37</v>
      </c>
      <c r="V434" s="1" t="s">
        <v>37</v>
      </c>
      <c r="W434" s="1" t="s">
        <v>37</v>
      </c>
    </row>
    <row r="435" spans="1:23">
      <c r="A435" s="3" t="s">
        <v>2616</v>
      </c>
      <c r="B435" s="3" t="s">
        <v>115</v>
      </c>
      <c r="C435" s="3" t="s">
        <v>116</v>
      </c>
      <c r="D435" s="3" t="s">
        <v>41</v>
      </c>
      <c r="E435" s="3" t="s">
        <v>992</v>
      </c>
      <c r="F435" s="3" t="s">
        <v>127</v>
      </c>
      <c r="G435" s="2">
        <v>95.54</v>
      </c>
      <c r="H435" s="2">
        <v>7</v>
      </c>
      <c r="I435" s="2">
        <v>33.439</v>
      </c>
      <c r="J435" s="2">
        <v>702.21900000000005</v>
      </c>
      <c r="K435" s="5">
        <v>43533</v>
      </c>
      <c r="L435" s="4">
        <v>0.60833333333333328</v>
      </c>
      <c r="M435" s="3" t="s">
        <v>59</v>
      </c>
      <c r="N435" s="2">
        <v>668.78</v>
      </c>
      <c r="O435" s="2">
        <v>4.7619047620000003</v>
      </c>
      <c r="P435" s="2">
        <v>33.439</v>
      </c>
      <c r="Q435" s="2">
        <v>9.6</v>
      </c>
      <c r="R435" s="3"/>
      <c r="S435" s="1"/>
      <c r="T435" s="1"/>
      <c r="U435" s="1" t="s">
        <v>37</v>
      </c>
      <c r="V435" s="1" t="s">
        <v>37</v>
      </c>
      <c r="W435" s="1" t="s">
        <v>37</v>
      </c>
    </row>
    <row r="436" spans="1:23">
      <c r="A436" s="3" t="s">
        <v>2621</v>
      </c>
      <c r="B436" s="3" t="s">
        <v>115</v>
      </c>
      <c r="C436" s="3" t="s">
        <v>116</v>
      </c>
      <c r="D436" s="3" t="s">
        <v>41</v>
      </c>
      <c r="E436" s="3" t="s">
        <v>25</v>
      </c>
      <c r="F436" s="3" t="s">
        <v>127</v>
      </c>
      <c r="G436" s="2">
        <v>47.44</v>
      </c>
      <c r="H436" s="2">
        <v>1</v>
      </c>
      <c r="I436" s="2">
        <v>2.3719999999999999</v>
      </c>
      <c r="J436" s="2">
        <v>49.811999999999998</v>
      </c>
      <c r="K436" s="5">
        <v>43518</v>
      </c>
      <c r="L436" s="4">
        <v>0.7631944444444444</v>
      </c>
      <c r="M436" s="3" t="s">
        <v>59</v>
      </c>
      <c r="N436" s="2">
        <v>47.44</v>
      </c>
      <c r="O436" s="2">
        <v>4.7619047620000003</v>
      </c>
      <c r="P436" s="2">
        <v>2.3719999999999999</v>
      </c>
      <c r="Q436" s="2">
        <v>6.8</v>
      </c>
      <c r="R436" s="3"/>
      <c r="S436" s="1"/>
      <c r="T436" s="1"/>
      <c r="U436" s="1" t="s">
        <v>37</v>
      </c>
      <c r="V436" s="1" t="s">
        <v>37</v>
      </c>
      <c r="W436" s="1" t="s">
        <v>37</v>
      </c>
    </row>
    <row r="437" spans="1:23">
      <c r="A437" s="3" t="s">
        <v>2625</v>
      </c>
      <c r="B437" s="3" t="s">
        <v>39</v>
      </c>
      <c r="C437" s="3" t="s">
        <v>40</v>
      </c>
      <c r="D437" s="3" t="s">
        <v>41</v>
      </c>
      <c r="E437" s="3" t="s">
        <v>992</v>
      </c>
      <c r="F437" s="3" t="s">
        <v>72</v>
      </c>
      <c r="G437" s="2">
        <v>99.24</v>
      </c>
      <c r="H437" s="2">
        <v>9</v>
      </c>
      <c r="I437" s="2">
        <v>44.658000000000001</v>
      </c>
      <c r="J437" s="2">
        <v>937.81799999999998</v>
      </c>
      <c r="K437" s="5">
        <v>43543</v>
      </c>
      <c r="L437" s="4">
        <v>0.79791666666666672</v>
      </c>
      <c r="M437" s="3" t="s">
        <v>33</v>
      </c>
      <c r="N437" s="2">
        <v>893.16</v>
      </c>
      <c r="O437" s="2">
        <v>4.7619047620000003</v>
      </c>
      <c r="P437" s="2">
        <v>44.658000000000001</v>
      </c>
      <c r="Q437" s="2">
        <v>9</v>
      </c>
      <c r="R437" s="3"/>
      <c r="S437" s="1"/>
      <c r="T437" s="1"/>
      <c r="U437" s="1" t="s">
        <v>37</v>
      </c>
      <c r="V437" s="1" t="s">
        <v>37</v>
      </c>
      <c r="W437" s="1" t="s">
        <v>37</v>
      </c>
    </row>
    <row r="438" spans="1:23">
      <c r="A438" s="3" t="s">
        <v>2630</v>
      </c>
      <c r="B438" s="3" t="s">
        <v>39</v>
      </c>
      <c r="C438" s="3" t="s">
        <v>40</v>
      </c>
      <c r="D438" s="3" t="s">
        <v>24</v>
      </c>
      <c r="E438" s="3" t="s">
        <v>992</v>
      </c>
      <c r="F438" s="3" t="s">
        <v>72</v>
      </c>
      <c r="G438" s="2">
        <v>82.93</v>
      </c>
      <c r="H438" s="2">
        <v>4</v>
      </c>
      <c r="I438" s="2">
        <v>16.585999999999999</v>
      </c>
      <c r="J438" s="2">
        <v>348.30599999999998</v>
      </c>
      <c r="K438" s="5">
        <v>43485</v>
      </c>
      <c r="L438" s="4">
        <v>0.70208333333333328</v>
      </c>
      <c r="M438" s="3" t="s">
        <v>33</v>
      </c>
      <c r="N438" s="2">
        <v>331.72</v>
      </c>
      <c r="O438" s="2">
        <v>4.7619047620000003</v>
      </c>
      <c r="P438" s="2">
        <v>16.585999999999999</v>
      </c>
      <c r="Q438" s="2">
        <v>9.6</v>
      </c>
      <c r="R438" s="3"/>
      <c r="S438" s="1"/>
      <c r="T438" s="1"/>
      <c r="U438" s="1" t="s">
        <v>37</v>
      </c>
      <c r="V438" s="1" t="s">
        <v>37</v>
      </c>
      <c r="W438" s="1" t="s">
        <v>37</v>
      </c>
    </row>
    <row r="439" spans="1:23">
      <c r="A439" s="3" t="s">
        <v>2636</v>
      </c>
      <c r="B439" s="3" t="s">
        <v>22</v>
      </c>
      <c r="C439" s="3" t="s">
        <v>23</v>
      </c>
      <c r="D439" s="3" t="s">
        <v>41</v>
      </c>
      <c r="E439" s="3" t="s">
        <v>992</v>
      </c>
      <c r="F439" s="3" t="s">
        <v>53</v>
      </c>
      <c r="G439" s="2">
        <v>33.99</v>
      </c>
      <c r="H439" s="2">
        <v>6</v>
      </c>
      <c r="I439" s="2">
        <v>10.196999999999999</v>
      </c>
      <c r="J439" s="2">
        <v>214.137</v>
      </c>
      <c r="K439" s="5">
        <v>43532</v>
      </c>
      <c r="L439" s="4">
        <v>0.65069444444444446</v>
      </c>
      <c r="M439" s="3" t="s">
        <v>59</v>
      </c>
      <c r="N439" s="2">
        <v>203.94</v>
      </c>
      <c r="O439" s="2">
        <v>4.7619047620000003</v>
      </c>
      <c r="P439" s="2">
        <v>10.196999999999999</v>
      </c>
      <c r="Q439" s="2">
        <v>7.7</v>
      </c>
      <c r="R439" s="3"/>
      <c r="S439" s="1"/>
      <c r="T439" s="1"/>
      <c r="U439" s="1" t="s">
        <v>37</v>
      </c>
      <c r="V439" s="1" t="s">
        <v>37</v>
      </c>
      <c r="W439" s="1" t="s">
        <v>37</v>
      </c>
    </row>
    <row r="440" spans="1:23">
      <c r="A440" s="3" t="s">
        <v>2642</v>
      </c>
      <c r="B440" s="3" t="s">
        <v>39</v>
      </c>
      <c r="C440" s="3" t="s">
        <v>40</v>
      </c>
      <c r="D440" s="3" t="s">
        <v>24</v>
      </c>
      <c r="E440" s="3" t="s">
        <v>992</v>
      </c>
      <c r="F440" s="3" t="s">
        <v>117</v>
      </c>
      <c r="G440" s="2">
        <v>17.04</v>
      </c>
      <c r="H440" s="2">
        <v>4</v>
      </c>
      <c r="I440" s="2">
        <v>3.4079999999999999</v>
      </c>
      <c r="J440" s="2">
        <v>71.567999999999998</v>
      </c>
      <c r="K440" s="5">
        <v>43532</v>
      </c>
      <c r="L440" s="4">
        <v>0.84375</v>
      </c>
      <c r="M440" s="3" t="s">
        <v>33</v>
      </c>
      <c r="N440" s="2">
        <v>68.16</v>
      </c>
      <c r="O440" s="2">
        <v>4.7619047620000003</v>
      </c>
      <c r="P440" s="2">
        <v>3.4079999999999999</v>
      </c>
      <c r="Q440" s="2">
        <v>7</v>
      </c>
      <c r="R440" s="3"/>
      <c r="S440" s="1"/>
      <c r="T440" s="1"/>
      <c r="U440" s="1" t="s">
        <v>37</v>
      </c>
      <c r="V440" s="1" t="s">
        <v>37</v>
      </c>
      <c r="W440" s="1" t="s">
        <v>37</v>
      </c>
    </row>
    <row r="441" spans="1:23">
      <c r="A441" s="3" t="s">
        <v>2648</v>
      </c>
      <c r="B441" s="3" t="s">
        <v>39</v>
      </c>
      <c r="C441" s="3" t="s">
        <v>40</v>
      </c>
      <c r="D441" s="3" t="s">
        <v>41</v>
      </c>
      <c r="E441" s="3" t="s">
        <v>25</v>
      </c>
      <c r="F441" s="3" t="s">
        <v>42</v>
      </c>
      <c r="G441" s="2">
        <v>40.86</v>
      </c>
      <c r="H441" s="2">
        <v>8</v>
      </c>
      <c r="I441" s="2">
        <v>16.344000000000001</v>
      </c>
      <c r="J441" s="2">
        <v>343.22399999999999</v>
      </c>
      <c r="K441" s="5">
        <v>43503</v>
      </c>
      <c r="L441" s="4">
        <v>0.60972222222222228</v>
      </c>
      <c r="M441" s="3" t="s">
        <v>59</v>
      </c>
      <c r="N441" s="2">
        <v>326.88</v>
      </c>
      <c r="O441" s="2">
        <v>4.7619047620000003</v>
      </c>
      <c r="P441" s="2">
        <v>16.344000000000001</v>
      </c>
      <c r="Q441" s="2">
        <v>6.5</v>
      </c>
      <c r="R441" s="3"/>
      <c r="S441" s="1"/>
      <c r="T441" s="1"/>
      <c r="U441" s="1" t="s">
        <v>37</v>
      </c>
      <c r="V441" s="1" t="s">
        <v>37</v>
      </c>
      <c r="W441" s="1" t="s">
        <v>37</v>
      </c>
    </row>
    <row r="442" spans="1:23">
      <c r="A442" s="3" t="s">
        <v>2653</v>
      </c>
      <c r="B442" s="3" t="s">
        <v>39</v>
      </c>
      <c r="C442" s="3" t="s">
        <v>40</v>
      </c>
      <c r="D442" s="3" t="s">
        <v>24</v>
      </c>
      <c r="E442" s="3" t="s">
        <v>992</v>
      </c>
      <c r="F442" s="3" t="s">
        <v>117</v>
      </c>
      <c r="G442" s="2">
        <v>17.440000000000001</v>
      </c>
      <c r="H442" s="2">
        <v>5</v>
      </c>
      <c r="I442" s="2">
        <v>4.3600000000000003</v>
      </c>
      <c r="J442" s="2">
        <v>91.56</v>
      </c>
      <c r="K442" s="5">
        <v>43480</v>
      </c>
      <c r="L442" s="4">
        <v>0.80902777777777779</v>
      </c>
      <c r="M442" s="3" t="s">
        <v>49</v>
      </c>
      <c r="N442" s="2">
        <v>87.2</v>
      </c>
      <c r="O442" s="2">
        <v>4.7619047620000003</v>
      </c>
      <c r="P442" s="2">
        <v>4.3600000000000003</v>
      </c>
      <c r="Q442" s="2">
        <v>8.1</v>
      </c>
      <c r="R442" s="3"/>
      <c r="S442" s="1"/>
      <c r="T442" s="1"/>
      <c r="U442" s="1" t="s">
        <v>37</v>
      </c>
      <c r="V442" s="1" t="s">
        <v>37</v>
      </c>
      <c r="W442" s="1" t="s">
        <v>37</v>
      </c>
    </row>
    <row r="443" spans="1:23">
      <c r="A443" s="3" t="s">
        <v>2657</v>
      </c>
      <c r="B443" s="3" t="s">
        <v>115</v>
      </c>
      <c r="C443" s="3" t="s">
        <v>116</v>
      </c>
      <c r="D443" s="3" t="s">
        <v>24</v>
      </c>
      <c r="E443" s="3" t="s">
        <v>25</v>
      </c>
      <c r="F443" s="3" t="s">
        <v>72</v>
      </c>
      <c r="G443" s="2">
        <v>88.43</v>
      </c>
      <c r="H443" s="2">
        <v>8</v>
      </c>
      <c r="I443" s="2">
        <v>35.372</v>
      </c>
      <c r="J443" s="2">
        <v>742.81200000000001</v>
      </c>
      <c r="K443" s="5">
        <v>43546</v>
      </c>
      <c r="L443" s="4">
        <v>0.81597222222222221</v>
      </c>
      <c r="M443" s="3" t="s">
        <v>59</v>
      </c>
      <c r="N443" s="2">
        <v>707.44</v>
      </c>
      <c r="O443" s="2">
        <v>4.7619047620000003</v>
      </c>
      <c r="P443" s="2">
        <v>35.372</v>
      </c>
      <c r="Q443" s="2">
        <v>4.3</v>
      </c>
      <c r="R443" s="3"/>
      <c r="S443" s="1"/>
      <c r="T443" s="1"/>
      <c r="U443" s="1" t="s">
        <v>37</v>
      </c>
      <c r="V443" s="1" t="s">
        <v>37</v>
      </c>
      <c r="W443" s="1" t="s">
        <v>37</v>
      </c>
    </row>
    <row r="444" spans="1:23">
      <c r="A444" s="3" t="s">
        <v>2663</v>
      </c>
      <c r="B444" s="3" t="s">
        <v>22</v>
      </c>
      <c r="C444" s="3" t="s">
        <v>23</v>
      </c>
      <c r="D444" s="3" t="s">
        <v>24</v>
      </c>
      <c r="E444" s="3" t="s">
        <v>25</v>
      </c>
      <c r="F444" s="3" t="s">
        <v>53</v>
      </c>
      <c r="G444" s="2">
        <v>89.21</v>
      </c>
      <c r="H444" s="2">
        <v>9</v>
      </c>
      <c r="I444" s="2">
        <v>40.144500000000001</v>
      </c>
      <c r="J444" s="2">
        <v>843.03449999999998</v>
      </c>
      <c r="K444" s="5">
        <v>43480</v>
      </c>
      <c r="L444" s="4">
        <v>0.65416666666666667</v>
      </c>
      <c r="M444" s="3" t="s">
        <v>59</v>
      </c>
      <c r="N444" s="2">
        <v>802.89</v>
      </c>
      <c r="O444" s="2">
        <v>4.7619047620000003</v>
      </c>
      <c r="P444" s="2">
        <v>40.144500000000001</v>
      </c>
      <c r="Q444" s="2">
        <v>6.5</v>
      </c>
      <c r="R444" s="3"/>
      <c r="S444" s="1"/>
      <c r="T444" s="1"/>
      <c r="U444" s="1" t="s">
        <v>37</v>
      </c>
      <c r="V444" s="1" t="s">
        <v>37</v>
      </c>
      <c r="W444" s="1" t="s">
        <v>37</v>
      </c>
    </row>
    <row r="445" spans="1:23">
      <c r="A445" s="3" t="s">
        <v>2669</v>
      </c>
      <c r="B445" s="3" t="s">
        <v>39</v>
      </c>
      <c r="C445" s="3" t="s">
        <v>40</v>
      </c>
      <c r="D445" s="3" t="s">
        <v>41</v>
      </c>
      <c r="E445" s="3" t="s">
        <v>992</v>
      </c>
      <c r="F445" s="3" t="s">
        <v>127</v>
      </c>
      <c r="G445" s="2">
        <v>12.78</v>
      </c>
      <c r="H445" s="2">
        <v>1</v>
      </c>
      <c r="I445" s="2">
        <v>0.63900000000000001</v>
      </c>
      <c r="J445" s="2">
        <v>13.419</v>
      </c>
      <c r="K445" s="5">
        <v>43473</v>
      </c>
      <c r="L445" s="4">
        <v>0.59097222222222223</v>
      </c>
      <c r="M445" s="3" t="s">
        <v>33</v>
      </c>
      <c r="N445" s="2">
        <v>12.78</v>
      </c>
      <c r="O445" s="2">
        <v>4.7619047620000003</v>
      </c>
      <c r="P445" s="2">
        <v>0.63900000000000001</v>
      </c>
      <c r="Q445" s="2">
        <v>9.5</v>
      </c>
      <c r="R445" s="3"/>
      <c r="S445" s="1"/>
      <c r="T445" s="1"/>
      <c r="U445" s="1" t="s">
        <v>37</v>
      </c>
      <c r="V445" s="1" t="s">
        <v>37</v>
      </c>
      <c r="W445" s="1" t="s">
        <v>37</v>
      </c>
    </row>
    <row r="446" spans="1:23">
      <c r="A446" s="3" t="s">
        <v>2674</v>
      </c>
      <c r="B446" s="3" t="s">
        <v>22</v>
      </c>
      <c r="C446" s="3" t="s">
        <v>23</v>
      </c>
      <c r="D446" s="3" t="s">
        <v>41</v>
      </c>
      <c r="E446" s="3" t="s">
        <v>25</v>
      </c>
      <c r="F446" s="3" t="s">
        <v>72</v>
      </c>
      <c r="G446" s="2">
        <v>19.100000000000001</v>
      </c>
      <c r="H446" s="2">
        <v>7</v>
      </c>
      <c r="I446" s="2">
        <v>6.6849999999999996</v>
      </c>
      <c r="J446" s="2">
        <v>140.38499999999999</v>
      </c>
      <c r="K446" s="5">
        <v>43480</v>
      </c>
      <c r="L446" s="4">
        <v>0.4465277777777778</v>
      </c>
      <c r="M446" s="3" t="s">
        <v>49</v>
      </c>
      <c r="N446" s="2">
        <v>133.69999999999999</v>
      </c>
      <c r="O446" s="2">
        <v>4.7619047620000003</v>
      </c>
      <c r="P446" s="2">
        <v>6.6849999999999996</v>
      </c>
      <c r="Q446" s="2">
        <v>9.6999999999999993</v>
      </c>
      <c r="R446" s="3"/>
      <c r="S446" s="1"/>
      <c r="T446" s="1"/>
      <c r="U446" s="1" t="s">
        <v>37</v>
      </c>
      <c r="V446" s="1" t="s">
        <v>37</v>
      </c>
      <c r="W446" s="1" t="s">
        <v>37</v>
      </c>
    </row>
    <row r="447" spans="1:23">
      <c r="A447" s="3" t="s">
        <v>2679</v>
      </c>
      <c r="B447" s="3" t="s">
        <v>115</v>
      </c>
      <c r="C447" s="3" t="s">
        <v>116</v>
      </c>
      <c r="D447" s="3" t="s">
        <v>24</v>
      </c>
      <c r="E447" s="3" t="s">
        <v>25</v>
      </c>
      <c r="F447" s="3" t="s">
        <v>26</v>
      </c>
      <c r="G447" s="2">
        <v>19.149999999999999</v>
      </c>
      <c r="H447" s="2">
        <v>1</v>
      </c>
      <c r="I447" s="2">
        <v>0.95750000000000002</v>
      </c>
      <c r="J447" s="2">
        <v>20.107500000000002</v>
      </c>
      <c r="K447" s="5">
        <v>43493</v>
      </c>
      <c r="L447" s="4">
        <v>0.74861111111111112</v>
      </c>
      <c r="M447" s="3" t="s">
        <v>59</v>
      </c>
      <c r="N447" s="2">
        <v>19.149999999999999</v>
      </c>
      <c r="O447" s="2">
        <v>4.7619047620000003</v>
      </c>
      <c r="P447" s="2">
        <v>0.95750000000000002</v>
      </c>
      <c r="Q447" s="2">
        <v>9.5</v>
      </c>
      <c r="R447" s="3"/>
      <c r="S447" s="1"/>
      <c r="T447" s="1"/>
      <c r="U447" s="1" t="s">
        <v>37</v>
      </c>
      <c r="V447" s="1" t="s">
        <v>37</v>
      </c>
      <c r="W447" s="1" t="s">
        <v>37</v>
      </c>
    </row>
    <row r="448" spans="1:23">
      <c r="A448" s="3" t="s">
        <v>2683</v>
      </c>
      <c r="B448" s="3" t="s">
        <v>39</v>
      </c>
      <c r="C448" s="3" t="s">
        <v>40</v>
      </c>
      <c r="D448" s="3" t="s">
        <v>24</v>
      </c>
      <c r="E448" s="3" t="s">
        <v>992</v>
      </c>
      <c r="F448" s="3" t="s">
        <v>117</v>
      </c>
      <c r="G448" s="2">
        <v>27.66</v>
      </c>
      <c r="H448" s="2">
        <v>10</v>
      </c>
      <c r="I448" s="2">
        <v>13.83</v>
      </c>
      <c r="J448" s="2">
        <v>290.43</v>
      </c>
      <c r="K448" s="5">
        <v>43510</v>
      </c>
      <c r="L448" s="4">
        <v>0.47638888888888886</v>
      </c>
      <c r="M448" s="3" t="s">
        <v>59</v>
      </c>
      <c r="N448" s="2">
        <v>276.60000000000002</v>
      </c>
      <c r="O448" s="2">
        <v>4.7619047620000003</v>
      </c>
      <c r="P448" s="2">
        <v>13.83</v>
      </c>
      <c r="Q448" s="2">
        <v>8.9</v>
      </c>
      <c r="R448" s="3"/>
      <c r="S448" s="1"/>
      <c r="T448" s="1"/>
      <c r="U448" s="1" t="s">
        <v>37</v>
      </c>
      <c r="V448" s="1" t="s">
        <v>37</v>
      </c>
      <c r="W448" s="1" t="s">
        <v>37</v>
      </c>
    </row>
    <row r="449" spans="1:23">
      <c r="A449" s="3" t="s">
        <v>2688</v>
      </c>
      <c r="B449" s="3" t="s">
        <v>39</v>
      </c>
      <c r="C449" s="3" t="s">
        <v>40</v>
      </c>
      <c r="D449" s="3" t="s">
        <v>41</v>
      </c>
      <c r="E449" s="3" t="s">
        <v>992</v>
      </c>
      <c r="F449" s="3" t="s">
        <v>127</v>
      </c>
      <c r="G449" s="2">
        <v>45.74</v>
      </c>
      <c r="H449" s="2">
        <v>3</v>
      </c>
      <c r="I449" s="2">
        <v>6.8609999999999998</v>
      </c>
      <c r="J449" s="2">
        <v>144.08099999999999</v>
      </c>
      <c r="K449" s="5">
        <v>43534</v>
      </c>
      <c r="L449" s="4">
        <v>0.73472222222222228</v>
      </c>
      <c r="M449" s="3" t="s">
        <v>59</v>
      </c>
      <c r="N449" s="2">
        <v>137.22</v>
      </c>
      <c r="O449" s="2">
        <v>4.7619047620000003</v>
      </c>
      <c r="P449" s="2">
        <v>6.8609999999999998</v>
      </c>
      <c r="Q449" s="2">
        <v>6.5</v>
      </c>
      <c r="R449" s="3"/>
      <c r="S449" s="1"/>
      <c r="T449" s="1"/>
      <c r="U449" s="1" t="s">
        <v>37</v>
      </c>
      <c r="V449" s="1" t="s">
        <v>37</v>
      </c>
      <c r="W449" s="1" t="s">
        <v>37</v>
      </c>
    </row>
    <row r="450" spans="1:23">
      <c r="A450" s="3" t="s">
        <v>2693</v>
      </c>
      <c r="B450" s="3" t="s">
        <v>115</v>
      </c>
      <c r="C450" s="3" t="s">
        <v>116</v>
      </c>
      <c r="D450" s="3" t="s">
        <v>24</v>
      </c>
      <c r="E450" s="3" t="s">
        <v>25</v>
      </c>
      <c r="F450" s="3" t="s">
        <v>26</v>
      </c>
      <c r="G450" s="2">
        <v>27.07</v>
      </c>
      <c r="H450" s="2">
        <v>1</v>
      </c>
      <c r="I450" s="2">
        <v>1.3534999999999999</v>
      </c>
      <c r="J450" s="2">
        <v>28.423500000000001</v>
      </c>
      <c r="K450" s="5">
        <v>43477</v>
      </c>
      <c r="L450" s="4">
        <v>0.83819444444444446</v>
      </c>
      <c r="M450" s="3" t="s">
        <v>59</v>
      </c>
      <c r="N450" s="2">
        <v>27.07</v>
      </c>
      <c r="O450" s="2">
        <v>4.7619047620000003</v>
      </c>
      <c r="P450" s="2">
        <v>1.3534999999999999</v>
      </c>
      <c r="Q450" s="2">
        <v>5.3</v>
      </c>
      <c r="R450" s="3"/>
      <c r="S450" s="1"/>
      <c r="T450" s="1"/>
      <c r="U450" s="1" t="s">
        <v>37</v>
      </c>
      <c r="V450" s="1" t="s">
        <v>37</v>
      </c>
      <c r="W450" s="1" t="s">
        <v>37</v>
      </c>
    </row>
    <row r="451" spans="1:23">
      <c r="A451" s="3" t="s">
        <v>2697</v>
      </c>
      <c r="B451" s="3" t="s">
        <v>115</v>
      </c>
      <c r="C451" s="3" t="s">
        <v>116</v>
      </c>
      <c r="D451" s="3" t="s">
        <v>24</v>
      </c>
      <c r="E451" s="3" t="s">
        <v>25</v>
      </c>
      <c r="F451" s="3" t="s">
        <v>72</v>
      </c>
      <c r="G451" s="2">
        <v>39.119999999999997</v>
      </c>
      <c r="H451" s="2">
        <v>1</v>
      </c>
      <c r="I451" s="2">
        <v>1.956</v>
      </c>
      <c r="J451" s="2">
        <v>41.076000000000001</v>
      </c>
      <c r="K451" s="5">
        <v>43550</v>
      </c>
      <c r="L451" s="4">
        <v>0.4597222222222222</v>
      </c>
      <c r="M451" s="3" t="s">
        <v>59</v>
      </c>
      <c r="N451" s="2">
        <v>39.119999999999997</v>
      </c>
      <c r="O451" s="2">
        <v>4.7619047620000003</v>
      </c>
      <c r="P451" s="2">
        <v>1.956</v>
      </c>
      <c r="Q451" s="2">
        <v>9.6</v>
      </c>
      <c r="R451" s="3"/>
      <c r="S451" s="1"/>
      <c r="T451" s="1"/>
      <c r="U451" s="1" t="s">
        <v>37</v>
      </c>
      <c r="V451" s="1" t="s">
        <v>37</v>
      </c>
      <c r="W451" s="1" t="s">
        <v>37</v>
      </c>
    </row>
    <row r="452" spans="1:23">
      <c r="A452" s="3" t="s">
        <v>2702</v>
      </c>
      <c r="B452" s="3" t="s">
        <v>115</v>
      </c>
      <c r="C452" s="3" t="s">
        <v>116</v>
      </c>
      <c r="D452" s="3" t="s">
        <v>41</v>
      </c>
      <c r="E452" s="3" t="s">
        <v>25</v>
      </c>
      <c r="F452" s="3" t="s">
        <v>42</v>
      </c>
      <c r="G452" s="2">
        <v>74.709999999999994</v>
      </c>
      <c r="H452" s="2">
        <v>6</v>
      </c>
      <c r="I452" s="2">
        <v>22.413</v>
      </c>
      <c r="J452" s="2">
        <v>470.673</v>
      </c>
      <c r="K452" s="5">
        <v>43466</v>
      </c>
      <c r="L452" s="4">
        <v>0.79652777777777772</v>
      </c>
      <c r="M452" s="3" t="s">
        <v>49</v>
      </c>
      <c r="N452" s="2">
        <v>448.26</v>
      </c>
      <c r="O452" s="2">
        <v>4.7619047620000003</v>
      </c>
      <c r="P452" s="2">
        <v>22.413</v>
      </c>
      <c r="Q452" s="2">
        <v>6.7</v>
      </c>
      <c r="R452" s="3"/>
      <c r="S452" s="1"/>
      <c r="T452" s="1"/>
      <c r="U452" s="1" t="s">
        <v>37</v>
      </c>
      <c r="V452" s="1" t="s">
        <v>37</v>
      </c>
      <c r="W452" s="1" t="s">
        <v>37</v>
      </c>
    </row>
    <row r="453" spans="1:23">
      <c r="A453" s="3" t="s">
        <v>2707</v>
      </c>
      <c r="B453" s="3" t="s">
        <v>115</v>
      </c>
      <c r="C453" s="3" t="s">
        <v>116</v>
      </c>
      <c r="D453" s="3" t="s">
        <v>41</v>
      </c>
      <c r="E453" s="3" t="s">
        <v>992</v>
      </c>
      <c r="F453" s="3" t="s">
        <v>42</v>
      </c>
      <c r="G453" s="2">
        <v>22.01</v>
      </c>
      <c r="H453" s="2">
        <v>6</v>
      </c>
      <c r="I453" s="2">
        <v>6.6029999999999998</v>
      </c>
      <c r="J453" s="2">
        <v>138.66300000000001</v>
      </c>
      <c r="K453" s="5">
        <v>43467</v>
      </c>
      <c r="L453" s="4">
        <v>0.78472222222222221</v>
      </c>
      <c r="M453" s="3" t="s">
        <v>49</v>
      </c>
      <c r="N453" s="2">
        <v>132.06</v>
      </c>
      <c r="O453" s="2">
        <v>4.7619047620000003</v>
      </c>
      <c r="P453" s="2">
        <v>6.6029999999999998</v>
      </c>
      <c r="Q453" s="2">
        <v>7.6</v>
      </c>
      <c r="R453" s="3"/>
      <c r="S453" s="1"/>
      <c r="T453" s="1"/>
      <c r="U453" s="1" t="s">
        <v>37</v>
      </c>
      <c r="V453" s="1" t="s">
        <v>37</v>
      </c>
      <c r="W453" s="1" t="s">
        <v>37</v>
      </c>
    </row>
    <row r="454" spans="1:23">
      <c r="A454" s="3" t="s">
        <v>2711</v>
      </c>
      <c r="B454" s="3" t="s">
        <v>22</v>
      </c>
      <c r="C454" s="3" t="s">
        <v>23</v>
      </c>
      <c r="D454" s="3" t="s">
        <v>41</v>
      </c>
      <c r="E454" s="3" t="s">
        <v>25</v>
      </c>
      <c r="F454" s="3" t="s">
        <v>117</v>
      </c>
      <c r="G454" s="2">
        <v>63.61</v>
      </c>
      <c r="H454" s="2">
        <v>5</v>
      </c>
      <c r="I454" s="2">
        <v>15.9025</v>
      </c>
      <c r="J454" s="2">
        <v>333.95249999999999</v>
      </c>
      <c r="K454" s="5">
        <v>43540</v>
      </c>
      <c r="L454" s="4">
        <v>0.52986111111111112</v>
      </c>
      <c r="M454" s="3" t="s">
        <v>33</v>
      </c>
      <c r="N454" s="2">
        <v>318.05</v>
      </c>
      <c r="O454" s="2">
        <v>4.7619047620000003</v>
      </c>
      <c r="P454" s="2">
        <v>15.9025</v>
      </c>
      <c r="Q454" s="2">
        <v>4.8</v>
      </c>
      <c r="R454" s="3"/>
      <c r="S454" s="1"/>
      <c r="T454" s="1"/>
      <c r="U454" s="1" t="s">
        <v>37</v>
      </c>
      <c r="V454" s="1" t="s">
        <v>37</v>
      </c>
      <c r="W454" s="1" t="s">
        <v>37</v>
      </c>
    </row>
    <row r="455" spans="1:23">
      <c r="A455" s="3" t="s">
        <v>2716</v>
      </c>
      <c r="B455" s="3" t="s">
        <v>22</v>
      </c>
      <c r="C455" s="3" t="s">
        <v>23</v>
      </c>
      <c r="D455" s="3" t="s">
        <v>41</v>
      </c>
      <c r="E455" s="3" t="s">
        <v>992</v>
      </c>
      <c r="F455" s="3" t="s">
        <v>26</v>
      </c>
      <c r="G455" s="2">
        <v>25</v>
      </c>
      <c r="H455" s="2">
        <v>1</v>
      </c>
      <c r="I455" s="2">
        <v>1.25</v>
      </c>
      <c r="J455" s="2">
        <v>26.25</v>
      </c>
      <c r="K455" s="5">
        <v>43527</v>
      </c>
      <c r="L455" s="4">
        <v>0.63124999999999998</v>
      </c>
      <c r="M455" s="3" t="s">
        <v>33</v>
      </c>
      <c r="N455" s="2">
        <v>25</v>
      </c>
      <c r="O455" s="2">
        <v>4.7619047620000003</v>
      </c>
      <c r="P455" s="2">
        <v>1.25</v>
      </c>
      <c r="Q455" s="2">
        <v>5.5</v>
      </c>
      <c r="R455" s="3"/>
      <c r="S455" s="1"/>
      <c r="T455" s="1"/>
      <c r="U455" s="1" t="s">
        <v>37</v>
      </c>
      <c r="V455" s="1" t="s">
        <v>37</v>
      </c>
      <c r="W455" s="1" t="s">
        <v>37</v>
      </c>
    </row>
    <row r="456" spans="1:23">
      <c r="A456" s="3" t="s">
        <v>2721</v>
      </c>
      <c r="B456" s="3" t="s">
        <v>22</v>
      </c>
      <c r="C456" s="3" t="s">
        <v>23</v>
      </c>
      <c r="D456" s="3" t="s">
        <v>24</v>
      </c>
      <c r="E456" s="3" t="s">
        <v>992</v>
      </c>
      <c r="F456" s="3" t="s">
        <v>42</v>
      </c>
      <c r="G456" s="2">
        <v>20.77</v>
      </c>
      <c r="H456" s="2">
        <v>4</v>
      </c>
      <c r="I456" s="2">
        <v>4.1539999999999999</v>
      </c>
      <c r="J456" s="2">
        <v>87.233999999999995</v>
      </c>
      <c r="K456" s="5">
        <v>43496</v>
      </c>
      <c r="L456" s="4">
        <v>0.57430555555555551</v>
      </c>
      <c r="M456" s="3" t="s">
        <v>49</v>
      </c>
      <c r="N456" s="2">
        <v>83.08</v>
      </c>
      <c r="O456" s="2">
        <v>4.7619047620000003</v>
      </c>
      <c r="P456" s="2">
        <v>4.1539999999999999</v>
      </c>
      <c r="Q456" s="2">
        <v>4.7</v>
      </c>
      <c r="R456" s="3"/>
      <c r="S456" s="1"/>
      <c r="T456" s="1"/>
      <c r="U456" s="1" t="s">
        <v>37</v>
      </c>
      <c r="V456" s="1" t="s">
        <v>37</v>
      </c>
      <c r="W456" s="1" t="s">
        <v>37</v>
      </c>
    </row>
    <row r="457" spans="1:23">
      <c r="A457" s="3" t="s">
        <v>2727</v>
      </c>
      <c r="B457" s="3" t="s">
        <v>115</v>
      </c>
      <c r="C457" s="3" t="s">
        <v>116</v>
      </c>
      <c r="D457" s="3" t="s">
        <v>24</v>
      </c>
      <c r="E457" s="3" t="s">
        <v>25</v>
      </c>
      <c r="F457" s="3" t="s">
        <v>127</v>
      </c>
      <c r="G457" s="2">
        <v>29.56</v>
      </c>
      <c r="H457" s="2">
        <v>5</v>
      </c>
      <c r="I457" s="2">
        <v>7.39</v>
      </c>
      <c r="J457" s="2">
        <v>155.19</v>
      </c>
      <c r="K457" s="5">
        <v>43509</v>
      </c>
      <c r="L457" s="4">
        <v>0.70763888888888893</v>
      </c>
      <c r="M457" s="3" t="s">
        <v>49</v>
      </c>
      <c r="N457" s="2">
        <v>147.80000000000001</v>
      </c>
      <c r="O457" s="2">
        <v>4.7619047620000003</v>
      </c>
      <c r="P457" s="2">
        <v>7.39</v>
      </c>
      <c r="Q457" s="2">
        <v>6.9</v>
      </c>
      <c r="R457" s="3"/>
      <c r="S457" s="1"/>
      <c r="T457" s="1"/>
      <c r="U457" s="1" t="s">
        <v>37</v>
      </c>
      <c r="V457" s="1" t="s">
        <v>37</v>
      </c>
      <c r="W457" s="1" t="s">
        <v>37</v>
      </c>
    </row>
    <row r="458" spans="1:23">
      <c r="A458" s="3" t="s">
        <v>2733</v>
      </c>
      <c r="B458" s="3" t="s">
        <v>115</v>
      </c>
      <c r="C458" s="3" t="s">
        <v>116</v>
      </c>
      <c r="D458" s="3" t="s">
        <v>24</v>
      </c>
      <c r="E458" s="3" t="s">
        <v>25</v>
      </c>
      <c r="F458" s="3" t="s">
        <v>117</v>
      </c>
      <c r="G458" s="2">
        <v>77.400000000000006</v>
      </c>
      <c r="H458" s="2">
        <v>9</v>
      </c>
      <c r="I458" s="2">
        <v>34.83</v>
      </c>
      <c r="J458" s="2">
        <v>731.43</v>
      </c>
      <c r="K458" s="5">
        <v>43511</v>
      </c>
      <c r="L458" s="4">
        <v>0.59375</v>
      </c>
      <c r="M458" s="3" t="s">
        <v>59</v>
      </c>
      <c r="N458" s="2">
        <v>696.6</v>
      </c>
      <c r="O458" s="2">
        <v>4.7619047620000003</v>
      </c>
      <c r="P458" s="2">
        <v>34.83</v>
      </c>
      <c r="Q458" s="2">
        <v>4.5</v>
      </c>
      <c r="R458" s="3"/>
      <c r="S458" s="1"/>
      <c r="T458" s="1"/>
      <c r="U458" s="1" t="s">
        <v>37</v>
      </c>
      <c r="V458" s="1" t="s">
        <v>37</v>
      </c>
      <c r="W458" s="1" t="s">
        <v>37</v>
      </c>
    </row>
    <row r="459" spans="1:23">
      <c r="A459" s="3" t="s">
        <v>2739</v>
      </c>
      <c r="B459" s="3" t="s">
        <v>115</v>
      </c>
      <c r="C459" s="3" t="s">
        <v>116</v>
      </c>
      <c r="D459" s="3" t="s">
        <v>41</v>
      </c>
      <c r="E459" s="3" t="s">
        <v>992</v>
      </c>
      <c r="F459" s="3" t="s">
        <v>42</v>
      </c>
      <c r="G459" s="2">
        <v>79.39</v>
      </c>
      <c r="H459" s="2">
        <v>10</v>
      </c>
      <c r="I459" s="2">
        <v>39.695</v>
      </c>
      <c r="J459" s="2">
        <v>833.59500000000003</v>
      </c>
      <c r="K459" s="5">
        <v>43503</v>
      </c>
      <c r="L459" s="4">
        <v>0.85</v>
      </c>
      <c r="M459" s="3" t="s">
        <v>49</v>
      </c>
      <c r="N459" s="2">
        <v>793.9</v>
      </c>
      <c r="O459" s="2">
        <v>4.7619047620000003</v>
      </c>
      <c r="P459" s="2">
        <v>39.695</v>
      </c>
      <c r="Q459" s="2">
        <v>6.2</v>
      </c>
      <c r="R459" s="3"/>
      <c r="S459" s="1"/>
      <c r="T459" s="1"/>
      <c r="U459" s="1" t="s">
        <v>37</v>
      </c>
      <c r="V459" s="1" t="s">
        <v>37</v>
      </c>
      <c r="W459" s="1" t="s">
        <v>37</v>
      </c>
    </row>
    <row r="460" spans="1:23">
      <c r="A460" s="3" t="s">
        <v>2744</v>
      </c>
      <c r="B460" s="3" t="s">
        <v>39</v>
      </c>
      <c r="C460" s="3" t="s">
        <v>40</v>
      </c>
      <c r="D460" s="3" t="s">
        <v>24</v>
      </c>
      <c r="E460" s="3" t="s">
        <v>25</v>
      </c>
      <c r="F460" s="3" t="s">
        <v>42</v>
      </c>
      <c r="G460" s="2">
        <v>46.57</v>
      </c>
      <c r="H460" s="2">
        <v>10</v>
      </c>
      <c r="I460" s="2">
        <v>23.285</v>
      </c>
      <c r="J460" s="2">
        <v>488.98500000000001</v>
      </c>
      <c r="K460" s="5">
        <v>43492</v>
      </c>
      <c r="L460" s="4">
        <v>0.58194444444444449</v>
      </c>
      <c r="M460" s="3" t="s">
        <v>49</v>
      </c>
      <c r="N460" s="2">
        <v>465.7</v>
      </c>
      <c r="O460" s="2">
        <v>4.7619047620000003</v>
      </c>
      <c r="P460" s="2">
        <v>23.285</v>
      </c>
      <c r="Q460" s="2">
        <v>7.6</v>
      </c>
      <c r="R460" s="3"/>
      <c r="S460" s="1"/>
      <c r="T460" s="1"/>
      <c r="U460" s="1" t="s">
        <v>37</v>
      </c>
      <c r="V460" s="1" t="s">
        <v>37</v>
      </c>
      <c r="W460" s="1" t="s">
        <v>37</v>
      </c>
    </row>
    <row r="461" spans="1:23">
      <c r="A461" s="3" t="s">
        <v>2749</v>
      </c>
      <c r="B461" s="3" t="s">
        <v>39</v>
      </c>
      <c r="C461" s="3" t="s">
        <v>40</v>
      </c>
      <c r="D461" s="3" t="s">
        <v>41</v>
      </c>
      <c r="E461" s="3" t="s">
        <v>992</v>
      </c>
      <c r="F461" s="3" t="s">
        <v>117</v>
      </c>
      <c r="G461" s="2">
        <v>35.89</v>
      </c>
      <c r="H461" s="2">
        <v>1</v>
      </c>
      <c r="I461" s="2">
        <v>1.7945</v>
      </c>
      <c r="J461" s="2">
        <v>37.6845</v>
      </c>
      <c r="K461" s="5">
        <v>43519</v>
      </c>
      <c r="L461" s="4">
        <v>0.70277777777777772</v>
      </c>
      <c r="M461" s="3" t="s">
        <v>59</v>
      </c>
      <c r="N461" s="2">
        <v>35.89</v>
      </c>
      <c r="O461" s="2">
        <v>4.7619047620000003</v>
      </c>
      <c r="P461" s="2">
        <v>1.7945</v>
      </c>
      <c r="Q461" s="2">
        <v>7.9</v>
      </c>
      <c r="R461" s="3"/>
      <c r="S461" s="1"/>
      <c r="T461" s="1"/>
      <c r="U461" s="1" t="s">
        <v>37</v>
      </c>
      <c r="V461" s="1" t="s">
        <v>37</v>
      </c>
      <c r="W461" s="1" t="s">
        <v>37</v>
      </c>
    </row>
    <row r="462" spans="1:23">
      <c r="A462" s="3" t="s">
        <v>2753</v>
      </c>
      <c r="B462" s="3" t="s">
        <v>39</v>
      </c>
      <c r="C462" s="3" t="s">
        <v>40</v>
      </c>
      <c r="D462" s="3" t="s">
        <v>41</v>
      </c>
      <c r="E462" s="3" t="s">
        <v>992</v>
      </c>
      <c r="F462" s="3" t="s">
        <v>117</v>
      </c>
      <c r="G462" s="2">
        <v>40.520000000000003</v>
      </c>
      <c r="H462" s="2">
        <v>5</v>
      </c>
      <c r="I462" s="2">
        <v>10.130000000000001</v>
      </c>
      <c r="J462" s="2">
        <v>212.73</v>
      </c>
      <c r="K462" s="5">
        <v>43499</v>
      </c>
      <c r="L462" s="4">
        <v>0.6381944444444444</v>
      </c>
      <c r="M462" s="3" t="s">
        <v>49</v>
      </c>
      <c r="N462" s="2">
        <v>202.6</v>
      </c>
      <c r="O462" s="2">
        <v>4.7619047620000003</v>
      </c>
      <c r="P462" s="2">
        <v>10.130000000000001</v>
      </c>
      <c r="Q462" s="2">
        <v>4.5</v>
      </c>
      <c r="R462" s="3"/>
      <c r="S462" s="1"/>
      <c r="T462" s="1"/>
      <c r="U462" s="1" t="s">
        <v>37</v>
      </c>
      <c r="V462" s="1" t="s">
        <v>37</v>
      </c>
      <c r="W462" s="1" t="s">
        <v>37</v>
      </c>
    </row>
    <row r="463" spans="1:23">
      <c r="A463" s="3" t="s">
        <v>2759</v>
      </c>
      <c r="B463" s="3" t="s">
        <v>115</v>
      </c>
      <c r="C463" s="3" t="s">
        <v>116</v>
      </c>
      <c r="D463" s="3" t="s">
        <v>24</v>
      </c>
      <c r="E463" s="3" t="s">
        <v>25</v>
      </c>
      <c r="F463" s="3" t="s">
        <v>117</v>
      </c>
      <c r="G463" s="2">
        <v>73.05</v>
      </c>
      <c r="H463" s="2">
        <v>10</v>
      </c>
      <c r="I463" s="2">
        <v>36.524999999999999</v>
      </c>
      <c r="J463" s="2">
        <v>767.02499999999998</v>
      </c>
      <c r="K463" s="5">
        <v>43527</v>
      </c>
      <c r="L463" s="4">
        <v>0.51736111111111116</v>
      </c>
      <c r="M463" s="3" t="s">
        <v>59</v>
      </c>
      <c r="N463" s="2">
        <v>730.5</v>
      </c>
      <c r="O463" s="2">
        <v>4.7619047620000003</v>
      </c>
      <c r="P463" s="2">
        <v>36.524999999999999</v>
      </c>
      <c r="Q463" s="2">
        <v>8.6999999999999993</v>
      </c>
      <c r="R463" s="3"/>
      <c r="S463" s="1"/>
      <c r="T463" s="1"/>
      <c r="U463" s="1" t="s">
        <v>37</v>
      </c>
      <c r="V463" s="1" t="s">
        <v>37</v>
      </c>
      <c r="W463" s="1" t="s">
        <v>37</v>
      </c>
    </row>
    <row r="464" spans="1:23">
      <c r="A464" s="3" t="s">
        <v>2764</v>
      </c>
      <c r="B464" s="3" t="s">
        <v>39</v>
      </c>
      <c r="C464" s="3" t="s">
        <v>40</v>
      </c>
      <c r="D464" s="3" t="s">
        <v>41</v>
      </c>
      <c r="E464" s="3" t="s">
        <v>25</v>
      </c>
      <c r="F464" s="3" t="s">
        <v>72</v>
      </c>
      <c r="G464" s="2">
        <v>73.95</v>
      </c>
      <c r="H464" s="2">
        <v>4</v>
      </c>
      <c r="I464" s="2">
        <v>14.79</v>
      </c>
      <c r="J464" s="2">
        <v>310.58999999999997</v>
      </c>
      <c r="K464" s="5">
        <v>43499</v>
      </c>
      <c r="L464" s="4">
        <v>0.41805555555555557</v>
      </c>
      <c r="M464" s="3" t="s">
        <v>49</v>
      </c>
      <c r="N464" s="2">
        <v>295.8</v>
      </c>
      <c r="O464" s="2">
        <v>4.7619047620000003</v>
      </c>
      <c r="P464" s="2">
        <v>14.79</v>
      </c>
      <c r="Q464" s="2">
        <v>6.1</v>
      </c>
      <c r="R464" s="3"/>
      <c r="S464" s="1"/>
      <c r="T464" s="1"/>
      <c r="U464" s="1" t="s">
        <v>37</v>
      </c>
      <c r="V464" s="1" t="s">
        <v>37</v>
      </c>
      <c r="W464" s="1" t="s">
        <v>37</v>
      </c>
    </row>
    <row r="465" spans="1:23">
      <c r="A465" s="3" t="s">
        <v>2769</v>
      </c>
      <c r="B465" s="3" t="s">
        <v>39</v>
      </c>
      <c r="C465" s="3" t="s">
        <v>40</v>
      </c>
      <c r="D465" s="3" t="s">
        <v>24</v>
      </c>
      <c r="E465" s="3" t="s">
        <v>25</v>
      </c>
      <c r="F465" s="3" t="s">
        <v>117</v>
      </c>
      <c r="G465" s="2">
        <v>22.62</v>
      </c>
      <c r="H465" s="2">
        <v>1</v>
      </c>
      <c r="I465" s="2">
        <v>1.131</v>
      </c>
      <c r="J465" s="2">
        <v>23.751000000000001</v>
      </c>
      <c r="K465" s="5">
        <v>43541</v>
      </c>
      <c r="L465" s="4">
        <v>0.79027777777777775</v>
      </c>
      <c r="M465" s="3" t="s">
        <v>49</v>
      </c>
      <c r="N465" s="2">
        <v>22.62</v>
      </c>
      <c r="O465" s="2">
        <v>4.7619047620000003</v>
      </c>
      <c r="P465" s="2">
        <v>1.131</v>
      </c>
      <c r="Q465" s="2">
        <v>6.4</v>
      </c>
      <c r="R465" s="3"/>
      <c r="S465" s="1"/>
      <c r="T465" s="1"/>
      <c r="U465" s="1" t="s">
        <v>37</v>
      </c>
      <c r="V465" s="1" t="s">
        <v>37</v>
      </c>
      <c r="W465" s="1" t="s">
        <v>37</v>
      </c>
    </row>
    <row r="466" spans="1:23">
      <c r="A466" s="3" t="s">
        <v>2773</v>
      </c>
      <c r="B466" s="3" t="s">
        <v>22</v>
      </c>
      <c r="C466" s="3" t="s">
        <v>23</v>
      </c>
      <c r="D466" s="3" t="s">
        <v>24</v>
      </c>
      <c r="E466" s="3" t="s">
        <v>992</v>
      </c>
      <c r="F466" s="3" t="s">
        <v>117</v>
      </c>
      <c r="G466" s="2">
        <v>51.34</v>
      </c>
      <c r="H466" s="2">
        <v>5</v>
      </c>
      <c r="I466" s="2">
        <v>12.835000000000001</v>
      </c>
      <c r="J466" s="2">
        <v>269.53500000000003</v>
      </c>
      <c r="K466" s="5">
        <v>43552</v>
      </c>
      <c r="L466" s="4">
        <v>0.64652777777777781</v>
      </c>
      <c r="M466" s="3" t="s">
        <v>59</v>
      </c>
      <c r="N466" s="2">
        <v>256.7</v>
      </c>
      <c r="O466" s="2">
        <v>4.7619047620000003</v>
      </c>
      <c r="P466" s="2">
        <v>12.835000000000001</v>
      </c>
      <c r="Q466" s="2">
        <v>9.1</v>
      </c>
      <c r="R466" s="3"/>
      <c r="S466" s="1"/>
      <c r="T466" s="1"/>
      <c r="U466" s="1" t="s">
        <v>37</v>
      </c>
      <c r="V466" s="1" t="s">
        <v>37</v>
      </c>
      <c r="W466" s="1" t="s">
        <v>37</v>
      </c>
    </row>
    <row r="467" spans="1:23">
      <c r="A467" s="3" t="s">
        <v>2778</v>
      </c>
      <c r="B467" s="3" t="s">
        <v>39</v>
      </c>
      <c r="C467" s="3" t="s">
        <v>40</v>
      </c>
      <c r="D467" s="3" t="s">
        <v>24</v>
      </c>
      <c r="E467" s="3" t="s">
        <v>25</v>
      </c>
      <c r="F467" s="3" t="s">
        <v>72</v>
      </c>
      <c r="G467" s="2">
        <v>54.55</v>
      </c>
      <c r="H467" s="2">
        <v>10</v>
      </c>
      <c r="I467" s="2">
        <v>27.274999999999999</v>
      </c>
      <c r="J467" s="2">
        <v>572.77499999999998</v>
      </c>
      <c r="K467" s="5">
        <v>43526</v>
      </c>
      <c r="L467" s="4">
        <v>0.47361111111111109</v>
      </c>
      <c r="M467" s="3" t="s">
        <v>59</v>
      </c>
      <c r="N467" s="2">
        <v>545.5</v>
      </c>
      <c r="O467" s="2">
        <v>4.7619047620000003</v>
      </c>
      <c r="P467" s="2">
        <v>27.274999999999999</v>
      </c>
      <c r="Q467" s="2">
        <v>7.1</v>
      </c>
      <c r="R467" s="3"/>
      <c r="S467" s="1"/>
      <c r="T467" s="1"/>
      <c r="U467" s="1" t="s">
        <v>37</v>
      </c>
      <c r="V467" s="1" t="s">
        <v>37</v>
      </c>
      <c r="W467" s="1" t="s">
        <v>37</v>
      </c>
    </row>
    <row r="468" spans="1:23">
      <c r="A468" s="3" t="s">
        <v>2783</v>
      </c>
      <c r="B468" s="3" t="s">
        <v>39</v>
      </c>
      <c r="C468" s="3" t="s">
        <v>40</v>
      </c>
      <c r="D468" s="3" t="s">
        <v>24</v>
      </c>
      <c r="E468" s="3" t="s">
        <v>25</v>
      </c>
      <c r="F468" s="3" t="s">
        <v>26</v>
      </c>
      <c r="G468" s="2">
        <v>37.15</v>
      </c>
      <c r="H468" s="2">
        <v>7</v>
      </c>
      <c r="I468" s="2">
        <v>13.0025</v>
      </c>
      <c r="J468" s="2">
        <v>273.05250000000001</v>
      </c>
      <c r="K468" s="5">
        <v>43504</v>
      </c>
      <c r="L468" s="4">
        <v>0.55000000000000004</v>
      </c>
      <c r="M468" s="3" t="s">
        <v>59</v>
      </c>
      <c r="N468" s="2">
        <v>260.05</v>
      </c>
      <c r="O468" s="2">
        <v>4.7619047620000003</v>
      </c>
      <c r="P468" s="2">
        <v>13.0025</v>
      </c>
      <c r="Q468" s="2">
        <v>7.7</v>
      </c>
      <c r="R468" s="3"/>
      <c r="S468" s="1"/>
      <c r="T468" s="1"/>
      <c r="U468" s="1" t="s">
        <v>37</v>
      </c>
      <c r="V468" s="1" t="s">
        <v>37</v>
      </c>
      <c r="W468" s="1" t="s">
        <v>37</v>
      </c>
    </row>
    <row r="469" spans="1:23">
      <c r="A469" s="3" t="s">
        <v>2788</v>
      </c>
      <c r="B469" s="3" t="s">
        <v>115</v>
      </c>
      <c r="C469" s="3" t="s">
        <v>116</v>
      </c>
      <c r="D469" s="3" t="s">
        <v>41</v>
      </c>
      <c r="E469" s="3" t="s">
        <v>992</v>
      </c>
      <c r="F469" s="3" t="s">
        <v>72</v>
      </c>
      <c r="G469" s="2">
        <v>37.020000000000003</v>
      </c>
      <c r="H469" s="2">
        <v>6</v>
      </c>
      <c r="I469" s="2">
        <v>11.106</v>
      </c>
      <c r="J469" s="2">
        <v>233.226</v>
      </c>
      <c r="K469" s="5">
        <v>43546</v>
      </c>
      <c r="L469" s="4">
        <v>0.7729166666666667</v>
      </c>
      <c r="M469" s="3" t="s">
        <v>49</v>
      </c>
      <c r="N469" s="2">
        <v>222.12</v>
      </c>
      <c r="O469" s="2">
        <v>4.7619047620000003</v>
      </c>
      <c r="P469" s="2">
        <v>11.106</v>
      </c>
      <c r="Q469" s="2">
        <v>4.5</v>
      </c>
      <c r="R469" s="3"/>
      <c r="S469" s="1"/>
      <c r="T469" s="1"/>
      <c r="U469" s="1" t="s">
        <v>37</v>
      </c>
      <c r="V469" s="1" t="s">
        <v>37</v>
      </c>
      <c r="W469" s="1" t="s">
        <v>37</v>
      </c>
    </row>
    <row r="470" spans="1:23">
      <c r="A470" s="3" t="s">
        <v>2794</v>
      </c>
      <c r="B470" s="3" t="s">
        <v>39</v>
      </c>
      <c r="C470" s="3" t="s">
        <v>40</v>
      </c>
      <c r="D470" s="3" t="s">
        <v>41</v>
      </c>
      <c r="E470" s="3" t="s">
        <v>992</v>
      </c>
      <c r="F470" s="3" t="s">
        <v>117</v>
      </c>
      <c r="G470" s="2">
        <v>21.58</v>
      </c>
      <c r="H470" s="2">
        <v>1</v>
      </c>
      <c r="I470" s="2">
        <v>1.079</v>
      </c>
      <c r="J470" s="2">
        <v>22.658999999999999</v>
      </c>
      <c r="K470" s="5">
        <v>43505</v>
      </c>
      <c r="L470" s="4">
        <v>0.41805555555555557</v>
      </c>
      <c r="M470" s="3" t="s">
        <v>33</v>
      </c>
      <c r="N470" s="2">
        <v>21.58</v>
      </c>
      <c r="O470" s="2">
        <v>4.7619047620000003</v>
      </c>
      <c r="P470" s="2">
        <v>1.079</v>
      </c>
      <c r="Q470" s="2">
        <v>7.2</v>
      </c>
      <c r="R470" s="3"/>
      <c r="S470" s="1"/>
      <c r="T470" s="1"/>
      <c r="U470" s="1" t="s">
        <v>37</v>
      </c>
      <c r="V470" s="1" t="s">
        <v>37</v>
      </c>
      <c r="W470" s="1" t="s">
        <v>37</v>
      </c>
    </row>
    <row r="471" spans="1:23">
      <c r="A471" s="3" t="s">
        <v>2798</v>
      </c>
      <c r="B471" s="3" t="s">
        <v>39</v>
      </c>
      <c r="C471" s="3" t="s">
        <v>40</v>
      </c>
      <c r="D471" s="3" t="s">
        <v>24</v>
      </c>
      <c r="E471" s="3" t="s">
        <v>25</v>
      </c>
      <c r="F471" s="3" t="s">
        <v>42</v>
      </c>
      <c r="G471" s="2">
        <v>98.84</v>
      </c>
      <c r="H471" s="2">
        <v>1</v>
      </c>
      <c r="I471" s="2">
        <v>4.9420000000000002</v>
      </c>
      <c r="J471" s="2">
        <v>103.782</v>
      </c>
      <c r="K471" s="5">
        <v>43511</v>
      </c>
      <c r="L471" s="4">
        <v>0.47291666666666665</v>
      </c>
      <c r="M471" s="3" t="s">
        <v>49</v>
      </c>
      <c r="N471" s="2">
        <v>98.84</v>
      </c>
      <c r="O471" s="2">
        <v>4.7619047620000003</v>
      </c>
      <c r="P471" s="2">
        <v>4.9420000000000002</v>
      </c>
      <c r="Q471" s="2">
        <v>8.4</v>
      </c>
      <c r="R471" s="3"/>
      <c r="S471" s="1"/>
      <c r="T471" s="1"/>
      <c r="U471" s="1" t="s">
        <v>37</v>
      </c>
      <c r="V471" s="1" t="s">
        <v>37</v>
      </c>
      <c r="W471" s="1" t="s">
        <v>37</v>
      </c>
    </row>
    <row r="472" spans="1:23">
      <c r="A472" s="3" t="s">
        <v>2802</v>
      </c>
      <c r="B472" s="3" t="s">
        <v>39</v>
      </c>
      <c r="C472" s="3" t="s">
        <v>40</v>
      </c>
      <c r="D472" s="3" t="s">
        <v>24</v>
      </c>
      <c r="E472" s="3" t="s">
        <v>25</v>
      </c>
      <c r="F472" s="3" t="s">
        <v>53</v>
      </c>
      <c r="G472" s="2">
        <v>83.77</v>
      </c>
      <c r="H472" s="2">
        <v>6</v>
      </c>
      <c r="I472" s="2">
        <v>25.131</v>
      </c>
      <c r="J472" s="2">
        <v>527.75099999999998</v>
      </c>
      <c r="K472" s="5">
        <v>43488</v>
      </c>
      <c r="L472" s="4">
        <v>0.50694444444444442</v>
      </c>
      <c r="M472" s="3" t="s">
        <v>33</v>
      </c>
      <c r="N472" s="2">
        <v>502.62</v>
      </c>
      <c r="O472" s="2">
        <v>4.7619047620000003</v>
      </c>
      <c r="P472" s="2">
        <v>25.131</v>
      </c>
      <c r="Q472" s="2">
        <v>5.4</v>
      </c>
      <c r="R472" s="3"/>
      <c r="S472" s="1"/>
      <c r="T472" s="1"/>
      <c r="U472" s="1" t="s">
        <v>37</v>
      </c>
      <c r="V472" s="1" t="s">
        <v>37</v>
      </c>
      <c r="W472" s="1" t="s">
        <v>37</v>
      </c>
    </row>
    <row r="473" spans="1:23">
      <c r="A473" s="3" t="s">
        <v>2808</v>
      </c>
      <c r="B473" s="3" t="s">
        <v>22</v>
      </c>
      <c r="C473" s="3" t="s">
        <v>23</v>
      </c>
      <c r="D473" s="3" t="s">
        <v>24</v>
      </c>
      <c r="E473" s="3" t="s">
        <v>25</v>
      </c>
      <c r="F473" s="3" t="s">
        <v>72</v>
      </c>
      <c r="G473" s="2">
        <v>40.049999999999997</v>
      </c>
      <c r="H473" s="2">
        <v>4</v>
      </c>
      <c r="I473" s="2">
        <v>8.01</v>
      </c>
      <c r="J473" s="2">
        <v>168.21</v>
      </c>
      <c r="K473" s="5">
        <v>43490</v>
      </c>
      <c r="L473" s="4">
        <v>0.4861111111111111</v>
      </c>
      <c r="M473" s="3" t="s">
        <v>49</v>
      </c>
      <c r="N473" s="2">
        <v>160.19999999999999</v>
      </c>
      <c r="O473" s="2">
        <v>4.7619047620000003</v>
      </c>
      <c r="P473" s="2">
        <v>8.01</v>
      </c>
      <c r="Q473" s="2">
        <v>9.6999999999999993</v>
      </c>
      <c r="R473" s="3"/>
      <c r="S473" s="1"/>
      <c r="T473" s="1"/>
      <c r="U473" s="1" t="s">
        <v>37</v>
      </c>
      <c r="V473" s="1" t="s">
        <v>37</v>
      </c>
      <c r="W473" s="1" t="s">
        <v>37</v>
      </c>
    </row>
    <row r="474" spans="1:23">
      <c r="A474" s="3" t="s">
        <v>2814</v>
      </c>
      <c r="B474" s="3" t="s">
        <v>22</v>
      </c>
      <c r="C474" s="3" t="s">
        <v>23</v>
      </c>
      <c r="D474" s="3" t="s">
        <v>24</v>
      </c>
      <c r="E474" s="3" t="s">
        <v>992</v>
      </c>
      <c r="F474" s="3" t="s">
        <v>127</v>
      </c>
      <c r="G474" s="2">
        <v>43.13</v>
      </c>
      <c r="H474" s="2">
        <v>10</v>
      </c>
      <c r="I474" s="2">
        <v>21.565000000000001</v>
      </c>
      <c r="J474" s="2">
        <v>452.86500000000001</v>
      </c>
      <c r="K474" s="5">
        <v>43498</v>
      </c>
      <c r="L474" s="4">
        <v>0.77152777777777781</v>
      </c>
      <c r="M474" s="3" t="s">
        <v>59</v>
      </c>
      <c r="N474" s="2">
        <v>431.3</v>
      </c>
      <c r="O474" s="2">
        <v>4.7619047620000003</v>
      </c>
      <c r="P474" s="2">
        <v>21.565000000000001</v>
      </c>
      <c r="Q474" s="2">
        <v>5.5</v>
      </c>
      <c r="R474" s="3"/>
      <c r="S474" s="1"/>
      <c r="T474" s="1"/>
      <c r="U474" s="1" t="s">
        <v>37</v>
      </c>
      <c r="V474" s="1" t="s">
        <v>37</v>
      </c>
      <c r="W474" s="1" t="s">
        <v>37</v>
      </c>
    </row>
    <row r="475" spans="1:23">
      <c r="A475" s="3" t="s">
        <v>2819</v>
      </c>
      <c r="B475" s="3" t="s">
        <v>115</v>
      </c>
      <c r="C475" s="3" t="s">
        <v>116</v>
      </c>
      <c r="D475" s="3" t="s">
        <v>24</v>
      </c>
      <c r="E475" s="3" t="s">
        <v>992</v>
      </c>
      <c r="F475" s="3" t="s">
        <v>26</v>
      </c>
      <c r="G475" s="2">
        <v>72.569999999999993</v>
      </c>
      <c r="H475" s="2">
        <v>8</v>
      </c>
      <c r="I475" s="2">
        <v>29.027999999999999</v>
      </c>
      <c r="J475" s="2">
        <v>609.58799999999997</v>
      </c>
      <c r="K475" s="5">
        <v>43554</v>
      </c>
      <c r="L475" s="4">
        <v>0.74861111111111112</v>
      </c>
      <c r="M475" s="3" t="s">
        <v>49</v>
      </c>
      <c r="N475" s="2">
        <v>580.55999999999995</v>
      </c>
      <c r="O475" s="2">
        <v>4.7619047620000003</v>
      </c>
      <c r="P475" s="2">
        <v>29.027999999999999</v>
      </c>
      <c r="Q475" s="2">
        <v>4.5999999999999996</v>
      </c>
      <c r="R475" s="3"/>
      <c r="S475" s="1"/>
      <c r="T475" s="1"/>
      <c r="U475" s="1" t="s">
        <v>37</v>
      </c>
      <c r="V475" s="1" t="s">
        <v>37</v>
      </c>
      <c r="W475" s="1" t="s">
        <v>37</v>
      </c>
    </row>
    <row r="476" spans="1:23">
      <c r="A476" s="3" t="s">
        <v>2824</v>
      </c>
      <c r="B476" s="3" t="s">
        <v>22</v>
      </c>
      <c r="C476" s="3" t="s">
        <v>23</v>
      </c>
      <c r="D476" s="3" t="s">
        <v>24</v>
      </c>
      <c r="E476" s="3" t="s">
        <v>25</v>
      </c>
      <c r="F476" s="3" t="s">
        <v>42</v>
      </c>
      <c r="G476" s="2">
        <v>64.44</v>
      </c>
      <c r="H476" s="2">
        <v>5</v>
      </c>
      <c r="I476" s="2">
        <v>16.11</v>
      </c>
      <c r="J476" s="2">
        <v>338.31</v>
      </c>
      <c r="K476" s="5">
        <v>43554</v>
      </c>
      <c r="L476" s="4">
        <v>0.71111111111111114</v>
      </c>
      <c r="M476" s="3" t="s">
        <v>49</v>
      </c>
      <c r="N476" s="2">
        <v>322.2</v>
      </c>
      <c r="O476" s="2">
        <v>4.7619047620000003</v>
      </c>
      <c r="P476" s="2">
        <v>16.11</v>
      </c>
      <c r="Q476" s="2">
        <v>6.6</v>
      </c>
      <c r="R476" s="3"/>
      <c r="S476" s="1"/>
      <c r="T476" s="1"/>
      <c r="U476" s="1" t="s">
        <v>37</v>
      </c>
      <c r="V476" s="1" t="s">
        <v>37</v>
      </c>
      <c r="W476" s="1" t="s">
        <v>37</v>
      </c>
    </row>
    <row r="477" spans="1:23">
      <c r="A477" s="3" t="s">
        <v>2829</v>
      </c>
      <c r="B477" s="3" t="s">
        <v>22</v>
      </c>
      <c r="C477" s="3" t="s">
        <v>23</v>
      </c>
      <c r="D477" s="3" t="s">
        <v>41</v>
      </c>
      <c r="E477" s="3" t="s">
        <v>992</v>
      </c>
      <c r="F477" s="3" t="s">
        <v>26</v>
      </c>
      <c r="G477" s="2">
        <v>65.180000000000007</v>
      </c>
      <c r="H477" s="2">
        <v>3</v>
      </c>
      <c r="I477" s="2">
        <v>9.7769999999999992</v>
      </c>
      <c r="J477" s="2">
        <v>205.31700000000001</v>
      </c>
      <c r="K477" s="5">
        <v>43521</v>
      </c>
      <c r="L477" s="4">
        <v>0.85763888888888884</v>
      </c>
      <c r="M477" s="3" t="s">
        <v>59</v>
      </c>
      <c r="N477" s="2">
        <v>195.54</v>
      </c>
      <c r="O477" s="2">
        <v>4.7619047620000003</v>
      </c>
      <c r="P477" s="2">
        <v>9.7769999999999992</v>
      </c>
      <c r="Q477" s="2">
        <v>6.3</v>
      </c>
      <c r="R477" s="3"/>
      <c r="S477" s="1"/>
      <c r="T477" s="1"/>
      <c r="U477" s="1" t="s">
        <v>37</v>
      </c>
      <c r="V477" s="1" t="s">
        <v>37</v>
      </c>
      <c r="W477" s="1" t="s">
        <v>37</v>
      </c>
    </row>
    <row r="478" spans="1:23">
      <c r="A478" s="3" t="s">
        <v>2834</v>
      </c>
      <c r="B478" s="3" t="s">
        <v>22</v>
      </c>
      <c r="C478" s="3" t="s">
        <v>23</v>
      </c>
      <c r="D478" s="3" t="s">
        <v>41</v>
      </c>
      <c r="E478" s="3" t="s">
        <v>25</v>
      </c>
      <c r="F478" s="3" t="s">
        <v>72</v>
      </c>
      <c r="G478" s="2">
        <v>33.26</v>
      </c>
      <c r="H478" s="2">
        <v>5</v>
      </c>
      <c r="I478" s="2">
        <v>8.3149999999999995</v>
      </c>
      <c r="J478" s="2">
        <v>174.61500000000001</v>
      </c>
      <c r="K478" s="5">
        <v>43542</v>
      </c>
      <c r="L478" s="4">
        <v>0.67361111111111116</v>
      </c>
      <c r="M478" s="3" t="s">
        <v>59</v>
      </c>
      <c r="N478" s="2">
        <v>166.3</v>
      </c>
      <c r="O478" s="2">
        <v>4.7619047620000003</v>
      </c>
      <c r="P478" s="2">
        <v>8.3149999999999995</v>
      </c>
      <c r="Q478" s="2">
        <v>4.2</v>
      </c>
      <c r="R478" s="3"/>
      <c r="S478" s="1"/>
      <c r="T478" s="1"/>
      <c r="U478" s="1" t="s">
        <v>37</v>
      </c>
      <c r="V478" s="1" t="s">
        <v>37</v>
      </c>
      <c r="W478" s="1" t="s">
        <v>37</v>
      </c>
    </row>
    <row r="479" spans="1:23">
      <c r="A479" s="3" t="s">
        <v>2839</v>
      </c>
      <c r="B479" s="3" t="s">
        <v>39</v>
      </c>
      <c r="C479" s="3" t="s">
        <v>40</v>
      </c>
      <c r="D479" s="3" t="s">
        <v>41</v>
      </c>
      <c r="E479" s="3" t="s">
        <v>992</v>
      </c>
      <c r="F479" s="3" t="s">
        <v>42</v>
      </c>
      <c r="G479" s="2">
        <v>84.07</v>
      </c>
      <c r="H479" s="2">
        <v>4</v>
      </c>
      <c r="I479" s="2">
        <v>16.814</v>
      </c>
      <c r="J479" s="2">
        <v>353.09399999999999</v>
      </c>
      <c r="K479" s="5">
        <v>43531</v>
      </c>
      <c r="L479" s="4">
        <v>0.70416666666666672</v>
      </c>
      <c r="M479" s="3" t="s">
        <v>33</v>
      </c>
      <c r="N479" s="2">
        <v>336.28</v>
      </c>
      <c r="O479" s="2">
        <v>4.7619047620000003</v>
      </c>
      <c r="P479" s="2">
        <v>16.814</v>
      </c>
      <c r="Q479" s="2">
        <v>4.4000000000000004</v>
      </c>
      <c r="R479" s="3"/>
      <c r="S479" s="1"/>
      <c r="T479" s="1"/>
      <c r="U479" s="1" t="s">
        <v>37</v>
      </c>
      <c r="V479" s="1" t="s">
        <v>37</v>
      </c>
      <c r="W479" s="1" t="s">
        <v>37</v>
      </c>
    </row>
    <row r="480" spans="1:23">
      <c r="A480" s="3" t="s">
        <v>2845</v>
      </c>
      <c r="B480" s="3" t="s">
        <v>115</v>
      </c>
      <c r="C480" s="3" t="s">
        <v>116</v>
      </c>
      <c r="D480" s="3" t="s">
        <v>41</v>
      </c>
      <c r="E480" s="3" t="s">
        <v>992</v>
      </c>
      <c r="F480" s="3" t="s">
        <v>72</v>
      </c>
      <c r="G480" s="2">
        <v>34.369999999999997</v>
      </c>
      <c r="H480" s="2">
        <v>10</v>
      </c>
      <c r="I480" s="2">
        <v>17.184999999999999</v>
      </c>
      <c r="J480" s="2">
        <v>360.88499999999999</v>
      </c>
      <c r="K480" s="5">
        <v>43540</v>
      </c>
      <c r="L480" s="4">
        <v>0.42430555555555555</v>
      </c>
      <c r="M480" s="3" t="s">
        <v>33</v>
      </c>
      <c r="N480" s="2">
        <v>343.7</v>
      </c>
      <c r="O480" s="2">
        <v>4.7619047620000003</v>
      </c>
      <c r="P480" s="2">
        <v>17.184999999999999</v>
      </c>
      <c r="Q480" s="2">
        <v>6.7</v>
      </c>
      <c r="R480" s="3"/>
      <c r="S480" s="1"/>
      <c r="T480" s="1"/>
      <c r="U480" s="1" t="s">
        <v>37</v>
      </c>
      <c r="V480" s="1" t="s">
        <v>37</v>
      </c>
      <c r="W480" s="1" t="s">
        <v>37</v>
      </c>
    </row>
    <row r="481" spans="1:23">
      <c r="A481" s="3" t="s">
        <v>2850</v>
      </c>
      <c r="B481" s="3" t="s">
        <v>22</v>
      </c>
      <c r="C481" s="3" t="s">
        <v>23</v>
      </c>
      <c r="D481" s="3" t="s">
        <v>41</v>
      </c>
      <c r="E481" s="3" t="s">
        <v>992</v>
      </c>
      <c r="F481" s="3" t="s">
        <v>42</v>
      </c>
      <c r="G481" s="2">
        <v>38.6</v>
      </c>
      <c r="H481" s="2">
        <v>1</v>
      </c>
      <c r="I481" s="2">
        <v>1.93</v>
      </c>
      <c r="J481" s="2">
        <v>40.53</v>
      </c>
      <c r="K481" s="5">
        <v>43494</v>
      </c>
      <c r="L481" s="4">
        <v>0.47638888888888886</v>
      </c>
      <c r="M481" s="3" t="s">
        <v>33</v>
      </c>
      <c r="N481" s="2">
        <v>38.6</v>
      </c>
      <c r="O481" s="2">
        <v>4.7619047620000003</v>
      </c>
      <c r="P481" s="2">
        <v>1.93</v>
      </c>
      <c r="Q481" s="2">
        <v>6.7</v>
      </c>
      <c r="R481" s="3"/>
      <c r="S481" s="1"/>
      <c r="T481" s="1"/>
      <c r="U481" s="1" t="s">
        <v>37</v>
      </c>
      <c r="V481" s="1" t="s">
        <v>37</v>
      </c>
      <c r="W481" s="1" t="s">
        <v>37</v>
      </c>
    </row>
    <row r="482" spans="1:23">
      <c r="A482" s="3" t="s">
        <v>2853</v>
      </c>
      <c r="B482" s="3" t="s">
        <v>39</v>
      </c>
      <c r="C482" s="3" t="s">
        <v>40</v>
      </c>
      <c r="D482" s="3" t="s">
        <v>41</v>
      </c>
      <c r="E482" s="3" t="s">
        <v>992</v>
      </c>
      <c r="F482" s="3" t="s">
        <v>117</v>
      </c>
      <c r="G482" s="2">
        <v>65.97</v>
      </c>
      <c r="H482" s="2">
        <v>8</v>
      </c>
      <c r="I482" s="2">
        <v>26.388000000000002</v>
      </c>
      <c r="J482" s="2">
        <v>554.14800000000002</v>
      </c>
      <c r="K482" s="5">
        <v>43498</v>
      </c>
      <c r="L482" s="4">
        <v>0.85347222222222219</v>
      </c>
      <c r="M482" s="3" t="s">
        <v>49</v>
      </c>
      <c r="N482" s="2">
        <v>527.76</v>
      </c>
      <c r="O482" s="2">
        <v>4.7619047620000003</v>
      </c>
      <c r="P482" s="2">
        <v>26.388000000000002</v>
      </c>
      <c r="Q482" s="2">
        <v>8.4</v>
      </c>
      <c r="R482" s="3"/>
      <c r="S482" s="1"/>
      <c r="T482" s="1"/>
      <c r="U482" s="1" t="s">
        <v>37</v>
      </c>
      <c r="V482" s="1" t="s">
        <v>37</v>
      </c>
      <c r="W482" s="1" t="s">
        <v>37</v>
      </c>
    </row>
    <row r="483" spans="1:23">
      <c r="A483" s="3" t="s">
        <v>2858</v>
      </c>
      <c r="B483" s="3" t="s">
        <v>39</v>
      </c>
      <c r="C483" s="3" t="s">
        <v>40</v>
      </c>
      <c r="D483" s="3" t="s">
        <v>41</v>
      </c>
      <c r="E483" s="3" t="s">
        <v>25</v>
      </c>
      <c r="F483" s="3" t="s">
        <v>42</v>
      </c>
      <c r="G483" s="2">
        <v>32.799999999999997</v>
      </c>
      <c r="H483" s="2">
        <v>10</v>
      </c>
      <c r="I483" s="2">
        <v>16.399999999999999</v>
      </c>
      <c r="J483" s="2">
        <v>344.4</v>
      </c>
      <c r="K483" s="5">
        <v>43511</v>
      </c>
      <c r="L483" s="4">
        <v>0.5083333333333333</v>
      </c>
      <c r="M483" s="3" t="s">
        <v>49</v>
      </c>
      <c r="N483" s="2">
        <v>328</v>
      </c>
      <c r="O483" s="2">
        <v>4.7619047620000003</v>
      </c>
      <c r="P483" s="2">
        <v>16.399999999999999</v>
      </c>
      <c r="Q483" s="2">
        <v>6.2</v>
      </c>
      <c r="R483" s="3"/>
      <c r="S483" s="1"/>
      <c r="T483" s="1"/>
      <c r="U483" s="1" t="s">
        <v>37</v>
      </c>
      <c r="V483" s="1" t="s">
        <v>37</v>
      </c>
      <c r="W483" s="1" t="s">
        <v>37</v>
      </c>
    </row>
    <row r="484" spans="1:23">
      <c r="A484" s="3" t="s">
        <v>2863</v>
      </c>
      <c r="B484" s="3" t="s">
        <v>22</v>
      </c>
      <c r="C484" s="3" t="s">
        <v>23</v>
      </c>
      <c r="D484" s="3" t="s">
        <v>41</v>
      </c>
      <c r="E484" s="3" t="s">
        <v>992</v>
      </c>
      <c r="F484" s="3" t="s">
        <v>72</v>
      </c>
      <c r="G484" s="2">
        <v>37.14</v>
      </c>
      <c r="H484" s="2">
        <v>5</v>
      </c>
      <c r="I484" s="2">
        <v>9.2850000000000001</v>
      </c>
      <c r="J484" s="2">
        <v>194.98500000000001</v>
      </c>
      <c r="K484" s="5">
        <v>43473</v>
      </c>
      <c r="L484" s="4">
        <v>0.54513888888888884</v>
      </c>
      <c r="M484" s="3" t="s">
        <v>33</v>
      </c>
      <c r="N484" s="2">
        <v>185.7</v>
      </c>
      <c r="O484" s="2">
        <v>4.7619047620000003</v>
      </c>
      <c r="P484" s="2">
        <v>9.2850000000000001</v>
      </c>
      <c r="Q484" s="2">
        <v>5</v>
      </c>
      <c r="R484" s="3"/>
      <c r="S484" s="1"/>
      <c r="T484" s="1"/>
      <c r="U484" s="1" t="s">
        <v>37</v>
      </c>
      <c r="V484" s="1" t="s">
        <v>37</v>
      </c>
      <c r="W484" s="1" t="s">
        <v>37</v>
      </c>
    </row>
    <row r="485" spans="1:23">
      <c r="A485" s="3" t="s">
        <v>2868</v>
      </c>
      <c r="B485" s="3" t="s">
        <v>115</v>
      </c>
      <c r="C485" s="3" t="s">
        <v>116</v>
      </c>
      <c r="D485" s="3" t="s">
        <v>24</v>
      </c>
      <c r="E485" s="3" t="s">
        <v>992</v>
      </c>
      <c r="F485" s="3" t="s">
        <v>53</v>
      </c>
      <c r="G485" s="2">
        <v>60.38</v>
      </c>
      <c r="H485" s="2">
        <v>10</v>
      </c>
      <c r="I485" s="2">
        <v>30.19</v>
      </c>
      <c r="J485" s="2">
        <v>633.99</v>
      </c>
      <c r="K485" s="5">
        <v>43508</v>
      </c>
      <c r="L485" s="4">
        <v>0.67986111111111114</v>
      </c>
      <c r="M485" s="3" t="s">
        <v>49</v>
      </c>
      <c r="N485" s="2">
        <v>603.79999999999995</v>
      </c>
      <c r="O485" s="2">
        <v>4.7619047620000003</v>
      </c>
      <c r="P485" s="2">
        <v>30.19</v>
      </c>
      <c r="Q485" s="2">
        <v>6</v>
      </c>
      <c r="R485" s="3"/>
      <c r="S485" s="1"/>
      <c r="T485" s="1"/>
      <c r="U485" s="1" t="s">
        <v>37</v>
      </c>
      <c r="V485" s="1" t="s">
        <v>37</v>
      </c>
      <c r="W485" s="1" t="s">
        <v>37</v>
      </c>
    </row>
    <row r="486" spans="1:23">
      <c r="A486" s="3" t="s">
        <v>2873</v>
      </c>
      <c r="B486" s="3" t="s">
        <v>39</v>
      </c>
      <c r="C486" s="3" t="s">
        <v>40</v>
      </c>
      <c r="D486" s="3" t="s">
        <v>24</v>
      </c>
      <c r="E486" s="3" t="s">
        <v>25</v>
      </c>
      <c r="F486" s="3" t="s">
        <v>72</v>
      </c>
      <c r="G486" s="2">
        <v>36.979999999999997</v>
      </c>
      <c r="H486" s="2">
        <v>10</v>
      </c>
      <c r="I486" s="2">
        <v>18.489999999999998</v>
      </c>
      <c r="J486" s="2">
        <v>388.29</v>
      </c>
      <c r="K486" s="5">
        <v>43466</v>
      </c>
      <c r="L486" s="4">
        <v>0.82499999999999996</v>
      </c>
      <c r="M486" s="3" t="s">
        <v>59</v>
      </c>
      <c r="N486" s="2">
        <v>369.8</v>
      </c>
      <c r="O486" s="2">
        <v>4.7619047620000003</v>
      </c>
      <c r="P486" s="2">
        <v>18.489999999999998</v>
      </c>
      <c r="Q486" s="2">
        <v>7</v>
      </c>
      <c r="R486" s="3"/>
      <c r="S486" s="1"/>
      <c r="T486" s="1"/>
      <c r="U486" s="1" t="s">
        <v>37</v>
      </c>
      <c r="V486" s="1" t="s">
        <v>37</v>
      </c>
      <c r="W486" s="1" t="s">
        <v>37</v>
      </c>
    </row>
    <row r="487" spans="1:23">
      <c r="A487" s="3" t="s">
        <v>2878</v>
      </c>
      <c r="B487" s="3" t="s">
        <v>115</v>
      </c>
      <c r="C487" s="3" t="s">
        <v>116</v>
      </c>
      <c r="D487" s="3" t="s">
        <v>24</v>
      </c>
      <c r="E487" s="3" t="s">
        <v>25</v>
      </c>
      <c r="F487" s="3" t="s">
        <v>72</v>
      </c>
      <c r="G487" s="2">
        <v>49.49</v>
      </c>
      <c r="H487" s="2">
        <v>4</v>
      </c>
      <c r="I487" s="2">
        <v>9.8979999999999997</v>
      </c>
      <c r="J487" s="2">
        <v>207.858</v>
      </c>
      <c r="K487" s="5">
        <v>43545</v>
      </c>
      <c r="L487" s="4">
        <v>0.64236111111111116</v>
      </c>
      <c r="M487" s="3" t="s">
        <v>33</v>
      </c>
      <c r="N487" s="2">
        <v>197.96</v>
      </c>
      <c r="O487" s="2">
        <v>4.7619047620000003</v>
      </c>
      <c r="P487" s="2">
        <v>9.8979999999999997</v>
      </c>
      <c r="Q487" s="2">
        <v>6.6</v>
      </c>
      <c r="R487" s="3"/>
      <c r="S487" s="1"/>
      <c r="T487" s="1"/>
      <c r="U487" s="1" t="s">
        <v>37</v>
      </c>
      <c r="V487" s="1" t="s">
        <v>37</v>
      </c>
      <c r="W487" s="1" t="s">
        <v>37</v>
      </c>
    </row>
    <row r="488" spans="1:23">
      <c r="A488" s="3" t="s">
        <v>2883</v>
      </c>
      <c r="B488" s="3" t="s">
        <v>115</v>
      </c>
      <c r="C488" s="3" t="s">
        <v>116</v>
      </c>
      <c r="D488" s="3" t="s">
        <v>41</v>
      </c>
      <c r="E488" s="3" t="s">
        <v>25</v>
      </c>
      <c r="F488" s="3" t="s">
        <v>127</v>
      </c>
      <c r="G488" s="2">
        <v>41.09</v>
      </c>
      <c r="H488" s="2">
        <v>10</v>
      </c>
      <c r="I488" s="2">
        <v>20.545000000000002</v>
      </c>
      <c r="J488" s="2">
        <v>431.44499999999999</v>
      </c>
      <c r="K488" s="5">
        <v>43524</v>
      </c>
      <c r="L488" s="4">
        <v>0.61250000000000004</v>
      </c>
      <c r="M488" s="3" t="s">
        <v>49</v>
      </c>
      <c r="N488" s="2">
        <v>410.9</v>
      </c>
      <c r="O488" s="2">
        <v>4.7619047620000003</v>
      </c>
      <c r="P488" s="2">
        <v>20.545000000000002</v>
      </c>
      <c r="Q488" s="2">
        <v>7.3</v>
      </c>
      <c r="R488" s="3"/>
      <c r="S488" s="1"/>
      <c r="T488" s="1"/>
      <c r="U488" s="1" t="s">
        <v>37</v>
      </c>
      <c r="V488" s="1" t="s">
        <v>37</v>
      </c>
      <c r="W488" s="1" t="s">
        <v>37</v>
      </c>
    </row>
    <row r="489" spans="1:23">
      <c r="A489" s="3" t="s">
        <v>2888</v>
      </c>
      <c r="B489" s="3" t="s">
        <v>22</v>
      </c>
      <c r="C489" s="3" t="s">
        <v>23</v>
      </c>
      <c r="D489" s="3" t="s">
        <v>41</v>
      </c>
      <c r="E489" s="3" t="s">
        <v>992</v>
      </c>
      <c r="F489" s="3" t="s">
        <v>127</v>
      </c>
      <c r="G489" s="2">
        <v>37.15</v>
      </c>
      <c r="H489" s="2">
        <v>4</v>
      </c>
      <c r="I489" s="2">
        <v>7.43</v>
      </c>
      <c r="J489" s="2">
        <v>156.03</v>
      </c>
      <c r="K489" s="5">
        <v>43547</v>
      </c>
      <c r="L489" s="4">
        <v>0.79097222222222219</v>
      </c>
      <c r="M489" s="3" t="s">
        <v>33</v>
      </c>
      <c r="N489" s="2">
        <v>148.6</v>
      </c>
      <c r="O489" s="2">
        <v>4.7619047620000003</v>
      </c>
      <c r="P489" s="2">
        <v>7.43</v>
      </c>
      <c r="Q489" s="2">
        <v>8.3000000000000007</v>
      </c>
      <c r="R489" s="3"/>
      <c r="S489" s="1"/>
      <c r="T489" s="1"/>
      <c r="U489" s="1" t="s">
        <v>37</v>
      </c>
      <c r="V489" s="1" t="s">
        <v>37</v>
      </c>
      <c r="W489" s="1" t="s">
        <v>37</v>
      </c>
    </row>
    <row r="490" spans="1:23">
      <c r="A490" s="3" t="s">
        <v>2892</v>
      </c>
      <c r="B490" s="3" t="s">
        <v>39</v>
      </c>
      <c r="C490" s="3" t="s">
        <v>40</v>
      </c>
      <c r="D490" s="3" t="s">
        <v>41</v>
      </c>
      <c r="E490" s="3" t="s">
        <v>992</v>
      </c>
      <c r="F490" s="3" t="s">
        <v>53</v>
      </c>
      <c r="G490" s="2">
        <v>22.96</v>
      </c>
      <c r="H490" s="2">
        <v>1</v>
      </c>
      <c r="I490" s="2">
        <v>1.1479999999999999</v>
      </c>
      <c r="J490" s="2">
        <v>24.108000000000001</v>
      </c>
      <c r="K490" s="5">
        <v>43495</v>
      </c>
      <c r="L490" s="4">
        <v>0.86597222222222225</v>
      </c>
      <c r="M490" s="3" t="s">
        <v>49</v>
      </c>
      <c r="N490" s="2">
        <v>22.96</v>
      </c>
      <c r="O490" s="2">
        <v>4.7619047620000003</v>
      </c>
      <c r="P490" s="2">
        <v>1.1479999999999999</v>
      </c>
      <c r="Q490" s="2">
        <v>4.3</v>
      </c>
      <c r="R490" s="3"/>
      <c r="S490" s="1"/>
      <c r="T490" s="1"/>
      <c r="U490" s="1" t="s">
        <v>37</v>
      </c>
      <c r="V490" s="1" t="s">
        <v>37</v>
      </c>
      <c r="W490" s="1" t="s">
        <v>37</v>
      </c>
    </row>
    <row r="491" spans="1:23">
      <c r="A491" s="3" t="s">
        <v>2897</v>
      </c>
      <c r="B491" s="3" t="s">
        <v>115</v>
      </c>
      <c r="C491" s="3" t="s">
        <v>116</v>
      </c>
      <c r="D491" s="3" t="s">
        <v>24</v>
      </c>
      <c r="E491" s="3" t="s">
        <v>25</v>
      </c>
      <c r="F491" s="3" t="s">
        <v>53</v>
      </c>
      <c r="G491" s="2">
        <v>77.680000000000007</v>
      </c>
      <c r="H491" s="2">
        <v>9</v>
      </c>
      <c r="I491" s="2">
        <v>34.956000000000003</v>
      </c>
      <c r="J491" s="2">
        <v>734.07600000000002</v>
      </c>
      <c r="K491" s="5">
        <v>43500</v>
      </c>
      <c r="L491" s="4">
        <v>0.55625000000000002</v>
      </c>
      <c r="M491" s="3" t="s">
        <v>33</v>
      </c>
      <c r="N491" s="2">
        <v>699.12</v>
      </c>
      <c r="O491" s="2">
        <v>4.7619047620000003</v>
      </c>
      <c r="P491" s="2">
        <v>34.956000000000003</v>
      </c>
      <c r="Q491" s="2">
        <v>9.8000000000000007</v>
      </c>
      <c r="R491" s="3"/>
      <c r="S491" s="1"/>
      <c r="T491" s="1"/>
      <c r="U491" s="1" t="s">
        <v>37</v>
      </c>
      <c r="V491" s="1" t="s">
        <v>37</v>
      </c>
      <c r="W491" s="1" t="s">
        <v>37</v>
      </c>
    </row>
    <row r="492" spans="1:23">
      <c r="A492" s="3" t="s">
        <v>2902</v>
      </c>
      <c r="B492" s="3" t="s">
        <v>115</v>
      </c>
      <c r="C492" s="3" t="s">
        <v>116</v>
      </c>
      <c r="D492" s="3" t="s">
        <v>41</v>
      </c>
      <c r="E492" s="3" t="s">
        <v>25</v>
      </c>
      <c r="F492" s="3" t="s">
        <v>127</v>
      </c>
      <c r="G492" s="2">
        <v>34.700000000000003</v>
      </c>
      <c r="H492" s="2">
        <v>2</v>
      </c>
      <c r="I492" s="2">
        <v>3.47</v>
      </c>
      <c r="J492" s="2">
        <v>72.87</v>
      </c>
      <c r="K492" s="5">
        <v>43537</v>
      </c>
      <c r="L492" s="4">
        <v>0.82499999999999996</v>
      </c>
      <c r="M492" s="3" t="s">
        <v>33</v>
      </c>
      <c r="N492" s="2">
        <v>69.400000000000006</v>
      </c>
      <c r="O492" s="2">
        <v>4.7619047620000003</v>
      </c>
      <c r="P492" s="2">
        <v>3.47</v>
      </c>
      <c r="Q492" s="2">
        <v>8.1999999999999993</v>
      </c>
      <c r="R492" s="3"/>
      <c r="S492" s="1"/>
      <c r="T492" s="1"/>
      <c r="U492" s="1" t="s">
        <v>37</v>
      </c>
      <c r="V492" s="1" t="s">
        <v>37</v>
      </c>
      <c r="W492" s="1" t="s">
        <v>37</v>
      </c>
    </row>
    <row r="493" spans="1:23">
      <c r="A493" s="3" t="s">
        <v>2907</v>
      </c>
      <c r="B493" s="3" t="s">
        <v>22</v>
      </c>
      <c r="C493" s="3" t="s">
        <v>23</v>
      </c>
      <c r="D493" s="3" t="s">
        <v>24</v>
      </c>
      <c r="E493" s="3" t="s">
        <v>25</v>
      </c>
      <c r="F493" s="3" t="s">
        <v>127</v>
      </c>
      <c r="G493" s="2">
        <v>19.66</v>
      </c>
      <c r="H493" s="2">
        <v>10</v>
      </c>
      <c r="I493" s="2">
        <v>9.83</v>
      </c>
      <c r="J493" s="2">
        <v>206.43</v>
      </c>
      <c r="K493" s="5">
        <v>43539</v>
      </c>
      <c r="L493" s="4">
        <v>0.76388888888888884</v>
      </c>
      <c r="M493" s="3" t="s">
        <v>59</v>
      </c>
      <c r="N493" s="2">
        <v>196.6</v>
      </c>
      <c r="O493" s="2">
        <v>4.7619047620000003</v>
      </c>
      <c r="P493" s="2">
        <v>9.83</v>
      </c>
      <c r="Q493" s="2">
        <v>7.2</v>
      </c>
      <c r="R493" s="3"/>
      <c r="S493" s="1"/>
      <c r="T493" s="1"/>
      <c r="U493" s="1" t="s">
        <v>37</v>
      </c>
      <c r="V493" s="1" t="s">
        <v>37</v>
      </c>
      <c r="W493" s="1" t="s">
        <v>37</v>
      </c>
    </row>
    <row r="494" spans="1:23">
      <c r="A494" s="3" t="s">
        <v>2913</v>
      </c>
      <c r="B494" s="3" t="s">
        <v>115</v>
      </c>
      <c r="C494" s="3" t="s">
        <v>116</v>
      </c>
      <c r="D494" s="3" t="s">
        <v>24</v>
      </c>
      <c r="E494" s="3" t="s">
        <v>25</v>
      </c>
      <c r="F494" s="3" t="s">
        <v>26</v>
      </c>
      <c r="G494" s="2">
        <v>25.32</v>
      </c>
      <c r="H494" s="2">
        <v>8</v>
      </c>
      <c r="I494" s="2">
        <v>10.128</v>
      </c>
      <c r="J494" s="2">
        <v>212.68799999999999</v>
      </c>
      <c r="K494" s="5">
        <v>43529</v>
      </c>
      <c r="L494" s="4">
        <v>0.85</v>
      </c>
      <c r="M494" s="3" t="s">
        <v>33</v>
      </c>
      <c r="N494" s="2">
        <v>202.56</v>
      </c>
      <c r="O494" s="2">
        <v>4.7619047620000003</v>
      </c>
      <c r="P494" s="2">
        <v>10.128</v>
      </c>
      <c r="Q494" s="2">
        <v>8.6999999999999993</v>
      </c>
      <c r="R494" s="3"/>
      <c r="S494" s="1"/>
      <c r="T494" s="1"/>
      <c r="U494" s="1" t="s">
        <v>37</v>
      </c>
      <c r="V494" s="1" t="s">
        <v>37</v>
      </c>
      <c r="W494" s="1" t="s">
        <v>37</v>
      </c>
    </row>
    <row r="495" spans="1:23">
      <c r="A495" s="3" t="s">
        <v>2918</v>
      </c>
      <c r="B495" s="3" t="s">
        <v>39</v>
      </c>
      <c r="C495" s="3" t="s">
        <v>40</v>
      </c>
      <c r="D495" s="3" t="s">
        <v>24</v>
      </c>
      <c r="E495" s="3" t="s">
        <v>25</v>
      </c>
      <c r="F495" s="3" t="s">
        <v>53</v>
      </c>
      <c r="G495" s="2">
        <v>12.12</v>
      </c>
      <c r="H495" s="2">
        <v>10</v>
      </c>
      <c r="I495" s="2">
        <v>6.06</v>
      </c>
      <c r="J495" s="2">
        <v>127.26</v>
      </c>
      <c r="K495" s="5">
        <v>43529</v>
      </c>
      <c r="L495" s="4">
        <v>0.57222222222222219</v>
      </c>
      <c r="M495" s="3" t="s">
        <v>59</v>
      </c>
      <c r="N495" s="2">
        <v>121.2</v>
      </c>
      <c r="O495" s="2">
        <v>4.7619047620000003</v>
      </c>
      <c r="P495" s="2">
        <v>6.06</v>
      </c>
      <c r="Q495" s="2">
        <v>8.4</v>
      </c>
      <c r="R495" s="3"/>
      <c r="S495" s="1"/>
      <c r="T495" s="1"/>
      <c r="U495" s="1" t="s">
        <v>37</v>
      </c>
      <c r="V495" s="1" t="s">
        <v>37</v>
      </c>
      <c r="W495" s="1" t="s">
        <v>37</v>
      </c>
    </row>
    <row r="496" spans="1:23">
      <c r="A496" s="3" t="s">
        <v>2923</v>
      </c>
      <c r="B496" s="3" t="s">
        <v>115</v>
      </c>
      <c r="C496" s="3" t="s">
        <v>116</v>
      </c>
      <c r="D496" s="3" t="s">
        <v>41</v>
      </c>
      <c r="E496" s="3" t="s">
        <v>992</v>
      </c>
      <c r="F496" s="3" t="s">
        <v>127</v>
      </c>
      <c r="G496" s="2">
        <v>99.89</v>
      </c>
      <c r="H496" s="2">
        <v>2</v>
      </c>
      <c r="I496" s="2">
        <v>9.9890000000000008</v>
      </c>
      <c r="J496" s="2">
        <v>209.76900000000001</v>
      </c>
      <c r="K496" s="5">
        <v>43522</v>
      </c>
      <c r="L496" s="4">
        <v>0.49166666666666664</v>
      </c>
      <c r="M496" s="3" t="s">
        <v>33</v>
      </c>
      <c r="N496" s="2">
        <v>199.78</v>
      </c>
      <c r="O496" s="2">
        <v>4.7619047620000003</v>
      </c>
      <c r="P496" s="2">
        <v>9.9890000000000008</v>
      </c>
      <c r="Q496" s="2">
        <v>7.1</v>
      </c>
      <c r="R496" s="3"/>
      <c r="S496" s="1"/>
      <c r="T496" s="1"/>
      <c r="U496" s="1" t="s">
        <v>37</v>
      </c>
      <c r="V496" s="1" t="s">
        <v>37</v>
      </c>
      <c r="W496" s="1" t="s">
        <v>37</v>
      </c>
    </row>
    <row r="497" spans="1:23">
      <c r="A497" s="3" t="s">
        <v>2929</v>
      </c>
      <c r="B497" s="3" t="s">
        <v>115</v>
      </c>
      <c r="C497" s="3" t="s">
        <v>116</v>
      </c>
      <c r="D497" s="3" t="s">
        <v>41</v>
      </c>
      <c r="E497" s="3" t="s">
        <v>992</v>
      </c>
      <c r="F497" s="3" t="s">
        <v>72</v>
      </c>
      <c r="G497" s="2">
        <v>75.92</v>
      </c>
      <c r="H497" s="2">
        <v>8</v>
      </c>
      <c r="I497" s="2">
        <v>30.367999999999999</v>
      </c>
      <c r="J497" s="2">
        <v>637.72799999999995</v>
      </c>
      <c r="K497" s="5">
        <v>43544</v>
      </c>
      <c r="L497" s="4">
        <v>0.59305555555555556</v>
      </c>
      <c r="M497" s="3" t="s">
        <v>49</v>
      </c>
      <c r="N497" s="2">
        <v>607.36</v>
      </c>
      <c r="O497" s="2">
        <v>4.7619047620000003</v>
      </c>
      <c r="P497" s="2">
        <v>30.367999999999999</v>
      </c>
      <c r="Q497" s="2">
        <v>5.5</v>
      </c>
      <c r="R497" s="3"/>
      <c r="S497" s="1"/>
      <c r="T497" s="1"/>
      <c r="U497" s="1" t="s">
        <v>37</v>
      </c>
      <c r="V497" s="1" t="s">
        <v>37</v>
      </c>
      <c r="W497" s="1" t="s">
        <v>37</v>
      </c>
    </row>
    <row r="498" spans="1:23">
      <c r="A498" s="3" t="s">
        <v>2935</v>
      </c>
      <c r="B498" s="3" t="s">
        <v>39</v>
      </c>
      <c r="C498" s="3" t="s">
        <v>40</v>
      </c>
      <c r="D498" s="3" t="s">
        <v>41</v>
      </c>
      <c r="E498" s="3" t="s">
        <v>25</v>
      </c>
      <c r="F498" s="3" t="s">
        <v>42</v>
      </c>
      <c r="G498" s="2">
        <v>63.22</v>
      </c>
      <c r="H498" s="2">
        <v>2</v>
      </c>
      <c r="I498" s="2">
        <v>6.3220000000000001</v>
      </c>
      <c r="J498" s="2">
        <v>132.762</v>
      </c>
      <c r="K498" s="5">
        <v>43466</v>
      </c>
      <c r="L498" s="4">
        <v>0.66041666666666665</v>
      </c>
      <c r="M498" s="3" t="s">
        <v>49</v>
      </c>
      <c r="N498" s="2">
        <v>126.44</v>
      </c>
      <c r="O498" s="2">
        <v>4.7619047620000003</v>
      </c>
      <c r="P498" s="2">
        <v>6.3220000000000001</v>
      </c>
      <c r="Q498" s="2">
        <v>8.5</v>
      </c>
      <c r="R498" s="3"/>
      <c r="S498" s="1"/>
      <c r="T498" s="1"/>
      <c r="U498" s="1" t="s">
        <v>37</v>
      </c>
      <c r="V498" s="1" t="s">
        <v>37</v>
      </c>
      <c r="W498" s="1" t="s">
        <v>37</v>
      </c>
    </row>
    <row r="499" spans="1:23">
      <c r="A499" s="3" t="s">
        <v>2940</v>
      </c>
      <c r="B499" s="3" t="s">
        <v>39</v>
      </c>
      <c r="C499" s="3" t="s">
        <v>40</v>
      </c>
      <c r="D499" s="3" t="s">
        <v>41</v>
      </c>
      <c r="E499" s="3" t="s">
        <v>25</v>
      </c>
      <c r="F499" s="3" t="s">
        <v>117</v>
      </c>
      <c r="G499" s="2">
        <v>90.24</v>
      </c>
      <c r="H499" s="2">
        <v>6</v>
      </c>
      <c r="I499" s="2">
        <v>27.071999999999999</v>
      </c>
      <c r="J499" s="2">
        <v>568.51199999999994</v>
      </c>
      <c r="K499" s="5">
        <v>43492</v>
      </c>
      <c r="L499" s="4">
        <v>0.47013888888888888</v>
      </c>
      <c r="M499" s="3" t="s">
        <v>49</v>
      </c>
      <c r="N499" s="2">
        <v>541.44000000000005</v>
      </c>
      <c r="O499" s="2">
        <v>4.7619047620000003</v>
      </c>
      <c r="P499" s="2">
        <v>27.071999999999999</v>
      </c>
      <c r="Q499" s="2">
        <v>6.2</v>
      </c>
      <c r="R499" s="3"/>
      <c r="S499" s="1"/>
      <c r="T499" s="1"/>
      <c r="U499" s="1" t="s">
        <v>37</v>
      </c>
      <c r="V499" s="1" t="s">
        <v>37</v>
      </c>
      <c r="W499" s="1" t="s">
        <v>37</v>
      </c>
    </row>
    <row r="500" spans="1:23">
      <c r="A500" s="3" t="s">
        <v>2946</v>
      </c>
      <c r="B500" s="3" t="s">
        <v>115</v>
      </c>
      <c r="C500" s="3" t="s">
        <v>116</v>
      </c>
      <c r="D500" s="3" t="s">
        <v>24</v>
      </c>
      <c r="E500" s="3" t="s">
        <v>25</v>
      </c>
      <c r="F500" s="3" t="s">
        <v>72</v>
      </c>
      <c r="G500" s="2">
        <v>98.13</v>
      </c>
      <c r="H500" s="2">
        <v>1</v>
      </c>
      <c r="I500" s="2">
        <v>4.9065000000000003</v>
      </c>
      <c r="J500" s="2">
        <v>103.0365</v>
      </c>
      <c r="K500" s="5">
        <v>43486</v>
      </c>
      <c r="L500" s="4">
        <v>0.73333333333333328</v>
      </c>
      <c r="M500" s="3" t="s">
        <v>49</v>
      </c>
      <c r="N500" s="2">
        <v>98.13</v>
      </c>
      <c r="O500" s="2">
        <v>4.7619047620000003</v>
      </c>
      <c r="P500" s="2">
        <v>4.9065000000000003</v>
      </c>
      <c r="Q500" s="2">
        <v>8.9</v>
      </c>
      <c r="R500" s="3"/>
      <c r="S500" s="1"/>
      <c r="T500" s="1"/>
      <c r="U500" s="1" t="s">
        <v>37</v>
      </c>
      <c r="V500" s="1" t="s">
        <v>37</v>
      </c>
      <c r="W500" s="1" t="s">
        <v>37</v>
      </c>
    </row>
    <row r="501" spans="1:23">
      <c r="A501" s="3" t="s">
        <v>2950</v>
      </c>
      <c r="B501" s="3" t="s">
        <v>22</v>
      </c>
      <c r="C501" s="3" t="s">
        <v>23</v>
      </c>
      <c r="D501" s="3" t="s">
        <v>24</v>
      </c>
      <c r="E501" s="3" t="s">
        <v>25</v>
      </c>
      <c r="F501" s="3" t="s">
        <v>72</v>
      </c>
      <c r="G501" s="2">
        <v>51.52</v>
      </c>
      <c r="H501" s="2">
        <v>8</v>
      </c>
      <c r="I501" s="2">
        <v>20.608000000000001</v>
      </c>
      <c r="J501" s="2">
        <v>432.76799999999997</v>
      </c>
      <c r="K501" s="5">
        <v>43498</v>
      </c>
      <c r="L501" s="4">
        <v>0.65763888888888888</v>
      </c>
      <c r="M501" s="3" t="s">
        <v>49</v>
      </c>
      <c r="N501" s="2">
        <v>412.16</v>
      </c>
      <c r="O501" s="2">
        <v>4.7619047620000003</v>
      </c>
      <c r="P501" s="2">
        <v>20.608000000000001</v>
      </c>
      <c r="Q501" s="2">
        <v>9.6</v>
      </c>
      <c r="R501" s="3"/>
      <c r="S501" s="1"/>
      <c r="T501" s="1"/>
      <c r="U501" s="1" t="s">
        <v>37</v>
      </c>
      <c r="V501" s="1" t="s">
        <v>37</v>
      </c>
      <c r="W501" s="1" t="s">
        <v>37</v>
      </c>
    </row>
    <row r="502" spans="1:23">
      <c r="A502" s="3" t="s">
        <v>2955</v>
      </c>
      <c r="B502" s="3" t="s">
        <v>115</v>
      </c>
      <c r="C502" s="3" t="s">
        <v>116</v>
      </c>
      <c r="D502" s="3" t="s">
        <v>24</v>
      </c>
      <c r="E502" s="3" t="s">
        <v>992</v>
      </c>
      <c r="F502" s="3" t="s">
        <v>72</v>
      </c>
      <c r="G502" s="2">
        <v>73.97</v>
      </c>
      <c r="H502" s="2">
        <v>1</v>
      </c>
      <c r="I502" s="2">
        <v>3.6985000000000001</v>
      </c>
      <c r="J502" s="2">
        <v>77.668499999999995</v>
      </c>
      <c r="K502" s="5">
        <v>43499</v>
      </c>
      <c r="L502" s="4">
        <v>0.66180555555555554</v>
      </c>
      <c r="M502" s="3" t="s">
        <v>59</v>
      </c>
      <c r="N502" s="2">
        <v>73.97</v>
      </c>
      <c r="O502" s="2">
        <v>4.7619047620000003</v>
      </c>
      <c r="P502" s="2">
        <v>3.6985000000000001</v>
      </c>
      <c r="Q502" s="2">
        <v>5.4</v>
      </c>
      <c r="R502" s="3"/>
      <c r="S502" s="1"/>
      <c r="T502" s="1"/>
      <c r="U502" s="1" t="s">
        <v>37</v>
      </c>
      <c r="V502" s="1" t="s">
        <v>37</v>
      </c>
      <c r="W502" s="1" t="s">
        <v>37</v>
      </c>
    </row>
    <row r="503" spans="1:23">
      <c r="A503" s="3" t="s">
        <v>2959</v>
      </c>
      <c r="B503" s="3" t="s">
        <v>39</v>
      </c>
      <c r="C503" s="3" t="s">
        <v>40</v>
      </c>
      <c r="D503" s="3" t="s">
        <v>24</v>
      </c>
      <c r="E503" s="3" t="s">
        <v>25</v>
      </c>
      <c r="F503" s="3" t="s">
        <v>127</v>
      </c>
      <c r="G503" s="2">
        <v>31.9</v>
      </c>
      <c r="H503" s="2">
        <v>1</v>
      </c>
      <c r="I503" s="2">
        <v>1.595</v>
      </c>
      <c r="J503" s="2">
        <v>33.494999999999997</v>
      </c>
      <c r="K503" s="5">
        <v>43470</v>
      </c>
      <c r="L503" s="4">
        <v>0.52777777777777779</v>
      </c>
      <c r="M503" s="3" t="s">
        <v>33</v>
      </c>
      <c r="N503" s="2">
        <v>31.9</v>
      </c>
      <c r="O503" s="2">
        <v>4.7619047620000003</v>
      </c>
      <c r="P503" s="2">
        <v>1.595</v>
      </c>
      <c r="Q503" s="2">
        <v>9.1</v>
      </c>
      <c r="R503" s="3"/>
      <c r="S503" s="1"/>
      <c r="T503" s="1"/>
      <c r="U503" s="1" t="s">
        <v>37</v>
      </c>
      <c r="V503" s="1" t="s">
        <v>37</v>
      </c>
      <c r="W503" s="1" t="s">
        <v>37</v>
      </c>
    </row>
    <row r="504" spans="1:23">
      <c r="A504" s="3" t="s">
        <v>2964</v>
      </c>
      <c r="B504" s="3" t="s">
        <v>39</v>
      </c>
      <c r="C504" s="3" t="s">
        <v>40</v>
      </c>
      <c r="D504" s="3" t="s">
        <v>41</v>
      </c>
      <c r="E504" s="3" t="s">
        <v>992</v>
      </c>
      <c r="F504" s="3" t="s">
        <v>53</v>
      </c>
      <c r="G504" s="2">
        <v>69.400000000000006</v>
      </c>
      <c r="H504" s="2">
        <v>2</v>
      </c>
      <c r="I504" s="2">
        <v>6.94</v>
      </c>
      <c r="J504" s="2">
        <v>145.74</v>
      </c>
      <c r="K504" s="5">
        <v>43492</v>
      </c>
      <c r="L504" s="4">
        <v>0.82499999999999996</v>
      </c>
      <c r="M504" s="3" t="s">
        <v>33</v>
      </c>
      <c r="N504" s="2">
        <v>138.80000000000001</v>
      </c>
      <c r="O504" s="2">
        <v>4.7619047620000003</v>
      </c>
      <c r="P504" s="2">
        <v>6.94</v>
      </c>
      <c r="Q504" s="2">
        <v>9</v>
      </c>
      <c r="R504" s="3"/>
      <c r="S504" s="1"/>
      <c r="T504" s="1"/>
      <c r="U504" s="1" t="s">
        <v>37</v>
      </c>
      <c r="V504" s="1" t="s">
        <v>37</v>
      </c>
      <c r="W504" s="1" t="s">
        <v>37</v>
      </c>
    </row>
    <row r="505" spans="1:23">
      <c r="A505" s="3" t="s">
        <v>2968</v>
      </c>
      <c r="B505" s="3" t="s">
        <v>115</v>
      </c>
      <c r="C505" s="3" t="s">
        <v>116</v>
      </c>
      <c r="D505" s="3" t="s">
        <v>41</v>
      </c>
      <c r="E505" s="3" t="s">
        <v>25</v>
      </c>
      <c r="F505" s="3" t="s">
        <v>72</v>
      </c>
      <c r="G505" s="2">
        <v>93.31</v>
      </c>
      <c r="H505" s="2">
        <v>2</v>
      </c>
      <c r="I505" s="2">
        <v>9.3309999999999995</v>
      </c>
      <c r="J505" s="2">
        <v>195.95099999999999</v>
      </c>
      <c r="K505" s="5">
        <v>43549</v>
      </c>
      <c r="L505" s="4">
        <v>0.74513888888888891</v>
      </c>
      <c r="M505" s="3" t="s">
        <v>49</v>
      </c>
      <c r="N505" s="2">
        <v>186.62</v>
      </c>
      <c r="O505" s="2">
        <v>4.7619047620000003</v>
      </c>
      <c r="P505" s="2">
        <v>9.3309999999999995</v>
      </c>
      <c r="Q505" s="2">
        <v>6.3</v>
      </c>
      <c r="R505" s="3"/>
      <c r="S505" s="1"/>
      <c r="T505" s="1"/>
      <c r="U505" s="1" t="s">
        <v>37</v>
      </c>
      <c r="V505" s="1" t="s">
        <v>37</v>
      </c>
      <c r="W505" s="1" t="s">
        <v>37</v>
      </c>
    </row>
    <row r="506" spans="1:23">
      <c r="A506" s="3" t="s">
        <v>2974</v>
      </c>
      <c r="B506" s="3" t="s">
        <v>115</v>
      </c>
      <c r="C506" s="3" t="s">
        <v>116</v>
      </c>
      <c r="D506" s="3" t="s">
        <v>41</v>
      </c>
      <c r="E506" s="3" t="s">
        <v>992</v>
      </c>
      <c r="F506" s="3" t="s">
        <v>72</v>
      </c>
      <c r="G506" s="2">
        <v>88.45</v>
      </c>
      <c r="H506" s="2">
        <v>1</v>
      </c>
      <c r="I506" s="2">
        <v>4.4225000000000003</v>
      </c>
      <c r="J506" s="2">
        <v>92.872500000000002</v>
      </c>
      <c r="K506" s="5">
        <v>43521</v>
      </c>
      <c r="L506" s="4">
        <v>0.69166666666666665</v>
      </c>
      <c r="M506" s="3" t="s">
        <v>59</v>
      </c>
      <c r="N506" s="2">
        <v>88.45</v>
      </c>
      <c r="O506" s="2">
        <v>4.7619047620000003</v>
      </c>
      <c r="P506" s="2">
        <v>4.4225000000000003</v>
      </c>
      <c r="Q506" s="2">
        <v>9.5</v>
      </c>
      <c r="R506" s="3"/>
      <c r="S506" s="1"/>
      <c r="T506" s="1"/>
      <c r="U506" s="1" t="s">
        <v>37</v>
      </c>
      <c r="V506" s="1" t="s">
        <v>37</v>
      </c>
      <c r="W506" s="1" t="s">
        <v>37</v>
      </c>
    </row>
    <row r="507" spans="1:23">
      <c r="A507" s="3" t="s">
        <v>2979</v>
      </c>
      <c r="B507" s="3" t="s">
        <v>22</v>
      </c>
      <c r="C507" s="3" t="s">
        <v>23</v>
      </c>
      <c r="D507" s="3" t="s">
        <v>24</v>
      </c>
      <c r="E507" s="3" t="s">
        <v>992</v>
      </c>
      <c r="F507" s="3" t="s">
        <v>42</v>
      </c>
      <c r="G507" s="2">
        <v>24.18</v>
      </c>
      <c r="H507" s="2">
        <v>8</v>
      </c>
      <c r="I507" s="2">
        <v>9.6720000000000006</v>
      </c>
      <c r="J507" s="2">
        <v>203.11199999999999</v>
      </c>
      <c r="K507" s="5">
        <v>43493</v>
      </c>
      <c r="L507" s="4">
        <v>0.87083333333333335</v>
      </c>
      <c r="M507" s="3" t="s">
        <v>33</v>
      </c>
      <c r="N507" s="2">
        <v>193.44</v>
      </c>
      <c r="O507" s="2">
        <v>4.7619047620000003</v>
      </c>
      <c r="P507" s="2">
        <v>9.6720000000000006</v>
      </c>
      <c r="Q507" s="2">
        <v>9.8000000000000007</v>
      </c>
      <c r="R507" s="3"/>
      <c r="S507" s="1"/>
      <c r="T507" s="1"/>
      <c r="U507" s="1" t="s">
        <v>37</v>
      </c>
      <c r="V507" s="1" t="s">
        <v>37</v>
      </c>
      <c r="W507" s="1" t="s">
        <v>37</v>
      </c>
    </row>
    <row r="508" spans="1:23">
      <c r="A508" s="3" t="s">
        <v>2984</v>
      </c>
      <c r="B508" s="3" t="s">
        <v>115</v>
      </c>
      <c r="C508" s="3" t="s">
        <v>116</v>
      </c>
      <c r="D508" s="3" t="s">
        <v>24</v>
      </c>
      <c r="E508" s="3" t="s">
        <v>25</v>
      </c>
      <c r="F508" s="3" t="s">
        <v>72</v>
      </c>
      <c r="G508" s="2">
        <v>48.5</v>
      </c>
      <c r="H508" s="2">
        <v>3</v>
      </c>
      <c r="I508" s="2">
        <v>7.2750000000000004</v>
      </c>
      <c r="J508" s="2">
        <v>152.77500000000001</v>
      </c>
      <c r="K508" s="5">
        <v>43473</v>
      </c>
      <c r="L508" s="4">
        <v>0.53472222222222221</v>
      </c>
      <c r="M508" s="3" t="s">
        <v>49</v>
      </c>
      <c r="N508" s="2">
        <v>145.5</v>
      </c>
      <c r="O508" s="2">
        <v>4.7619047620000003</v>
      </c>
      <c r="P508" s="2">
        <v>7.2750000000000004</v>
      </c>
      <c r="Q508" s="2">
        <v>6.7</v>
      </c>
      <c r="R508" s="3"/>
      <c r="S508" s="1"/>
      <c r="T508" s="1"/>
      <c r="U508" s="1" t="s">
        <v>37</v>
      </c>
      <c r="V508" s="1" t="s">
        <v>37</v>
      </c>
      <c r="W508" s="1" t="s">
        <v>37</v>
      </c>
    </row>
    <row r="509" spans="1:23">
      <c r="A509" s="3" t="s">
        <v>2989</v>
      </c>
      <c r="B509" s="3" t="s">
        <v>115</v>
      </c>
      <c r="C509" s="3" t="s">
        <v>116</v>
      </c>
      <c r="D509" s="3" t="s">
        <v>41</v>
      </c>
      <c r="E509" s="3" t="s">
        <v>25</v>
      </c>
      <c r="F509" s="3" t="s">
        <v>117</v>
      </c>
      <c r="G509" s="2">
        <v>84.05</v>
      </c>
      <c r="H509" s="2">
        <v>6</v>
      </c>
      <c r="I509" s="2">
        <v>25.215</v>
      </c>
      <c r="J509" s="2">
        <v>529.51499999999999</v>
      </c>
      <c r="K509" s="5">
        <v>43494</v>
      </c>
      <c r="L509" s="4">
        <v>0.45</v>
      </c>
      <c r="M509" s="3" t="s">
        <v>59</v>
      </c>
      <c r="N509" s="2">
        <v>504.3</v>
      </c>
      <c r="O509" s="2">
        <v>4.7619047620000003</v>
      </c>
      <c r="P509" s="2">
        <v>25.215</v>
      </c>
      <c r="Q509" s="2">
        <v>7.7</v>
      </c>
      <c r="R509" s="3"/>
      <c r="S509" s="1"/>
      <c r="T509" s="1"/>
      <c r="U509" s="1" t="s">
        <v>37</v>
      </c>
      <c r="V509" s="1" t="s">
        <v>37</v>
      </c>
      <c r="W509" s="1" t="s">
        <v>37</v>
      </c>
    </row>
    <row r="510" spans="1:23">
      <c r="A510" s="3" t="s">
        <v>2994</v>
      </c>
      <c r="B510" s="3" t="s">
        <v>115</v>
      </c>
      <c r="C510" s="3" t="s">
        <v>116</v>
      </c>
      <c r="D510" s="3" t="s">
        <v>24</v>
      </c>
      <c r="E510" s="3" t="s">
        <v>992</v>
      </c>
      <c r="F510" s="3" t="s">
        <v>26</v>
      </c>
      <c r="G510" s="2">
        <v>61.29</v>
      </c>
      <c r="H510" s="2">
        <v>5</v>
      </c>
      <c r="I510" s="2">
        <v>15.3225</v>
      </c>
      <c r="J510" s="2">
        <v>321.77249999999998</v>
      </c>
      <c r="K510" s="5">
        <v>43553</v>
      </c>
      <c r="L510" s="4">
        <v>0.60277777777777775</v>
      </c>
      <c r="M510" s="3" t="s">
        <v>49</v>
      </c>
      <c r="N510" s="2">
        <v>306.45</v>
      </c>
      <c r="O510" s="2">
        <v>4.7619047620000003</v>
      </c>
      <c r="P510" s="2">
        <v>15.3225</v>
      </c>
      <c r="Q510" s="2">
        <v>7</v>
      </c>
      <c r="R510" s="3"/>
      <c r="S510" s="1"/>
      <c r="T510" s="1"/>
      <c r="U510" s="1" t="s">
        <v>37</v>
      </c>
      <c r="V510" s="1" t="s">
        <v>37</v>
      </c>
      <c r="W510" s="1" t="s">
        <v>37</v>
      </c>
    </row>
    <row r="511" spans="1:23">
      <c r="A511" s="3" t="s">
        <v>2999</v>
      </c>
      <c r="B511" s="3" t="s">
        <v>39</v>
      </c>
      <c r="C511" s="3" t="s">
        <v>40</v>
      </c>
      <c r="D511" s="3" t="s">
        <v>24</v>
      </c>
      <c r="E511" s="3" t="s">
        <v>25</v>
      </c>
      <c r="F511" s="3" t="s">
        <v>53</v>
      </c>
      <c r="G511" s="2">
        <v>15.95</v>
      </c>
      <c r="H511" s="2">
        <v>6</v>
      </c>
      <c r="I511" s="2">
        <v>4.7850000000000001</v>
      </c>
      <c r="J511" s="2">
        <v>100.485</v>
      </c>
      <c r="K511" s="5">
        <v>43505</v>
      </c>
      <c r="L511" s="4">
        <v>0.71875</v>
      </c>
      <c r="M511" s="3" t="s">
        <v>59</v>
      </c>
      <c r="N511" s="2">
        <v>95.7</v>
      </c>
      <c r="O511" s="2">
        <v>4.7619047620000003</v>
      </c>
      <c r="P511" s="2">
        <v>4.7850000000000001</v>
      </c>
      <c r="Q511" s="2">
        <v>5.0999999999999996</v>
      </c>
      <c r="R511" s="3"/>
      <c r="S511" s="1"/>
      <c r="T511" s="1"/>
      <c r="U511" s="1" t="s">
        <v>37</v>
      </c>
      <c r="V511" s="1" t="s">
        <v>37</v>
      </c>
      <c r="W511" s="1" t="s">
        <v>37</v>
      </c>
    </row>
    <row r="512" spans="1:23">
      <c r="A512" s="3" t="s">
        <v>3004</v>
      </c>
      <c r="B512" s="3" t="s">
        <v>115</v>
      </c>
      <c r="C512" s="3" t="s">
        <v>116</v>
      </c>
      <c r="D512" s="3" t="s">
        <v>24</v>
      </c>
      <c r="E512" s="3" t="s">
        <v>25</v>
      </c>
      <c r="F512" s="3" t="s">
        <v>72</v>
      </c>
      <c r="G512" s="2">
        <v>90.74</v>
      </c>
      <c r="H512" s="2">
        <v>7</v>
      </c>
      <c r="I512" s="2">
        <v>31.759</v>
      </c>
      <c r="J512" s="2">
        <v>666.93899999999996</v>
      </c>
      <c r="K512" s="5">
        <v>43481</v>
      </c>
      <c r="L512" s="4">
        <v>0.75208333333333333</v>
      </c>
      <c r="M512" s="3" t="s">
        <v>59</v>
      </c>
      <c r="N512" s="2">
        <v>635.17999999999995</v>
      </c>
      <c r="O512" s="2">
        <v>4.7619047620000003</v>
      </c>
      <c r="P512" s="2">
        <v>31.759</v>
      </c>
      <c r="Q512" s="2">
        <v>6.2</v>
      </c>
      <c r="R512" s="3"/>
      <c r="S512" s="1"/>
      <c r="T512" s="1"/>
      <c r="U512" s="1" t="s">
        <v>37</v>
      </c>
      <c r="V512" s="1" t="s">
        <v>37</v>
      </c>
      <c r="W512" s="1" t="s">
        <v>37</v>
      </c>
    </row>
    <row r="513" spans="1:23">
      <c r="A513" s="3" t="s">
        <v>3009</v>
      </c>
      <c r="B513" s="3" t="s">
        <v>22</v>
      </c>
      <c r="C513" s="3" t="s">
        <v>23</v>
      </c>
      <c r="D513" s="3" t="s">
        <v>41</v>
      </c>
      <c r="E513" s="3" t="s">
        <v>25</v>
      </c>
      <c r="F513" s="3" t="s">
        <v>53</v>
      </c>
      <c r="G513" s="2">
        <v>42.91</v>
      </c>
      <c r="H513" s="2">
        <v>5</v>
      </c>
      <c r="I513" s="2">
        <v>10.727499999999999</v>
      </c>
      <c r="J513" s="2">
        <v>225.2775</v>
      </c>
      <c r="K513" s="5">
        <v>43470</v>
      </c>
      <c r="L513" s="4">
        <v>0.72847222222222219</v>
      </c>
      <c r="M513" s="3" t="s">
        <v>33</v>
      </c>
      <c r="N513" s="2">
        <v>214.55</v>
      </c>
      <c r="O513" s="2">
        <v>4.7619047620000003</v>
      </c>
      <c r="P513" s="2">
        <v>10.727499999999999</v>
      </c>
      <c r="Q513" s="2">
        <v>6.1</v>
      </c>
      <c r="R513" s="3"/>
      <c r="S513" s="1"/>
      <c r="T513" s="1"/>
      <c r="U513" s="1" t="s">
        <v>37</v>
      </c>
      <c r="V513" s="1" t="s">
        <v>37</v>
      </c>
      <c r="W513" s="1" t="s">
        <v>37</v>
      </c>
    </row>
    <row r="514" spans="1:23">
      <c r="A514" s="3" t="s">
        <v>3014</v>
      </c>
      <c r="B514" s="3" t="s">
        <v>22</v>
      </c>
      <c r="C514" s="3" t="s">
        <v>23</v>
      </c>
      <c r="D514" s="3" t="s">
        <v>41</v>
      </c>
      <c r="E514" s="3" t="s">
        <v>25</v>
      </c>
      <c r="F514" s="3" t="s">
        <v>127</v>
      </c>
      <c r="G514" s="2">
        <v>54.28</v>
      </c>
      <c r="H514" s="2">
        <v>7</v>
      </c>
      <c r="I514" s="2">
        <v>18.998000000000001</v>
      </c>
      <c r="J514" s="2">
        <v>398.95800000000003</v>
      </c>
      <c r="K514" s="5">
        <v>43492</v>
      </c>
      <c r="L514" s="4">
        <v>0.75347222222222221</v>
      </c>
      <c r="M514" s="3" t="s">
        <v>33</v>
      </c>
      <c r="N514" s="2">
        <v>379.96</v>
      </c>
      <c r="O514" s="2">
        <v>4.7619047620000003</v>
      </c>
      <c r="P514" s="2">
        <v>18.998000000000001</v>
      </c>
      <c r="Q514" s="2">
        <v>9.3000000000000007</v>
      </c>
      <c r="R514" s="3"/>
      <c r="S514" s="1"/>
      <c r="T514" s="1"/>
      <c r="U514" s="1" t="s">
        <v>37</v>
      </c>
      <c r="V514" s="1" t="s">
        <v>37</v>
      </c>
      <c r="W514" s="1" t="s">
        <v>37</v>
      </c>
    </row>
    <row r="515" spans="1:23">
      <c r="A515" s="3" t="s">
        <v>3020</v>
      </c>
      <c r="B515" s="3" t="s">
        <v>22</v>
      </c>
      <c r="C515" s="3" t="s">
        <v>23</v>
      </c>
      <c r="D515" s="3" t="s">
        <v>41</v>
      </c>
      <c r="E515" s="3" t="s">
        <v>992</v>
      </c>
      <c r="F515" s="3" t="s">
        <v>42</v>
      </c>
      <c r="G515" s="2">
        <v>99.55</v>
      </c>
      <c r="H515" s="2">
        <v>7</v>
      </c>
      <c r="I515" s="2">
        <v>34.842500000000001</v>
      </c>
      <c r="J515" s="2">
        <v>731.6925</v>
      </c>
      <c r="K515" s="5">
        <v>43538</v>
      </c>
      <c r="L515" s="4">
        <v>0.50486111111111109</v>
      </c>
      <c r="M515" s="3" t="s">
        <v>49</v>
      </c>
      <c r="N515" s="2">
        <v>696.85</v>
      </c>
      <c r="O515" s="2">
        <v>4.7619047620000003</v>
      </c>
      <c r="P515" s="2">
        <v>34.842500000000001</v>
      </c>
      <c r="Q515" s="2">
        <v>7.6</v>
      </c>
      <c r="R515" s="3"/>
      <c r="S515" s="1"/>
      <c r="T515" s="1"/>
      <c r="U515" s="1" t="s">
        <v>37</v>
      </c>
      <c r="V515" s="1" t="s">
        <v>37</v>
      </c>
      <c r="W515" s="1" t="s">
        <v>37</v>
      </c>
    </row>
    <row r="516" spans="1:23">
      <c r="A516" s="3" t="s">
        <v>3026</v>
      </c>
      <c r="B516" s="3" t="s">
        <v>39</v>
      </c>
      <c r="C516" s="3" t="s">
        <v>40</v>
      </c>
      <c r="D516" s="3" t="s">
        <v>24</v>
      </c>
      <c r="E516" s="3" t="s">
        <v>992</v>
      </c>
      <c r="F516" s="3" t="s">
        <v>72</v>
      </c>
      <c r="G516" s="2">
        <v>58.39</v>
      </c>
      <c r="H516" s="2">
        <v>7</v>
      </c>
      <c r="I516" s="2">
        <v>20.436499999999999</v>
      </c>
      <c r="J516" s="2">
        <v>429.16649999999998</v>
      </c>
      <c r="K516" s="5">
        <v>43519</v>
      </c>
      <c r="L516" s="4">
        <v>0.8256944444444444</v>
      </c>
      <c r="M516" s="3" t="s">
        <v>59</v>
      </c>
      <c r="N516" s="2">
        <v>408.73</v>
      </c>
      <c r="O516" s="2">
        <v>4.7619047620000003</v>
      </c>
      <c r="P516" s="2">
        <v>20.436499999999999</v>
      </c>
      <c r="Q516" s="2">
        <v>8.1999999999999993</v>
      </c>
      <c r="R516" s="3"/>
      <c r="S516" s="1"/>
      <c r="T516" s="1"/>
      <c r="U516" s="1" t="s">
        <v>37</v>
      </c>
      <c r="V516" s="1" t="s">
        <v>37</v>
      </c>
      <c r="W516" s="1" t="s">
        <v>37</v>
      </c>
    </row>
    <row r="517" spans="1:23">
      <c r="A517" s="3" t="s">
        <v>3032</v>
      </c>
      <c r="B517" s="3" t="s">
        <v>39</v>
      </c>
      <c r="C517" s="3" t="s">
        <v>40</v>
      </c>
      <c r="D517" s="3" t="s">
        <v>24</v>
      </c>
      <c r="E517" s="3" t="s">
        <v>25</v>
      </c>
      <c r="F517" s="3" t="s">
        <v>127</v>
      </c>
      <c r="G517" s="2">
        <v>51.47</v>
      </c>
      <c r="H517" s="2">
        <v>1</v>
      </c>
      <c r="I517" s="2">
        <v>2.5735000000000001</v>
      </c>
      <c r="J517" s="2">
        <v>54.043500000000002</v>
      </c>
      <c r="K517" s="5">
        <v>43542</v>
      </c>
      <c r="L517" s="4">
        <v>0.66111111111111109</v>
      </c>
      <c r="M517" s="3" t="s">
        <v>33</v>
      </c>
      <c r="N517" s="2">
        <v>51.47</v>
      </c>
      <c r="O517" s="2">
        <v>4.7619047620000003</v>
      </c>
      <c r="P517" s="2">
        <v>2.5735000000000001</v>
      </c>
      <c r="Q517" s="2">
        <v>8.5</v>
      </c>
      <c r="R517" s="3"/>
      <c r="S517" s="1"/>
      <c r="T517" s="1"/>
      <c r="U517" s="1" t="s">
        <v>37</v>
      </c>
      <c r="V517" s="1" t="s">
        <v>37</v>
      </c>
      <c r="W517" s="1" t="s">
        <v>37</v>
      </c>
    </row>
    <row r="518" spans="1:23">
      <c r="A518" s="3" t="s">
        <v>3037</v>
      </c>
      <c r="B518" s="3" t="s">
        <v>115</v>
      </c>
      <c r="C518" s="3" t="s">
        <v>116</v>
      </c>
      <c r="D518" s="3" t="s">
        <v>24</v>
      </c>
      <c r="E518" s="3" t="s">
        <v>992</v>
      </c>
      <c r="F518" s="3" t="s">
        <v>26</v>
      </c>
      <c r="G518" s="2">
        <v>54.86</v>
      </c>
      <c r="H518" s="2">
        <v>5</v>
      </c>
      <c r="I518" s="2">
        <v>13.715</v>
      </c>
      <c r="J518" s="2">
        <v>288.01499999999999</v>
      </c>
      <c r="K518" s="5">
        <v>43553</v>
      </c>
      <c r="L518" s="4">
        <v>0.7</v>
      </c>
      <c r="M518" s="3" t="s">
        <v>33</v>
      </c>
      <c r="N518" s="2">
        <v>274.3</v>
      </c>
      <c r="O518" s="2">
        <v>4.7619047620000003</v>
      </c>
      <c r="P518" s="2">
        <v>13.715</v>
      </c>
      <c r="Q518" s="2">
        <v>9.8000000000000007</v>
      </c>
      <c r="R518" s="3"/>
      <c r="S518" s="1"/>
      <c r="T518" s="1"/>
      <c r="U518" s="1" t="s">
        <v>37</v>
      </c>
      <c r="V518" s="1" t="s">
        <v>37</v>
      </c>
      <c r="W518" s="1" t="s">
        <v>37</v>
      </c>
    </row>
    <row r="519" spans="1:23">
      <c r="A519" s="3" t="s">
        <v>3042</v>
      </c>
      <c r="B519" s="3" t="s">
        <v>39</v>
      </c>
      <c r="C519" s="3" t="s">
        <v>40</v>
      </c>
      <c r="D519" s="3" t="s">
        <v>24</v>
      </c>
      <c r="E519" s="3" t="s">
        <v>992</v>
      </c>
      <c r="F519" s="3" t="s">
        <v>53</v>
      </c>
      <c r="G519" s="2">
        <v>39.39</v>
      </c>
      <c r="H519" s="2">
        <v>5</v>
      </c>
      <c r="I519" s="2">
        <v>9.8475000000000001</v>
      </c>
      <c r="J519" s="2">
        <v>206.79750000000001</v>
      </c>
      <c r="K519" s="5">
        <v>43487</v>
      </c>
      <c r="L519" s="4">
        <v>0.86527777777777781</v>
      </c>
      <c r="M519" s="3" t="s">
        <v>59</v>
      </c>
      <c r="N519" s="2">
        <v>196.95</v>
      </c>
      <c r="O519" s="2">
        <v>4.7619047620000003</v>
      </c>
      <c r="P519" s="2">
        <v>9.8475000000000001</v>
      </c>
      <c r="Q519" s="2">
        <v>8.6999999999999993</v>
      </c>
      <c r="R519" s="3"/>
      <c r="S519" s="1"/>
      <c r="T519" s="1"/>
      <c r="U519" s="1" t="s">
        <v>37</v>
      </c>
      <c r="V519" s="1" t="s">
        <v>37</v>
      </c>
      <c r="W519" s="1" t="s">
        <v>37</v>
      </c>
    </row>
    <row r="520" spans="1:23">
      <c r="A520" s="3" t="s">
        <v>3048</v>
      </c>
      <c r="B520" s="3" t="s">
        <v>22</v>
      </c>
      <c r="C520" s="3" t="s">
        <v>23</v>
      </c>
      <c r="D520" s="3" t="s">
        <v>41</v>
      </c>
      <c r="E520" s="3" t="s">
        <v>992</v>
      </c>
      <c r="F520" s="3" t="s">
        <v>53</v>
      </c>
      <c r="G520" s="2">
        <v>34.729999999999997</v>
      </c>
      <c r="H520" s="2">
        <v>2</v>
      </c>
      <c r="I520" s="2">
        <v>3.4729999999999999</v>
      </c>
      <c r="J520" s="2">
        <v>72.933000000000007</v>
      </c>
      <c r="K520" s="5">
        <v>43525</v>
      </c>
      <c r="L520" s="4">
        <v>0.75972222222222219</v>
      </c>
      <c r="M520" s="3" t="s">
        <v>33</v>
      </c>
      <c r="N520" s="2">
        <v>69.459999999999994</v>
      </c>
      <c r="O520" s="2">
        <v>4.7619047620000003</v>
      </c>
      <c r="P520" s="2">
        <v>3.4729999999999999</v>
      </c>
      <c r="Q520" s="2">
        <v>9.6999999999999993</v>
      </c>
      <c r="R520" s="3"/>
      <c r="S520" s="1"/>
      <c r="T520" s="1"/>
      <c r="U520" s="1" t="s">
        <v>37</v>
      </c>
      <c r="V520" s="1" t="s">
        <v>37</v>
      </c>
      <c r="W520" s="1" t="s">
        <v>37</v>
      </c>
    </row>
    <row r="521" spans="1:23">
      <c r="A521" s="3" t="s">
        <v>3053</v>
      </c>
      <c r="B521" s="3" t="s">
        <v>39</v>
      </c>
      <c r="C521" s="3" t="s">
        <v>40</v>
      </c>
      <c r="D521" s="3" t="s">
        <v>24</v>
      </c>
      <c r="E521" s="3" t="s">
        <v>992</v>
      </c>
      <c r="F521" s="3" t="s">
        <v>72</v>
      </c>
      <c r="G521" s="2">
        <v>71.92</v>
      </c>
      <c r="H521" s="2">
        <v>5</v>
      </c>
      <c r="I521" s="2">
        <v>17.98</v>
      </c>
      <c r="J521" s="2">
        <v>377.58</v>
      </c>
      <c r="K521" s="5">
        <v>43482</v>
      </c>
      <c r="L521" s="4">
        <v>0.62847222222222221</v>
      </c>
      <c r="M521" s="3" t="s">
        <v>59</v>
      </c>
      <c r="N521" s="2">
        <v>359.6</v>
      </c>
      <c r="O521" s="2">
        <v>4.7619047620000003</v>
      </c>
      <c r="P521" s="2">
        <v>17.98</v>
      </c>
      <c r="Q521" s="2">
        <v>4.3</v>
      </c>
      <c r="R521" s="3"/>
      <c r="S521" s="1"/>
      <c r="T521" s="1"/>
      <c r="U521" s="1" t="s">
        <v>37</v>
      </c>
      <c r="V521" s="1" t="s">
        <v>37</v>
      </c>
      <c r="W521" s="1" t="s">
        <v>37</v>
      </c>
    </row>
    <row r="522" spans="1:23">
      <c r="A522" s="3" t="s">
        <v>3058</v>
      </c>
      <c r="B522" s="3" t="s">
        <v>115</v>
      </c>
      <c r="C522" s="3" t="s">
        <v>116</v>
      </c>
      <c r="D522" s="3" t="s">
        <v>41</v>
      </c>
      <c r="E522" s="3" t="s">
        <v>25</v>
      </c>
      <c r="F522" s="3" t="s">
        <v>42</v>
      </c>
      <c r="G522" s="2">
        <v>45.71</v>
      </c>
      <c r="H522" s="2">
        <v>3</v>
      </c>
      <c r="I522" s="2">
        <v>6.8564999999999996</v>
      </c>
      <c r="J522" s="2">
        <v>143.98650000000001</v>
      </c>
      <c r="K522" s="5">
        <v>43550</v>
      </c>
      <c r="L522" s="4">
        <v>0.44027777777777777</v>
      </c>
      <c r="M522" s="3" t="s">
        <v>59</v>
      </c>
      <c r="N522" s="2">
        <v>137.13</v>
      </c>
      <c r="O522" s="2">
        <v>4.7619047620000003</v>
      </c>
      <c r="P522" s="2">
        <v>6.8564999999999996</v>
      </c>
      <c r="Q522" s="2">
        <v>7.7</v>
      </c>
      <c r="R522" s="3"/>
      <c r="S522" s="1"/>
      <c r="T522" s="1"/>
      <c r="U522" s="1" t="s">
        <v>37</v>
      </c>
      <c r="V522" s="1" t="s">
        <v>37</v>
      </c>
      <c r="W522" s="1" t="s">
        <v>37</v>
      </c>
    </row>
    <row r="523" spans="1:23">
      <c r="A523" s="3" t="s">
        <v>3064</v>
      </c>
      <c r="B523" s="3" t="s">
        <v>39</v>
      </c>
      <c r="C523" s="3" t="s">
        <v>40</v>
      </c>
      <c r="D523" s="3" t="s">
        <v>24</v>
      </c>
      <c r="E523" s="3" t="s">
        <v>25</v>
      </c>
      <c r="F523" s="3" t="s">
        <v>53</v>
      </c>
      <c r="G523" s="2">
        <v>83.17</v>
      </c>
      <c r="H523" s="2">
        <v>6</v>
      </c>
      <c r="I523" s="2">
        <v>24.951000000000001</v>
      </c>
      <c r="J523" s="2">
        <v>523.971</v>
      </c>
      <c r="K523" s="5">
        <v>43544</v>
      </c>
      <c r="L523" s="4">
        <v>0.47430555555555554</v>
      </c>
      <c r="M523" s="3" t="s">
        <v>49</v>
      </c>
      <c r="N523" s="2">
        <v>499.02</v>
      </c>
      <c r="O523" s="2">
        <v>4.7619047620000003</v>
      </c>
      <c r="P523" s="2">
        <v>24.951000000000001</v>
      </c>
      <c r="Q523" s="2">
        <v>7.3</v>
      </c>
      <c r="R523" s="3"/>
      <c r="S523" s="1"/>
      <c r="T523" s="1"/>
      <c r="U523" s="1" t="s">
        <v>37</v>
      </c>
      <c r="V523" s="1" t="s">
        <v>37</v>
      </c>
      <c r="W523" s="1" t="s">
        <v>37</v>
      </c>
    </row>
    <row r="524" spans="1:23">
      <c r="A524" s="3" t="s">
        <v>3069</v>
      </c>
      <c r="B524" s="3" t="s">
        <v>22</v>
      </c>
      <c r="C524" s="3" t="s">
        <v>23</v>
      </c>
      <c r="D524" s="3" t="s">
        <v>24</v>
      </c>
      <c r="E524" s="3" t="s">
        <v>25</v>
      </c>
      <c r="F524" s="3" t="s">
        <v>53</v>
      </c>
      <c r="G524" s="2">
        <v>37.44</v>
      </c>
      <c r="H524" s="2">
        <v>6</v>
      </c>
      <c r="I524" s="2">
        <v>11.231999999999999</v>
      </c>
      <c r="J524" s="2">
        <v>235.87200000000001</v>
      </c>
      <c r="K524" s="5">
        <v>43502</v>
      </c>
      <c r="L524" s="4">
        <v>0.57986111111111116</v>
      </c>
      <c r="M524" s="3" t="s">
        <v>59</v>
      </c>
      <c r="N524" s="2">
        <v>224.64</v>
      </c>
      <c r="O524" s="2">
        <v>4.7619047620000003</v>
      </c>
      <c r="P524" s="2">
        <v>11.231999999999999</v>
      </c>
      <c r="Q524" s="2">
        <v>5.9</v>
      </c>
      <c r="R524" s="3"/>
      <c r="S524" s="1"/>
      <c r="T524" s="1"/>
      <c r="U524" s="1" t="s">
        <v>37</v>
      </c>
      <c r="V524" s="1" t="s">
        <v>37</v>
      </c>
      <c r="W524" s="1" t="s">
        <v>37</v>
      </c>
    </row>
    <row r="525" spans="1:23">
      <c r="A525" s="3" t="s">
        <v>3075</v>
      </c>
      <c r="B525" s="3" t="s">
        <v>39</v>
      </c>
      <c r="C525" s="3" t="s">
        <v>40</v>
      </c>
      <c r="D525" s="3" t="s">
        <v>41</v>
      </c>
      <c r="E525" s="3" t="s">
        <v>992</v>
      </c>
      <c r="F525" s="3" t="s">
        <v>26</v>
      </c>
      <c r="G525" s="2">
        <v>62.87</v>
      </c>
      <c r="H525" s="2">
        <v>2</v>
      </c>
      <c r="I525" s="2">
        <v>6.2869999999999999</v>
      </c>
      <c r="J525" s="2">
        <v>132.02699999999999</v>
      </c>
      <c r="K525" s="5">
        <v>43466</v>
      </c>
      <c r="L525" s="4">
        <v>0.48819444444444443</v>
      </c>
      <c r="M525" s="3" t="s">
        <v>49</v>
      </c>
      <c r="N525" s="2">
        <v>125.74</v>
      </c>
      <c r="O525" s="2">
        <v>4.7619047620000003</v>
      </c>
      <c r="P525" s="2">
        <v>6.2869999999999999</v>
      </c>
      <c r="Q525" s="2">
        <v>5</v>
      </c>
      <c r="R525" s="3"/>
      <c r="S525" s="1"/>
      <c r="T525" s="1"/>
      <c r="U525" s="1" t="s">
        <v>37</v>
      </c>
      <c r="V525" s="1" t="s">
        <v>37</v>
      </c>
      <c r="W525" s="1" t="s">
        <v>37</v>
      </c>
    </row>
    <row r="526" spans="1:23">
      <c r="A526" s="3" t="s">
        <v>3081</v>
      </c>
      <c r="B526" s="3" t="s">
        <v>22</v>
      </c>
      <c r="C526" s="3" t="s">
        <v>23</v>
      </c>
      <c r="D526" s="3" t="s">
        <v>41</v>
      </c>
      <c r="E526" s="3" t="s">
        <v>992</v>
      </c>
      <c r="F526" s="3" t="s">
        <v>117</v>
      </c>
      <c r="G526" s="2">
        <v>81.709999999999994</v>
      </c>
      <c r="H526" s="2">
        <v>6</v>
      </c>
      <c r="I526" s="2">
        <v>24.513000000000002</v>
      </c>
      <c r="J526" s="2">
        <v>514.77300000000002</v>
      </c>
      <c r="K526" s="5">
        <v>43492</v>
      </c>
      <c r="L526" s="4">
        <v>0.60833333333333328</v>
      </c>
      <c r="M526" s="3" t="s">
        <v>59</v>
      </c>
      <c r="N526" s="2">
        <v>490.26</v>
      </c>
      <c r="O526" s="2">
        <v>4.7619047620000003</v>
      </c>
      <c r="P526" s="2">
        <v>24.513000000000002</v>
      </c>
      <c r="Q526" s="2">
        <v>8</v>
      </c>
      <c r="R526" s="3"/>
      <c r="S526" s="1"/>
      <c r="T526" s="1"/>
      <c r="U526" s="1" t="s">
        <v>37</v>
      </c>
      <c r="V526" s="1" t="s">
        <v>37</v>
      </c>
      <c r="W526" s="1" t="s">
        <v>37</v>
      </c>
    </row>
    <row r="527" spans="1:23">
      <c r="A527" s="3" t="s">
        <v>3086</v>
      </c>
      <c r="B527" s="3" t="s">
        <v>22</v>
      </c>
      <c r="C527" s="3" t="s">
        <v>23</v>
      </c>
      <c r="D527" s="3" t="s">
        <v>24</v>
      </c>
      <c r="E527" s="3" t="s">
        <v>25</v>
      </c>
      <c r="F527" s="3" t="s">
        <v>72</v>
      </c>
      <c r="G527" s="2">
        <v>91.41</v>
      </c>
      <c r="H527" s="2">
        <v>5</v>
      </c>
      <c r="I527" s="2">
        <v>22.852499999999999</v>
      </c>
      <c r="J527" s="2">
        <v>479.90249999999997</v>
      </c>
      <c r="K527" s="5">
        <v>43521</v>
      </c>
      <c r="L527" s="4">
        <v>0.66874999999999996</v>
      </c>
      <c r="M527" s="3" t="s">
        <v>33</v>
      </c>
      <c r="N527" s="2">
        <v>457.05</v>
      </c>
      <c r="O527" s="2">
        <v>4.7619047620000003</v>
      </c>
      <c r="P527" s="2">
        <v>22.852499999999999</v>
      </c>
      <c r="Q527" s="2">
        <v>7.1</v>
      </c>
      <c r="R527" s="3"/>
      <c r="S527" s="1"/>
      <c r="T527" s="1"/>
      <c r="U527" s="1" t="s">
        <v>37</v>
      </c>
      <c r="V527" s="1" t="s">
        <v>37</v>
      </c>
      <c r="W527" s="1" t="s">
        <v>37</v>
      </c>
    </row>
    <row r="528" spans="1:23">
      <c r="A528" s="3" t="s">
        <v>3092</v>
      </c>
      <c r="B528" s="3" t="s">
        <v>115</v>
      </c>
      <c r="C528" s="3" t="s">
        <v>116</v>
      </c>
      <c r="D528" s="3" t="s">
        <v>41</v>
      </c>
      <c r="E528" s="3" t="s">
        <v>992</v>
      </c>
      <c r="F528" s="3" t="s">
        <v>127</v>
      </c>
      <c r="G528" s="2">
        <v>39.21</v>
      </c>
      <c r="H528" s="2">
        <v>4</v>
      </c>
      <c r="I528" s="2">
        <v>7.8419999999999996</v>
      </c>
      <c r="J528" s="2">
        <v>164.68199999999999</v>
      </c>
      <c r="K528" s="5">
        <v>43481</v>
      </c>
      <c r="L528" s="4">
        <v>0.8354166666666667</v>
      </c>
      <c r="M528" s="3" t="s">
        <v>59</v>
      </c>
      <c r="N528" s="2">
        <v>156.84</v>
      </c>
      <c r="O528" s="2">
        <v>4.7619047620000003</v>
      </c>
      <c r="P528" s="2">
        <v>7.8419999999999996</v>
      </c>
      <c r="Q528" s="2">
        <v>9</v>
      </c>
      <c r="R528" s="3"/>
      <c r="S528" s="1"/>
      <c r="T528" s="1"/>
      <c r="U528" s="1" t="s">
        <v>37</v>
      </c>
      <c r="V528" s="1" t="s">
        <v>37</v>
      </c>
      <c r="W528" s="1" t="s">
        <v>37</v>
      </c>
    </row>
    <row r="529" spans="1:23">
      <c r="A529" s="3" t="s">
        <v>3098</v>
      </c>
      <c r="B529" s="3" t="s">
        <v>115</v>
      </c>
      <c r="C529" s="3" t="s">
        <v>116</v>
      </c>
      <c r="D529" s="3" t="s">
        <v>24</v>
      </c>
      <c r="E529" s="3" t="s">
        <v>992</v>
      </c>
      <c r="F529" s="3" t="s">
        <v>127</v>
      </c>
      <c r="G529" s="2">
        <v>59.86</v>
      </c>
      <c r="H529" s="2">
        <v>2</v>
      </c>
      <c r="I529" s="2">
        <v>5.9859999999999998</v>
      </c>
      <c r="J529" s="2">
        <v>125.706</v>
      </c>
      <c r="K529" s="5">
        <v>43478</v>
      </c>
      <c r="L529" s="4">
        <v>0.62152777777777779</v>
      </c>
      <c r="M529" s="3" t="s">
        <v>33</v>
      </c>
      <c r="N529" s="2">
        <v>119.72</v>
      </c>
      <c r="O529" s="2">
        <v>4.7619047620000003</v>
      </c>
      <c r="P529" s="2">
        <v>5.9859999999999998</v>
      </c>
      <c r="Q529" s="2">
        <v>6.7</v>
      </c>
      <c r="R529" s="3"/>
      <c r="S529" s="1"/>
      <c r="T529" s="1"/>
      <c r="U529" s="1" t="s">
        <v>37</v>
      </c>
      <c r="V529" s="1" t="s">
        <v>37</v>
      </c>
      <c r="W529" s="1" t="s">
        <v>37</v>
      </c>
    </row>
    <row r="530" spans="1:23">
      <c r="A530" s="3" t="s">
        <v>3103</v>
      </c>
      <c r="B530" s="3" t="s">
        <v>115</v>
      </c>
      <c r="C530" s="3" t="s">
        <v>116</v>
      </c>
      <c r="D530" s="3" t="s">
        <v>24</v>
      </c>
      <c r="E530" s="3" t="s">
        <v>25</v>
      </c>
      <c r="F530" s="3" t="s">
        <v>117</v>
      </c>
      <c r="G530" s="2">
        <v>54.36</v>
      </c>
      <c r="H530" s="2">
        <v>10</v>
      </c>
      <c r="I530" s="2">
        <v>27.18</v>
      </c>
      <c r="J530" s="2">
        <v>570.78</v>
      </c>
      <c r="K530" s="5">
        <v>43503</v>
      </c>
      <c r="L530" s="4">
        <v>0.4777777777777778</v>
      </c>
      <c r="M530" s="3" t="s">
        <v>59</v>
      </c>
      <c r="N530" s="2">
        <v>543.6</v>
      </c>
      <c r="O530" s="2">
        <v>4.7619047620000003</v>
      </c>
      <c r="P530" s="2">
        <v>27.18</v>
      </c>
      <c r="Q530" s="2">
        <v>6.1</v>
      </c>
      <c r="R530" s="3"/>
      <c r="S530" s="1"/>
      <c r="T530" s="1"/>
      <c r="U530" s="1" t="s">
        <v>37</v>
      </c>
      <c r="V530" s="1" t="s">
        <v>37</v>
      </c>
      <c r="W530" s="1" t="s">
        <v>37</v>
      </c>
    </row>
    <row r="531" spans="1:23">
      <c r="A531" s="3" t="s">
        <v>3108</v>
      </c>
      <c r="B531" s="3" t="s">
        <v>22</v>
      </c>
      <c r="C531" s="3" t="s">
        <v>23</v>
      </c>
      <c r="D531" s="3" t="s">
        <v>41</v>
      </c>
      <c r="E531" s="3" t="s">
        <v>992</v>
      </c>
      <c r="F531" s="3" t="s">
        <v>72</v>
      </c>
      <c r="G531" s="2">
        <v>98.09</v>
      </c>
      <c r="H531" s="2">
        <v>9</v>
      </c>
      <c r="I531" s="2">
        <v>44.140500000000003</v>
      </c>
      <c r="J531" s="2">
        <v>926.95050000000003</v>
      </c>
      <c r="K531" s="5">
        <v>43513</v>
      </c>
      <c r="L531" s="4">
        <v>0.82013888888888886</v>
      </c>
      <c r="M531" s="3" t="s">
        <v>49</v>
      </c>
      <c r="N531" s="2">
        <v>882.81</v>
      </c>
      <c r="O531" s="2">
        <v>4.7619047620000003</v>
      </c>
      <c r="P531" s="2">
        <v>44.140500000000003</v>
      </c>
      <c r="Q531" s="2">
        <v>9.3000000000000007</v>
      </c>
      <c r="R531" s="3"/>
      <c r="S531" s="1"/>
      <c r="T531" s="1"/>
      <c r="U531" s="1" t="s">
        <v>37</v>
      </c>
      <c r="V531" s="1" t="s">
        <v>37</v>
      </c>
      <c r="W531" s="1" t="s">
        <v>37</v>
      </c>
    </row>
    <row r="532" spans="1:23">
      <c r="A532" s="3" t="s">
        <v>3114</v>
      </c>
      <c r="B532" s="3" t="s">
        <v>22</v>
      </c>
      <c r="C532" s="3" t="s">
        <v>23</v>
      </c>
      <c r="D532" s="3" t="s">
        <v>41</v>
      </c>
      <c r="E532" s="3" t="s">
        <v>992</v>
      </c>
      <c r="F532" s="3" t="s">
        <v>26</v>
      </c>
      <c r="G532" s="2">
        <v>25.43</v>
      </c>
      <c r="H532" s="2">
        <v>6</v>
      </c>
      <c r="I532" s="2">
        <v>7.6289999999999996</v>
      </c>
      <c r="J532" s="2">
        <v>160.209</v>
      </c>
      <c r="K532" s="5">
        <v>43508</v>
      </c>
      <c r="L532" s="4">
        <v>0.79236111111111107</v>
      </c>
      <c r="M532" s="3" t="s">
        <v>33</v>
      </c>
      <c r="N532" s="2">
        <v>152.58000000000001</v>
      </c>
      <c r="O532" s="2">
        <v>4.7619047620000003</v>
      </c>
      <c r="P532" s="2">
        <v>7.6289999999999996</v>
      </c>
      <c r="Q532" s="2">
        <v>7</v>
      </c>
      <c r="R532" s="3"/>
      <c r="S532" s="1"/>
      <c r="T532" s="1"/>
      <c r="U532" s="1" t="s">
        <v>37</v>
      </c>
      <c r="V532" s="1" t="s">
        <v>37</v>
      </c>
      <c r="W532" s="1" t="s">
        <v>37</v>
      </c>
    </row>
    <row r="533" spans="1:23">
      <c r="A533" s="3" t="s">
        <v>3119</v>
      </c>
      <c r="B533" s="3" t="s">
        <v>22</v>
      </c>
      <c r="C533" s="3" t="s">
        <v>23</v>
      </c>
      <c r="D533" s="3" t="s">
        <v>24</v>
      </c>
      <c r="E533" s="3" t="s">
        <v>992</v>
      </c>
      <c r="F533" s="3" t="s">
        <v>127</v>
      </c>
      <c r="G533" s="2">
        <v>86.68</v>
      </c>
      <c r="H533" s="2">
        <v>8</v>
      </c>
      <c r="I533" s="2">
        <v>34.671999999999997</v>
      </c>
      <c r="J533" s="2">
        <v>728.11199999999997</v>
      </c>
      <c r="K533" s="5">
        <v>43489</v>
      </c>
      <c r="L533" s="4">
        <v>0.75277777777777777</v>
      </c>
      <c r="M533" s="3" t="s">
        <v>59</v>
      </c>
      <c r="N533" s="2">
        <v>693.44</v>
      </c>
      <c r="O533" s="2">
        <v>4.7619047620000003</v>
      </c>
      <c r="P533" s="2">
        <v>34.671999999999997</v>
      </c>
      <c r="Q533" s="2">
        <v>7.2</v>
      </c>
      <c r="R533" s="3"/>
      <c r="S533" s="1"/>
      <c r="T533" s="1"/>
      <c r="U533" s="1" t="s">
        <v>37</v>
      </c>
      <c r="V533" s="1" t="s">
        <v>37</v>
      </c>
      <c r="W533" s="1" t="s">
        <v>37</v>
      </c>
    </row>
    <row r="534" spans="1:23">
      <c r="A534" s="3" t="s">
        <v>3125</v>
      </c>
      <c r="B534" s="3" t="s">
        <v>115</v>
      </c>
      <c r="C534" s="3" t="s">
        <v>116</v>
      </c>
      <c r="D534" s="3" t="s">
        <v>41</v>
      </c>
      <c r="E534" s="3" t="s">
        <v>992</v>
      </c>
      <c r="F534" s="3" t="s">
        <v>42</v>
      </c>
      <c r="G534" s="2">
        <v>22.95</v>
      </c>
      <c r="H534" s="2">
        <v>10</v>
      </c>
      <c r="I534" s="2">
        <v>11.475</v>
      </c>
      <c r="J534" s="2">
        <v>240.97499999999999</v>
      </c>
      <c r="K534" s="5">
        <v>43502</v>
      </c>
      <c r="L534" s="4">
        <v>0.80555555555555558</v>
      </c>
      <c r="M534" s="3" t="s">
        <v>33</v>
      </c>
      <c r="N534" s="2">
        <v>229.5</v>
      </c>
      <c r="O534" s="2">
        <v>4.7619047620000003</v>
      </c>
      <c r="P534" s="2">
        <v>11.475</v>
      </c>
      <c r="Q534" s="2">
        <v>8.1999999999999993</v>
      </c>
      <c r="R534" s="3"/>
      <c r="S534" s="1"/>
      <c r="T534" s="1"/>
      <c r="U534" s="1" t="s">
        <v>37</v>
      </c>
      <c r="V534" s="1" t="s">
        <v>37</v>
      </c>
      <c r="W534" s="1" t="s">
        <v>37</v>
      </c>
    </row>
    <row r="535" spans="1:23">
      <c r="A535" s="3" t="s">
        <v>3130</v>
      </c>
      <c r="B535" s="3" t="s">
        <v>39</v>
      </c>
      <c r="C535" s="3" t="s">
        <v>40</v>
      </c>
      <c r="D535" s="3" t="s">
        <v>41</v>
      </c>
      <c r="E535" s="3" t="s">
        <v>25</v>
      </c>
      <c r="F535" s="3" t="s">
        <v>117</v>
      </c>
      <c r="G535" s="2">
        <v>16.309999999999999</v>
      </c>
      <c r="H535" s="2">
        <v>9</v>
      </c>
      <c r="I535" s="2">
        <v>7.3395000000000001</v>
      </c>
      <c r="J535" s="2">
        <v>154.12950000000001</v>
      </c>
      <c r="K535" s="5">
        <v>43550</v>
      </c>
      <c r="L535" s="4">
        <v>0.43819444444444444</v>
      </c>
      <c r="M535" s="3" t="s">
        <v>33</v>
      </c>
      <c r="N535" s="2">
        <v>146.79</v>
      </c>
      <c r="O535" s="2">
        <v>4.7619047620000003</v>
      </c>
      <c r="P535" s="2">
        <v>7.3395000000000001</v>
      </c>
      <c r="Q535" s="2">
        <v>8.4</v>
      </c>
      <c r="R535" s="3"/>
      <c r="S535" s="1"/>
      <c r="T535" s="1"/>
      <c r="U535" s="1" t="s">
        <v>37</v>
      </c>
      <c r="V535" s="1" t="s">
        <v>37</v>
      </c>
      <c r="W535" s="1" t="s">
        <v>37</v>
      </c>
    </row>
    <row r="536" spans="1:23">
      <c r="A536" s="3" t="s">
        <v>3136</v>
      </c>
      <c r="B536" s="3" t="s">
        <v>22</v>
      </c>
      <c r="C536" s="3" t="s">
        <v>23</v>
      </c>
      <c r="D536" s="3" t="s">
        <v>41</v>
      </c>
      <c r="E536" s="3" t="s">
        <v>25</v>
      </c>
      <c r="F536" s="3" t="s">
        <v>53</v>
      </c>
      <c r="G536" s="2">
        <v>28.32</v>
      </c>
      <c r="H536" s="2">
        <v>5</v>
      </c>
      <c r="I536" s="2">
        <v>7.08</v>
      </c>
      <c r="J536" s="2">
        <v>148.68</v>
      </c>
      <c r="K536" s="5">
        <v>43535</v>
      </c>
      <c r="L536" s="4">
        <v>0.56111111111111112</v>
      </c>
      <c r="M536" s="3" t="s">
        <v>33</v>
      </c>
      <c r="N536" s="2">
        <v>141.6</v>
      </c>
      <c r="O536" s="2">
        <v>4.7619047620000003</v>
      </c>
      <c r="P536" s="2">
        <v>7.08</v>
      </c>
      <c r="Q536" s="2">
        <v>6.2</v>
      </c>
      <c r="R536" s="3"/>
      <c r="S536" s="1"/>
      <c r="T536" s="1"/>
      <c r="U536" s="1" t="s">
        <v>37</v>
      </c>
      <c r="V536" s="1" t="s">
        <v>37</v>
      </c>
      <c r="W536" s="1" t="s">
        <v>37</v>
      </c>
    </row>
    <row r="537" spans="1:23">
      <c r="A537" s="3" t="s">
        <v>3142</v>
      </c>
      <c r="B537" s="3" t="s">
        <v>39</v>
      </c>
      <c r="C537" s="3" t="s">
        <v>40</v>
      </c>
      <c r="D537" s="3" t="s">
        <v>41</v>
      </c>
      <c r="E537" s="3" t="s">
        <v>992</v>
      </c>
      <c r="F537" s="3" t="s">
        <v>53</v>
      </c>
      <c r="G537" s="2">
        <v>16.670000000000002</v>
      </c>
      <c r="H537" s="2">
        <v>7</v>
      </c>
      <c r="I537" s="2">
        <v>5.8345000000000002</v>
      </c>
      <c r="J537" s="2">
        <v>122.5245</v>
      </c>
      <c r="K537" s="5">
        <v>43503</v>
      </c>
      <c r="L537" s="4">
        <v>0.48333333333333334</v>
      </c>
      <c r="M537" s="3" t="s">
        <v>33</v>
      </c>
      <c r="N537" s="2">
        <v>116.69</v>
      </c>
      <c r="O537" s="2">
        <v>4.7619047620000003</v>
      </c>
      <c r="P537" s="2">
        <v>5.8345000000000002</v>
      </c>
      <c r="Q537" s="2">
        <v>7.4</v>
      </c>
      <c r="R537" s="3"/>
      <c r="S537" s="1"/>
      <c r="T537" s="1"/>
      <c r="U537" s="1" t="s">
        <v>37</v>
      </c>
      <c r="V537" s="1" t="s">
        <v>37</v>
      </c>
      <c r="W537" s="1" t="s">
        <v>37</v>
      </c>
    </row>
    <row r="538" spans="1:23">
      <c r="A538" s="3" t="s">
        <v>3146</v>
      </c>
      <c r="B538" s="3" t="s">
        <v>115</v>
      </c>
      <c r="C538" s="3" t="s">
        <v>116</v>
      </c>
      <c r="D538" s="3" t="s">
        <v>24</v>
      </c>
      <c r="E538" s="3" t="s">
        <v>25</v>
      </c>
      <c r="F538" s="3" t="s">
        <v>127</v>
      </c>
      <c r="G538" s="2">
        <v>73.959999999999994</v>
      </c>
      <c r="H538" s="2">
        <v>1</v>
      </c>
      <c r="I538" s="2">
        <v>3.698</v>
      </c>
      <c r="J538" s="2">
        <v>77.658000000000001</v>
      </c>
      <c r="K538" s="5">
        <v>43470</v>
      </c>
      <c r="L538" s="4">
        <v>0.48055555555555557</v>
      </c>
      <c r="M538" s="3" t="s">
        <v>59</v>
      </c>
      <c r="N538" s="2">
        <v>73.959999999999994</v>
      </c>
      <c r="O538" s="2">
        <v>4.7619047620000003</v>
      </c>
      <c r="P538" s="2">
        <v>3.698</v>
      </c>
      <c r="Q538" s="2">
        <v>5</v>
      </c>
      <c r="R538" s="3"/>
      <c r="S538" s="1"/>
      <c r="T538" s="1"/>
      <c r="U538" s="1" t="s">
        <v>37</v>
      </c>
      <c r="V538" s="1" t="s">
        <v>37</v>
      </c>
      <c r="W538" s="1" t="s">
        <v>37</v>
      </c>
    </row>
    <row r="539" spans="1:23">
      <c r="A539" s="3" t="s">
        <v>3150</v>
      </c>
      <c r="B539" s="3" t="s">
        <v>22</v>
      </c>
      <c r="C539" s="3" t="s">
        <v>23</v>
      </c>
      <c r="D539" s="3" t="s">
        <v>41</v>
      </c>
      <c r="E539" s="3" t="s">
        <v>992</v>
      </c>
      <c r="F539" s="3" t="s">
        <v>53</v>
      </c>
      <c r="G539" s="2">
        <v>97.94</v>
      </c>
      <c r="H539" s="2">
        <v>1</v>
      </c>
      <c r="I539" s="2">
        <v>4.8970000000000002</v>
      </c>
      <c r="J539" s="2">
        <v>102.837</v>
      </c>
      <c r="K539" s="5">
        <v>43531</v>
      </c>
      <c r="L539" s="4">
        <v>0.48888888888888887</v>
      </c>
      <c r="M539" s="3" t="s">
        <v>33</v>
      </c>
      <c r="N539" s="2">
        <v>97.94</v>
      </c>
      <c r="O539" s="2">
        <v>4.7619047620000003</v>
      </c>
      <c r="P539" s="2">
        <v>4.8970000000000002</v>
      </c>
      <c r="Q539" s="2">
        <v>6.9</v>
      </c>
      <c r="R539" s="3"/>
      <c r="S539" s="1"/>
      <c r="T539" s="1"/>
      <c r="U539" s="1" t="s">
        <v>37</v>
      </c>
      <c r="V539" s="1" t="s">
        <v>37</v>
      </c>
      <c r="W539" s="1" t="s">
        <v>37</v>
      </c>
    </row>
    <row r="540" spans="1:23">
      <c r="A540" s="3" t="s">
        <v>3154</v>
      </c>
      <c r="B540" s="3" t="s">
        <v>22</v>
      </c>
      <c r="C540" s="3" t="s">
        <v>23</v>
      </c>
      <c r="D540" s="3" t="s">
        <v>41</v>
      </c>
      <c r="E540" s="3" t="s">
        <v>25</v>
      </c>
      <c r="F540" s="3" t="s">
        <v>127</v>
      </c>
      <c r="G540" s="2">
        <v>73.05</v>
      </c>
      <c r="H540" s="2">
        <v>4</v>
      </c>
      <c r="I540" s="2">
        <v>14.61</v>
      </c>
      <c r="J540" s="2">
        <v>306.81</v>
      </c>
      <c r="K540" s="5">
        <v>43521</v>
      </c>
      <c r="L540" s="4">
        <v>0.71944444444444444</v>
      </c>
      <c r="M540" s="3" t="s">
        <v>59</v>
      </c>
      <c r="N540" s="2">
        <v>292.2</v>
      </c>
      <c r="O540" s="2">
        <v>4.7619047620000003</v>
      </c>
      <c r="P540" s="2">
        <v>14.61</v>
      </c>
      <c r="Q540" s="2">
        <v>4.9000000000000004</v>
      </c>
      <c r="R540" s="3"/>
      <c r="S540" s="1"/>
      <c r="T540" s="1"/>
      <c r="U540" s="1" t="s">
        <v>37</v>
      </c>
      <c r="V540" s="1" t="s">
        <v>37</v>
      </c>
      <c r="W540" s="1" t="s">
        <v>37</v>
      </c>
    </row>
    <row r="541" spans="1:23">
      <c r="A541" s="3" t="s">
        <v>3159</v>
      </c>
      <c r="B541" s="3" t="s">
        <v>39</v>
      </c>
      <c r="C541" s="3" t="s">
        <v>40</v>
      </c>
      <c r="D541" s="3" t="s">
        <v>24</v>
      </c>
      <c r="E541" s="3" t="s">
        <v>25</v>
      </c>
      <c r="F541" s="3" t="s">
        <v>117</v>
      </c>
      <c r="G541" s="2">
        <v>87.48</v>
      </c>
      <c r="H541" s="2">
        <v>6</v>
      </c>
      <c r="I541" s="2">
        <v>26.244</v>
      </c>
      <c r="J541" s="2">
        <v>551.12400000000002</v>
      </c>
      <c r="K541" s="5">
        <v>43497</v>
      </c>
      <c r="L541" s="4">
        <v>0.77986111111111112</v>
      </c>
      <c r="M541" s="3" t="s">
        <v>33</v>
      </c>
      <c r="N541" s="2">
        <v>524.88</v>
      </c>
      <c r="O541" s="2">
        <v>4.7619047620000003</v>
      </c>
      <c r="P541" s="2">
        <v>26.244</v>
      </c>
      <c r="Q541" s="2">
        <v>5.0999999999999996</v>
      </c>
      <c r="R541" s="3"/>
      <c r="S541" s="1"/>
      <c r="T541" s="1"/>
      <c r="U541" s="1" t="s">
        <v>37</v>
      </c>
      <c r="V541" s="1" t="s">
        <v>37</v>
      </c>
      <c r="W541" s="1" t="s">
        <v>37</v>
      </c>
    </row>
    <row r="542" spans="1:23">
      <c r="A542" s="3" t="s">
        <v>3165</v>
      </c>
      <c r="B542" s="3" t="s">
        <v>22</v>
      </c>
      <c r="C542" s="3" t="s">
        <v>23</v>
      </c>
      <c r="D542" s="3" t="s">
        <v>41</v>
      </c>
      <c r="E542" s="3" t="s">
        <v>992</v>
      </c>
      <c r="F542" s="3" t="s">
        <v>53</v>
      </c>
      <c r="G542" s="2">
        <v>30.68</v>
      </c>
      <c r="H542" s="2">
        <v>3</v>
      </c>
      <c r="I542" s="2">
        <v>4.6020000000000003</v>
      </c>
      <c r="J542" s="2">
        <v>96.641999999999996</v>
      </c>
      <c r="K542" s="5">
        <v>43487</v>
      </c>
      <c r="L542" s="4">
        <v>0.45833333333333331</v>
      </c>
      <c r="M542" s="3" t="s">
        <v>33</v>
      </c>
      <c r="N542" s="2">
        <v>92.04</v>
      </c>
      <c r="O542" s="2">
        <v>4.7619047620000003</v>
      </c>
      <c r="P542" s="2">
        <v>4.6020000000000003</v>
      </c>
      <c r="Q542" s="2">
        <v>9.1</v>
      </c>
      <c r="R542" s="3"/>
      <c r="S542" s="1"/>
      <c r="T542" s="1"/>
      <c r="U542" s="1" t="s">
        <v>37</v>
      </c>
      <c r="V542" s="1" t="s">
        <v>37</v>
      </c>
      <c r="W542" s="1" t="s">
        <v>37</v>
      </c>
    </row>
    <row r="543" spans="1:23">
      <c r="A543" s="3" t="s">
        <v>3170</v>
      </c>
      <c r="B543" s="3" t="s">
        <v>39</v>
      </c>
      <c r="C543" s="3" t="s">
        <v>40</v>
      </c>
      <c r="D543" s="3" t="s">
        <v>24</v>
      </c>
      <c r="E543" s="3" t="s">
        <v>992</v>
      </c>
      <c r="F543" s="3" t="s">
        <v>26</v>
      </c>
      <c r="G543" s="2">
        <v>75.88</v>
      </c>
      <c r="H543" s="2">
        <v>1</v>
      </c>
      <c r="I543" s="2">
        <v>3.794</v>
      </c>
      <c r="J543" s="2">
        <v>79.674000000000007</v>
      </c>
      <c r="K543" s="5">
        <v>43468</v>
      </c>
      <c r="L543" s="4">
        <v>0.4375</v>
      </c>
      <c r="M543" s="3" t="s">
        <v>59</v>
      </c>
      <c r="N543" s="2">
        <v>75.88</v>
      </c>
      <c r="O543" s="2">
        <v>4.7619047620000003</v>
      </c>
      <c r="P543" s="2">
        <v>3.794</v>
      </c>
      <c r="Q543" s="2">
        <v>7.1</v>
      </c>
      <c r="R543" s="3"/>
      <c r="S543" s="1"/>
      <c r="T543" s="1"/>
      <c r="U543" s="1" t="s">
        <v>37</v>
      </c>
      <c r="V543" s="1" t="s">
        <v>37</v>
      </c>
      <c r="W543" s="1" t="s">
        <v>37</v>
      </c>
    </row>
    <row r="544" spans="1:23">
      <c r="A544" s="3" t="s">
        <v>3175</v>
      </c>
      <c r="B544" s="3" t="s">
        <v>115</v>
      </c>
      <c r="C544" s="3" t="s">
        <v>116</v>
      </c>
      <c r="D544" s="3" t="s">
        <v>24</v>
      </c>
      <c r="E544" s="3" t="s">
        <v>25</v>
      </c>
      <c r="F544" s="3" t="s">
        <v>72</v>
      </c>
      <c r="G544" s="2">
        <v>20.18</v>
      </c>
      <c r="H544" s="2">
        <v>4</v>
      </c>
      <c r="I544" s="2">
        <v>4.0359999999999996</v>
      </c>
      <c r="J544" s="2">
        <v>84.756</v>
      </c>
      <c r="K544" s="5">
        <v>43509</v>
      </c>
      <c r="L544" s="4">
        <v>0.50972222222222219</v>
      </c>
      <c r="M544" s="3" t="s">
        <v>59</v>
      </c>
      <c r="N544" s="2">
        <v>80.72</v>
      </c>
      <c r="O544" s="2">
        <v>4.7619047620000003</v>
      </c>
      <c r="P544" s="2">
        <v>4.0359999999999996</v>
      </c>
      <c r="Q544" s="2">
        <v>5</v>
      </c>
      <c r="R544" s="3"/>
      <c r="S544" s="1"/>
      <c r="T544" s="1"/>
      <c r="U544" s="1" t="s">
        <v>37</v>
      </c>
      <c r="V544" s="1" t="s">
        <v>37</v>
      </c>
      <c r="W544" s="1" t="s">
        <v>37</v>
      </c>
    </row>
    <row r="545" spans="1:23">
      <c r="A545" s="3" t="s">
        <v>3180</v>
      </c>
      <c r="B545" s="3" t="s">
        <v>39</v>
      </c>
      <c r="C545" s="3" t="s">
        <v>40</v>
      </c>
      <c r="D545" s="3" t="s">
        <v>24</v>
      </c>
      <c r="E545" s="3" t="s">
        <v>992</v>
      </c>
      <c r="F545" s="3" t="s">
        <v>42</v>
      </c>
      <c r="G545" s="2">
        <v>18.77</v>
      </c>
      <c r="H545" s="2">
        <v>6</v>
      </c>
      <c r="I545" s="2">
        <v>5.6310000000000002</v>
      </c>
      <c r="J545" s="2">
        <v>118.251</v>
      </c>
      <c r="K545" s="5">
        <v>43493</v>
      </c>
      <c r="L545" s="4">
        <v>0.69652777777777775</v>
      </c>
      <c r="M545" s="3" t="s">
        <v>59</v>
      </c>
      <c r="N545" s="2">
        <v>112.62</v>
      </c>
      <c r="O545" s="2">
        <v>4.7619047620000003</v>
      </c>
      <c r="P545" s="2">
        <v>5.6310000000000002</v>
      </c>
      <c r="Q545" s="2">
        <v>5.5</v>
      </c>
      <c r="R545" s="3"/>
      <c r="S545" s="1"/>
      <c r="T545" s="1"/>
      <c r="U545" s="1" t="s">
        <v>37</v>
      </c>
      <c r="V545" s="1" t="s">
        <v>37</v>
      </c>
      <c r="W545" s="1" t="s">
        <v>37</v>
      </c>
    </row>
    <row r="546" spans="1:23">
      <c r="A546" s="3" t="s">
        <v>3185</v>
      </c>
      <c r="B546" s="3" t="s">
        <v>115</v>
      </c>
      <c r="C546" s="3" t="s">
        <v>116</v>
      </c>
      <c r="D546" s="3" t="s">
        <v>41</v>
      </c>
      <c r="E546" s="3" t="s">
        <v>25</v>
      </c>
      <c r="F546" s="3" t="s">
        <v>117</v>
      </c>
      <c r="G546" s="2">
        <v>71.2</v>
      </c>
      <c r="H546" s="2">
        <v>1</v>
      </c>
      <c r="I546" s="2">
        <v>3.56</v>
      </c>
      <c r="J546" s="2">
        <v>74.760000000000005</v>
      </c>
      <c r="K546" s="5">
        <v>43470</v>
      </c>
      <c r="L546" s="4">
        <v>0.86111111111111116</v>
      </c>
      <c r="M546" s="3" t="s">
        <v>59</v>
      </c>
      <c r="N546" s="2">
        <v>71.2</v>
      </c>
      <c r="O546" s="2">
        <v>4.7619047620000003</v>
      </c>
      <c r="P546" s="2">
        <v>3.56</v>
      </c>
      <c r="Q546" s="2">
        <v>9.1999999999999993</v>
      </c>
      <c r="R546" s="3"/>
      <c r="S546" s="1"/>
      <c r="T546" s="1"/>
      <c r="U546" s="1" t="s">
        <v>37</v>
      </c>
      <c r="V546" s="1" t="s">
        <v>37</v>
      </c>
      <c r="W546" s="1" t="s">
        <v>37</v>
      </c>
    </row>
    <row r="547" spans="1:23">
      <c r="A547" s="3" t="s">
        <v>3190</v>
      </c>
      <c r="B547" s="3" t="s">
        <v>115</v>
      </c>
      <c r="C547" s="3" t="s">
        <v>116</v>
      </c>
      <c r="D547" s="3" t="s">
        <v>24</v>
      </c>
      <c r="E547" s="3" t="s">
        <v>992</v>
      </c>
      <c r="F547" s="3" t="s">
        <v>53</v>
      </c>
      <c r="G547" s="2">
        <v>38.81</v>
      </c>
      <c r="H547" s="2">
        <v>4</v>
      </c>
      <c r="I547" s="2">
        <v>7.7619999999999996</v>
      </c>
      <c r="J547" s="2">
        <v>163.00200000000001</v>
      </c>
      <c r="K547" s="5">
        <v>43543</v>
      </c>
      <c r="L547" s="4">
        <v>0.56944444444444442</v>
      </c>
      <c r="M547" s="3" t="s">
        <v>33</v>
      </c>
      <c r="N547" s="2">
        <v>155.24</v>
      </c>
      <c r="O547" s="2">
        <v>4.7619047620000003</v>
      </c>
      <c r="P547" s="2">
        <v>7.7619999999999996</v>
      </c>
      <c r="Q547" s="2">
        <v>4.9000000000000004</v>
      </c>
      <c r="R547" s="3"/>
      <c r="S547" s="1"/>
      <c r="T547" s="1"/>
      <c r="U547" s="1" t="s">
        <v>37</v>
      </c>
      <c r="V547" s="1" t="s">
        <v>37</v>
      </c>
      <c r="W547" s="1" t="s">
        <v>37</v>
      </c>
    </row>
    <row r="548" spans="1:23">
      <c r="A548" s="3" t="s">
        <v>3195</v>
      </c>
      <c r="B548" s="3" t="s">
        <v>22</v>
      </c>
      <c r="C548" s="3" t="s">
        <v>23</v>
      </c>
      <c r="D548" s="3" t="s">
        <v>41</v>
      </c>
      <c r="E548" s="3" t="s">
        <v>25</v>
      </c>
      <c r="F548" s="3" t="s">
        <v>127</v>
      </c>
      <c r="G548" s="2">
        <v>29.42</v>
      </c>
      <c r="H548" s="2">
        <v>10</v>
      </c>
      <c r="I548" s="2">
        <v>14.71</v>
      </c>
      <c r="J548" s="2">
        <v>308.91000000000003</v>
      </c>
      <c r="K548" s="5">
        <v>43477</v>
      </c>
      <c r="L548" s="4">
        <v>0.68263888888888891</v>
      </c>
      <c r="M548" s="3" t="s">
        <v>33</v>
      </c>
      <c r="N548" s="2">
        <v>294.2</v>
      </c>
      <c r="O548" s="2">
        <v>4.7619047620000003</v>
      </c>
      <c r="P548" s="2">
        <v>14.71</v>
      </c>
      <c r="Q548" s="2">
        <v>8.9</v>
      </c>
      <c r="R548" s="3"/>
      <c r="S548" s="1"/>
      <c r="T548" s="1"/>
      <c r="U548" s="1" t="s">
        <v>37</v>
      </c>
      <c r="V548" s="1" t="s">
        <v>37</v>
      </c>
      <c r="W548" s="1" t="s">
        <v>37</v>
      </c>
    </row>
    <row r="549" spans="1:23">
      <c r="A549" s="3" t="s">
        <v>3200</v>
      </c>
      <c r="B549" s="3" t="s">
        <v>22</v>
      </c>
      <c r="C549" s="3" t="s">
        <v>23</v>
      </c>
      <c r="D549" s="3" t="s">
        <v>41</v>
      </c>
      <c r="E549" s="3" t="s">
        <v>992</v>
      </c>
      <c r="F549" s="3" t="s">
        <v>72</v>
      </c>
      <c r="G549" s="2">
        <v>60.95</v>
      </c>
      <c r="H549" s="2">
        <v>9</v>
      </c>
      <c r="I549" s="2">
        <v>27.427499999999998</v>
      </c>
      <c r="J549" s="2">
        <v>575.97749999999996</v>
      </c>
      <c r="K549" s="5">
        <v>43472</v>
      </c>
      <c r="L549" s="4">
        <v>0.50555555555555554</v>
      </c>
      <c r="M549" s="3" t="s">
        <v>59</v>
      </c>
      <c r="N549" s="2">
        <v>548.54999999999995</v>
      </c>
      <c r="O549" s="2">
        <v>4.7619047620000003</v>
      </c>
      <c r="P549" s="2">
        <v>27.427499999999998</v>
      </c>
      <c r="Q549" s="2">
        <v>6</v>
      </c>
      <c r="R549" s="3"/>
      <c r="S549" s="1"/>
      <c r="T549" s="1"/>
      <c r="U549" s="1" t="s">
        <v>37</v>
      </c>
      <c r="V549" s="1" t="s">
        <v>37</v>
      </c>
      <c r="W549" s="1" t="s">
        <v>37</v>
      </c>
    </row>
    <row r="550" spans="1:23">
      <c r="A550" s="3" t="s">
        <v>3206</v>
      </c>
      <c r="B550" s="3" t="s">
        <v>115</v>
      </c>
      <c r="C550" s="3" t="s">
        <v>116</v>
      </c>
      <c r="D550" s="3" t="s">
        <v>41</v>
      </c>
      <c r="E550" s="3" t="s">
        <v>25</v>
      </c>
      <c r="F550" s="3" t="s">
        <v>72</v>
      </c>
      <c r="G550" s="2">
        <v>51.54</v>
      </c>
      <c r="H550" s="2">
        <v>5</v>
      </c>
      <c r="I550" s="2">
        <v>12.885</v>
      </c>
      <c r="J550" s="2">
        <v>270.58499999999998</v>
      </c>
      <c r="K550" s="5">
        <v>43491</v>
      </c>
      <c r="L550" s="4">
        <v>0.73958333333333337</v>
      </c>
      <c r="M550" s="3" t="s">
        <v>49</v>
      </c>
      <c r="N550" s="2">
        <v>257.7</v>
      </c>
      <c r="O550" s="2">
        <v>4.7619047620000003</v>
      </c>
      <c r="P550" s="2">
        <v>12.885</v>
      </c>
      <c r="Q550" s="2">
        <v>4.2</v>
      </c>
      <c r="R550" s="3"/>
      <c r="S550" s="1"/>
      <c r="T550" s="1"/>
      <c r="U550" s="1" t="s">
        <v>37</v>
      </c>
      <c r="V550" s="1" t="s">
        <v>37</v>
      </c>
      <c r="W550" s="1" t="s">
        <v>37</v>
      </c>
    </row>
    <row r="551" spans="1:23">
      <c r="A551" s="3" t="s">
        <v>3212</v>
      </c>
      <c r="B551" s="3" t="s">
        <v>22</v>
      </c>
      <c r="C551" s="3" t="s">
        <v>23</v>
      </c>
      <c r="D551" s="3" t="s">
        <v>41</v>
      </c>
      <c r="E551" s="3" t="s">
        <v>25</v>
      </c>
      <c r="F551" s="3" t="s">
        <v>42</v>
      </c>
      <c r="G551" s="2">
        <v>66.06</v>
      </c>
      <c r="H551" s="2">
        <v>6</v>
      </c>
      <c r="I551" s="2">
        <v>19.818000000000001</v>
      </c>
      <c r="J551" s="2">
        <v>416.178</v>
      </c>
      <c r="K551" s="5">
        <v>43488</v>
      </c>
      <c r="L551" s="4">
        <v>0.43611111111111112</v>
      </c>
      <c r="M551" s="3" t="s">
        <v>49</v>
      </c>
      <c r="N551" s="2">
        <v>396.36</v>
      </c>
      <c r="O551" s="2">
        <v>4.7619047620000003</v>
      </c>
      <c r="P551" s="2">
        <v>19.818000000000001</v>
      </c>
      <c r="Q551" s="2">
        <v>7.3</v>
      </c>
      <c r="R551" s="3"/>
      <c r="S551" s="1"/>
      <c r="T551" s="1"/>
      <c r="U551" s="1" t="s">
        <v>37</v>
      </c>
      <c r="V551" s="1" t="s">
        <v>37</v>
      </c>
      <c r="W551" s="1" t="s">
        <v>37</v>
      </c>
    </row>
    <row r="552" spans="1:23">
      <c r="A552" s="3" t="s">
        <v>3218</v>
      </c>
      <c r="B552" s="3" t="s">
        <v>115</v>
      </c>
      <c r="C552" s="3" t="s">
        <v>116</v>
      </c>
      <c r="D552" s="3" t="s">
        <v>41</v>
      </c>
      <c r="E552" s="3" t="s">
        <v>992</v>
      </c>
      <c r="F552" s="3" t="s">
        <v>127</v>
      </c>
      <c r="G552" s="2">
        <v>57.27</v>
      </c>
      <c r="H552" s="2">
        <v>3</v>
      </c>
      <c r="I552" s="2">
        <v>8.5905000000000005</v>
      </c>
      <c r="J552" s="2">
        <v>180.40049999999999</v>
      </c>
      <c r="K552" s="5">
        <v>43505</v>
      </c>
      <c r="L552" s="4">
        <v>0.85486111111111107</v>
      </c>
      <c r="M552" s="3" t="s">
        <v>33</v>
      </c>
      <c r="N552" s="2">
        <v>171.81</v>
      </c>
      <c r="O552" s="2">
        <v>4.7619047620000003</v>
      </c>
      <c r="P552" s="2">
        <v>8.5905000000000005</v>
      </c>
      <c r="Q552" s="2">
        <v>6.5</v>
      </c>
      <c r="R552" s="3"/>
      <c r="S552" s="1"/>
      <c r="T552" s="1"/>
      <c r="U552" s="1" t="s">
        <v>37</v>
      </c>
      <c r="V552" s="1" t="s">
        <v>37</v>
      </c>
      <c r="W552" s="1" t="s">
        <v>37</v>
      </c>
    </row>
    <row r="553" spans="1:23">
      <c r="A553" s="3" t="s">
        <v>3223</v>
      </c>
      <c r="B553" s="3" t="s">
        <v>115</v>
      </c>
      <c r="C553" s="3" t="s">
        <v>116</v>
      </c>
      <c r="D553" s="3" t="s">
        <v>41</v>
      </c>
      <c r="E553" s="3" t="s">
        <v>25</v>
      </c>
      <c r="F553" s="3" t="s">
        <v>127</v>
      </c>
      <c r="G553" s="2">
        <v>54.31</v>
      </c>
      <c r="H553" s="2">
        <v>9</v>
      </c>
      <c r="I553" s="2">
        <v>24.439499999999999</v>
      </c>
      <c r="J553" s="2">
        <v>513.22950000000003</v>
      </c>
      <c r="K553" s="5">
        <v>43518</v>
      </c>
      <c r="L553" s="4">
        <v>0.45069444444444445</v>
      </c>
      <c r="M553" s="3" t="s">
        <v>49</v>
      </c>
      <c r="N553" s="2">
        <v>488.79</v>
      </c>
      <c r="O553" s="2">
        <v>4.7619047620000003</v>
      </c>
      <c r="P553" s="2">
        <v>24.439499999999999</v>
      </c>
      <c r="Q553" s="2">
        <v>8.9</v>
      </c>
      <c r="R553" s="3"/>
      <c r="S553" s="1"/>
      <c r="T553" s="1"/>
      <c r="U553" s="1" t="s">
        <v>37</v>
      </c>
      <c r="V553" s="1" t="s">
        <v>37</v>
      </c>
      <c r="W553" s="1" t="s">
        <v>37</v>
      </c>
    </row>
    <row r="554" spans="1:23">
      <c r="A554" s="3" t="s">
        <v>3229</v>
      </c>
      <c r="B554" s="3" t="s">
        <v>115</v>
      </c>
      <c r="C554" s="3" t="s">
        <v>116</v>
      </c>
      <c r="D554" s="3" t="s">
        <v>41</v>
      </c>
      <c r="E554" s="3" t="s">
        <v>25</v>
      </c>
      <c r="F554" s="3" t="s">
        <v>26</v>
      </c>
      <c r="G554" s="2">
        <v>58.24</v>
      </c>
      <c r="H554" s="2">
        <v>9</v>
      </c>
      <c r="I554" s="2">
        <v>26.207999999999998</v>
      </c>
      <c r="J554" s="2">
        <v>550.36800000000005</v>
      </c>
      <c r="K554" s="5">
        <v>43501</v>
      </c>
      <c r="L554" s="4">
        <v>0.52361111111111114</v>
      </c>
      <c r="M554" s="3" t="s">
        <v>49</v>
      </c>
      <c r="N554" s="2">
        <v>524.16</v>
      </c>
      <c r="O554" s="2">
        <v>4.7619047620000003</v>
      </c>
      <c r="P554" s="2">
        <v>26.207999999999998</v>
      </c>
      <c r="Q554" s="2">
        <v>9.6999999999999993</v>
      </c>
      <c r="R554" s="3"/>
      <c r="S554" s="1"/>
      <c r="T554" s="1"/>
      <c r="U554" s="1" t="s">
        <v>37</v>
      </c>
      <c r="V554" s="1" t="s">
        <v>37</v>
      </c>
      <c r="W554" s="1" t="s">
        <v>37</v>
      </c>
    </row>
    <row r="555" spans="1:23">
      <c r="A555" s="3" t="s">
        <v>3235</v>
      </c>
      <c r="B555" s="3" t="s">
        <v>39</v>
      </c>
      <c r="C555" s="3" t="s">
        <v>40</v>
      </c>
      <c r="D555" s="3" t="s">
        <v>41</v>
      </c>
      <c r="E555" s="3" t="s">
        <v>992</v>
      </c>
      <c r="F555" s="3" t="s">
        <v>42</v>
      </c>
      <c r="G555" s="2">
        <v>22.21</v>
      </c>
      <c r="H555" s="2">
        <v>6</v>
      </c>
      <c r="I555" s="2">
        <v>6.6630000000000003</v>
      </c>
      <c r="J555" s="2">
        <v>139.923</v>
      </c>
      <c r="K555" s="5">
        <v>43531</v>
      </c>
      <c r="L555" s="4">
        <v>0.43263888888888891</v>
      </c>
      <c r="M555" s="3" t="s">
        <v>59</v>
      </c>
      <c r="N555" s="2">
        <v>133.26</v>
      </c>
      <c r="O555" s="2">
        <v>4.7619047620000003</v>
      </c>
      <c r="P555" s="2">
        <v>6.6630000000000003</v>
      </c>
      <c r="Q555" s="2">
        <v>8.6</v>
      </c>
      <c r="R555" s="3"/>
      <c r="S555" s="1"/>
      <c r="T555" s="1"/>
      <c r="U555" s="1" t="s">
        <v>37</v>
      </c>
      <c r="V555" s="1" t="s">
        <v>37</v>
      </c>
      <c r="W555" s="1" t="s">
        <v>37</v>
      </c>
    </row>
    <row r="556" spans="1:23">
      <c r="A556" s="3" t="s">
        <v>3240</v>
      </c>
      <c r="B556" s="3" t="s">
        <v>22</v>
      </c>
      <c r="C556" s="3" t="s">
        <v>23</v>
      </c>
      <c r="D556" s="3" t="s">
        <v>24</v>
      </c>
      <c r="E556" s="3" t="s">
        <v>992</v>
      </c>
      <c r="F556" s="3" t="s">
        <v>42</v>
      </c>
      <c r="G556" s="2">
        <v>19.32</v>
      </c>
      <c r="H556" s="2">
        <v>7</v>
      </c>
      <c r="I556" s="2">
        <v>6.7619999999999996</v>
      </c>
      <c r="J556" s="2">
        <v>142.00200000000001</v>
      </c>
      <c r="K556" s="5">
        <v>43549</v>
      </c>
      <c r="L556" s="4">
        <v>0.78541666666666665</v>
      </c>
      <c r="M556" s="3" t="s">
        <v>49</v>
      </c>
      <c r="N556" s="2">
        <v>135.24</v>
      </c>
      <c r="O556" s="2">
        <v>4.7619047620000003</v>
      </c>
      <c r="P556" s="2">
        <v>6.7619999999999996</v>
      </c>
      <c r="Q556" s="2">
        <v>6.9</v>
      </c>
      <c r="R556" s="3"/>
      <c r="S556" s="1"/>
      <c r="T556" s="1"/>
      <c r="U556" s="1" t="s">
        <v>37</v>
      </c>
      <c r="V556" s="1" t="s">
        <v>37</v>
      </c>
      <c r="W556" s="1" t="s">
        <v>37</v>
      </c>
    </row>
    <row r="557" spans="1:23">
      <c r="A557" s="3" t="s">
        <v>3246</v>
      </c>
      <c r="B557" s="3" t="s">
        <v>115</v>
      </c>
      <c r="C557" s="3" t="s">
        <v>116</v>
      </c>
      <c r="D557" s="3" t="s">
        <v>41</v>
      </c>
      <c r="E557" s="3" t="s">
        <v>992</v>
      </c>
      <c r="F557" s="3" t="s">
        <v>53</v>
      </c>
      <c r="G557" s="2">
        <v>37.479999999999997</v>
      </c>
      <c r="H557" s="2">
        <v>3</v>
      </c>
      <c r="I557" s="2">
        <v>5.6219999999999999</v>
      </c>
      <c r="J557" s="2">
        <v>118.062</v>
      </c>
      <c r="K557" s="5">
        <v>43485</v>
      </c>
      <c r="L557" s="4">
        <v>0.57291666666666663</v>
      </c>
      <c r="M557" s="3" t="s">
        <v>59</v>
      </c>
      <c r="N557" s="2">
        <v>112.44</v>
      </c>
      <c r="O557" s="2">
        <v>4.7619047620000003</v>
      </c>
      <c r="P557" s="2">
        <v>5.6219999999999999</v>
      </c>
      <c r="Q557" s="2">
        <v>7.7</v>
      </c>
      <c r="R557" s="3"/>
      <c r="S557" s="1"/>
      <c r="T557" s="1"/>
      <c r="U557" s="1" t="s">
        <v>37</v>
      </c>
      <c r="V557" s="1" t="s">
        <v>37</v>
      </c>
      <c r="W557" s="1" t="s">
        <v>37</v>
      </c>
    </row>
    <row r="558" spans="1:23">
      <c r="A558" s="3" t="s">
        <v>3251</v>
      </c>
      <c r="B558" s="3" t="s">
        <v>115</v>
      </c>
      <c r="C558" s="3" t="s">
        <v>116</v>
      </c>
      <c r="D558" s="3" t="s">
        <v>24</v>
      </c>
      <c r="E558" s="3" t="s">
        <v>25</v>
      </c>
      <c r="F558" s="3" t="s">
        <v>127</v>
      </c>
      <c r="G558" s="2">
        <v>72.040000000000006</v>
      </c>
      <c r="H558" s="2">
        <v>2</v>
      </c>
      <c r="I558" s="2">
        <v>7.2039999999999997</v>
      </c>
      <c r="J558" s="2">
        <v>151.28399999999999</v>
      </c>
      <c r="K558" s="5">
        <v>43500</v>
      </c>
      <c r="L558" s="4">
        <v>0.81805555555555554</v>
      </c>
      <c r="M558" s="3" t="s">
        <v>49</v>
      </c>
      <c r="N558" s="2">
        <v>144.08000000000001</v>
      </c>
      <c r="O558" s="2">
        <v>4.7619047620000003</v>
      </c>
      <c r="P558" s="2">
        <v>7.2039999999999997</v>
      </c>
      <c r="Q558" s="2">
        <v>9.5</v>
      </c>
      <c r="R558" s="3"/>
      <c r="S558" s="1"/>
      <c r="T558" s="1"/>
      <c r="U558" s="1" t="s">
        <v>37</v>
      </c>
      <c r="V558" s="1" t="s">
        <v>37</v>
      </c>
      <c r="W558" s="1" t="s">
        <v>37</v>
      </c>
    </row>
    <row r="559" spans="1:23">
      <c r="A559" s="3" t="s">
        <v>3257</v>
      </c>
      <c r="B559" s="3" t="s">
        <v>39</v>
      </c>
      <c r="C559" s="3" t="s">
        <v>40</v>
      </c>
      <c r="D559" s="3" t="s">
        <v>24</v>
      </c>
      <c r="E559" s="3" t="s">
        <v>25</v>
      </c>
      <c r="F559" s="3" t="s">
        <v>117</v>
      </c>
      <c r="G559" s="2">
        <v>98.52</v>
      </c>
      <c r="H559" s="2">
        <v>10</v>
      </c>
      <c r="I559" s="2">
        <v>49.26</v>
      </c>
      <c r="J559" s="2">
        <v>1034.46</v>
      </c>
      <c r="K559" s="5">
        <v>43495</v>
      </c>
      <c r="L559" s="4">
        <v>0.84930555555555554</v>
      </c>
      <c r="M559" s="3" t="s">
        <v>33</v>
      </c>
      <c r="N559" s="2">
        <v>985.2</v>
      </c>
      <c r="O559" s="2">
        <v>4.7619047620000003</v>
      </c>
      <c r="P559" s="2">
        <v>49.26</v>
      </c>
      <c r="Q559" s="2">
        <v>4.5</v>
      </c>
      <c r="R559" s="3"/>
      <c r="S559" s="1"/>
      <c r="T559" s="1"/>
      <c r="U559" s="1" t="s">
        <v>37</v>
      </c>
      <c r="V559" s="1" t="s">
        <v>37</v>
      </c>
      <c r="W559" s="1" t="s">
        <v>37</v>
      </c>
    </row>
    <row r="560" spans="1:23">
      <c r="A560" s="3" t="s">
        <v>3262</v>
      </c>
      <c r="B560" s="3" t="s">
        <v>22</v>
      </c>
      <c r="C560" s="3" t="s">
        <v>23</v>
      </c>
      <c r="D560" s="3" t="s">
        <v>24</v>
      </c>
      <c r="E560" s="3" t="s">
        <v>992</v>
      </c>
      <c r="F560" s="3" t="s">
        <v>117</v>
      </c>
      <c r="G560" s="2">
        <v>41.66</v>
      </c>
      <c r="H560" s="2">
        <v>6</v>
      </c>
      <c r="I560" s="2">
        <v>12.497999999999999</v>
      </c>
      <c r="J560" s="2">
        <v>262.45800000000003</v>
      </c>
      <c r="K560" s="5">
        <v>43467</v>
      </c>
      <c r="L560" s="4">
        <v>0.64166666666666672</v>
      </c>
      <c r="M560" s="3" t="s">
        <v>33</v>
      </c>
      <c r="N560" s="2">
        <v>249.96</v>
      </c>
      <c r="O560" s="2">
        <v>4.7619047620000003</v>
      </c>
      <c r="P560" s="2">
        <v>12.497999999999999</v>
      </c>
      <c r="Q560" s="2">
        <v>5.6</v>
      </c>
      <c r="R560" s="3"/>
      <c r="S560" s="1"/>
      <c r="T560" s="1"/>
      <c r="U560" s="1" t="s">
        <v>37</v>
      </c>
      <c r="V560" s="1" t="s">
        <v>37</v>
      </c>
      <c r="W560" s="1" t="s">
        <v>37</v>
      </c>
    </row>
    <row r="561" spans="1:23">
      <c r="A561" s="3" t="s">
        <v>3267</v>
      </c>
      <c r="B561" s="3" t="s">
        <v>22</v>
      </c>
      <c r="C561" s="3" t="s">
        <v>23</v>
      </c>
      <c r="D561" s="3" t="s">
        <v>24</v>
      </c>
      <c r="E561" s="3" t="s">
        <v>25</v>
      </c>
      <c r="F561" s="3" t="s">
        <v>53</v>
      </c>
      <c r="G561" s="2">
        <v>72.42</v>
      </c>
      <c r="H561" s="2">
        <v>3</v>
      </c>
      <c r="I561" s="2">
        <v>10.863</v>
      </c>
      <c r="J561" s="2">
        <v>228.12299999999999</v>
      </c>
      <c r="K561" s="5">
        <v>43553</v>
      </c>
      <c r="L561" s="4">
        <v>0.70416666666666672</v>
      </c>
      <c r="M561" s="3" t="s">
        <v>33</v>
      </c>
      <c r="N561" s="2">
        <v>217.26</v>
      </c>
      <c r="O561" s="2">
        <v>4.7619047620000003</v>
      </c>
      <c r="P561" s="2">
        <v>10.863</v>
      </c>
      <c r="Q561" s="2">
        <v>8.1999999999999993</v>
      </c>
      <c r="R561" s="3"/>
      <c r="S561" s="1"/>
      <c r="T561" s="1"/>
      <c r="U561" s="1" t="s">
        <v>37</v>
      </c>
      <c r="V561" s="1" t="s">
        <v>37</v>
      </c>
      <c r="W561" s="1" t="s">
        <v>37</v>
      </c>
    </row>
    <row r="562" spans="1:23">
      <c r="A562" s="3" t="s">
        <v>3272</v>
      </c>
      <c r="B562" s="3" t="s">
        <v>115</v>
      </c>
      <c r="C562" s="3" t="s">
        <v>116</v>
      </c>
      <c r="D562" s="3" t="s">
        <v>41</v>
      </c>
      <c r="E562" s="3" t="s">
        <v>992</v>
      </c>
      <c r="F562" s="3" t="s">
        <v>42</v>
      </c>
      <c r="G562" s="2">
        <v>21.58</v>
      </c>
      <c r="H562" s="2">
        <v>9</v>
      </c>
      <c r="I562" s="2">
        <v>9.7110000000000003</v>
      </c>
      <c r="J562" s="2">
        <v>203.93100000000001</v>
      </c>
      <c r="K562" s="5">
        <v>43538</v>
      </c>
      <c r="L562" s="4">
        <v>0.52222222222222225</v>
      </c>
      <c r="M562" s="3" t="s">
        <v>49</v>
      </c>
      <c r="N562" s="2">
        <v>194.22</v>
      </c>
      <c r="O562" s="2">
        <v>4.7619047620000003</v>
      </c>
      <c r="P562" s="2">
        <v>9.7110000000000003</v>
      </c>
      <c r="Q562" s="2">
        <v>7.3</v>
      </c>
      <c r="R562" s="3"/>
      <c r="S562" s="1"/>
      <c r="T562" s="1"/>
      <c r="U562" s="1" t="s">
        <v>37</v>
      </c>
      <c r="V562" s="1" t="s">
        <v>37</v>
      </c>
      <c r="W562" s="1" t="s">
        <v>37</v>
      </c>
    </row>
    <row r="563" spans="1:23">
      <c r="A563" s="3" t="s">
        <v>3277</v>
      </c>
      <c r="B563" s="3" t="s">
        <v>39</v>
      </c>
      <c r="C563" s="3" t="s">
        <v>40</v>
      </c>
      <c r="D563" s="3" t="s">
        <v>41</v>
      </c>
      <c r="E563" s="3" t="s">
        <v>992</v>
      </c>
      <c r="F563" s="3" t="s">
        <v>117</v>
      </c>
      <c r="G563" s="2">
        <v>89.2</v>
      </c>
      <c r="H563" s="2">
        <v>10</v>
      </c>
      <c r="I563" s="2">
        <v>44.6</v>
      </c>
      <c r="J563" s="2">
        <v>936.6</v>
      </c>
      <c r="K563" s="5">
        <v>43507</v>
      </c>
      <c r="L563" s="4">
        <v>0.65416666666666667</v>
      </c>
      <c r="M563" s="3" t="s">
        <v>59</v>
      </c>
      <c r="N563" s="2">
        <v>892</v>
      </c>
      <c r="O563" s="2">
        <v>4.7619047620000003</v>
      </c>
      <c r="P563" s="2">
        <v>44.6</v>
      </c>
      <c r="Q563" s="2">
        <v>4.4000000000000004</v>
      </c>
      <c r="R563" s="3"/>
      <c r="S563" s="1"/>
      <c r="T563" s="1"/>
      <c r="U563" s="1" t="s">
        <v>37</v>
      </c>
      <c r="V563" s="1" t="s">
        <v>37</v>
      </c>
      <c r="W563" s="1" t="s">
        <v>37</v>
      </c>
    </row>
    <row r="564" spans="1:23">
      <c r="A564" s="3" t="s">
        <v>3282</v>
      </c>
      <c r="B564" s="3" t="s">
        <v>115</v>
      </c>
      <c r="C564" s="3" t="s">
        <v>116</v>
      </c>
      <c r="D564" s="3" t="s">
        <v>41</v>
      </c>
      <c r="E564" s="3" t="s">
        <v>25</v>
      </c>
      <c r="F564" s="3" t="s">
        <v>42</v>
      </c>
      <c r="G564" s="2">
        <v>42.42</v>
      </c>
      <c r="H564" s="2">
        <v>8</v>
      </c>
      <c r="I564" s="2">
        <v>16.968</v>
      </c>
      <c r="J564" s="2">
        <v>356.32799999999997</v>
      </c>
      <c r="K564" s="5">
        <v>43495</v>
      </c>
      <c r="L564" s="4">
        <v>0.58194444444444449</v>
      </c>
      <c r="M564" s="3" t="s">
        <v>33</v>
      </c>
      <c r="N564" s="2">
        <v>339.36</v>
      </c>
      <c r="O564" s="2">
        <v>4.7619047620000003</v>
      </c>
      <c r="P564" s="2">
        <v>16.968</v>
      </c>
      <c r="Q564" s="2">
        <v>5.7</v>
      </c>
      <c r="R564" s="3"/>
      <c r="S564" s="1"/>
      <c r="T564" s="1"/>
      <c r="U564" s="1" t="s">
        <v>37</v>
      </c>
      <c r="V564" s="1" t="s">
        <v>37</v>
      </c>
      <c r="W564" s="1" t="s">
        <v>37</v>
      </c>
    </row>
    <row r="565" spans="1:23">
      <c r="A565" s="3" t="s">
        <v>3286</v>
      </c>
      <c r="B565" s="3" t="s">
        <v>22</v>
      </c>
      <c r="C565" s="3" t="s">
        <v>23</v>
      </c>
      <c r="D565" s="3" t="s">
        <v>24</v>
      </c>
      <c r="E565" s="3" t="s">
        <v>992</v>
      </c>
      <c r="F565" s="3" t="s">
        <v>42</v>
      </c>
      <c r="G565" s="2">
        <v>74.510000000000005</v>
      </c>
      <c r="H565" s="2">
        <v>6</v>
      </c>
      <c r="I565" s="2">
        <v>22.353000000000002</v>
      </c>
      <c r="J565" s="2">
        <v>469.41300000000001</v>
      </c>
      <c r="K565" s="5">
        <v>43544</v>
      </c>
      <c r="L565" s="4">
        <v>0.63055555555555554</v>
      </c>
      <c r="M565" s="3" t="s">
        <v>33</v>
      </c>
      <c r="N565" s="2">
        <v>447.06</v>
      </c>
      <c r="O565" s="2">
        <v>4.7619047620000003</v>
      </c>
      <c r="P565" s="2">
        <v>22.353000000000002</v>
      </c>
      <c r="Q565" s="2">
        <v>5</v>
      </c>
      <c r="R565" s="3"/>
      <c r="S565" s="1"/>
      <c r="T565" s="1"/>
      <c r="U565" s="1" t="s">
        <v>37</v>
      </c>
      <c r="V565" s="1" t="s">
        <v>37</v>
      </c>
      <c r="W565" s="1" t="s">
        <v>37</v>
      </c>
    </row>
    <row r="566" spans="1:23">
      <c r="A566" s="3" t="s">
        <v>3291</v>
      </c>
      <c r="B566" s="3" t="s">
        <v>115</v>
      </c>
      <c r="C566" s="3" t="s">
        <v>116</v>
      </c>
      <c r="D566" s="3" t="s">
        <v>41</v>
      </c>
      <c r="E566" s="3" t="s">
        <v>992</v>
      </c>
      <c r="F566" s="3" t="s">
        <v>127</v>
      </c>
      <c r="G566" s="2">
        <v>99.25</v>
      </c>
      <c r="H566" s="2">
        <v>2</v>
      </c>
      <c r="I566" s="2">
        <v>9.9250000000000007</v>
      </c>
      <c r="J566" s="2">
        <v>208.42500000000001</v>
      </c>
      <c r="K566" s="5">
        <v>43544</v>
      </c>
      <c r="L566" s="4">
        <v>0.54305555555555551</v>
      </c>
      <c r="M566" s="3" t="s">
        <v>49</v>
      </c>
      <c r="N566" s="2">
        <v>198.5</v>
      </c>
      <c r="O566" s="2">
        <v>4.7619047620000003</v>
      </c>
      <c r="P566" s="2">
        <v>9.9250000000000007</v>
      </c>
      <c r="Q566" s="2">
        <v>9</v>
      </c>
      <c r="R566" s="3"/>
      <c r="S566" s="1"/>
      <c r="T566" s="1"/>
      <c r="U566" s="1" t="s">
        <v>37</v>
      </c>
      <c r="V566" s="1" t="s">
        <v>37</v>
      </c>
      <c r="W566" s="1" t="s">
        <v>37</v>
      </c>
    </row>
    <row r="567" spans="1:23">
      <c r="A567" s="3" t="s">
        <v>3296</v>
      </c>
      <c r="B567" s="3" t="s">
        <v>22</v>
      </c>
      <c r="C567" s="3" t="s">
        <v>23</v>
      </c>
      <c r="D567" s="3" t="s">
        <v>41</v>
      </c>
      <c r="E567" s="3" t="s">
        <v>25</v>
      </c>
      <c r="F567" s="3" t="s">
        <v>117</v>
      </c>
      <c r="G567" s="2">
        <v>81.209999999999994</v>
      </c>
      <c r="H567" s="2">
        <v>10</v>
      </c>
      <c r="I567" s="2">
        <v>40.604999999999997</v>
      </c>
      <c r="J567" s="2">
        <v>852.70500000000004</v>
      </c>
      <c r="K567" s="5">
        <v>43482</v>
      </c>
      <c r="L567" s="4">
        <v>0.54236111111111107</v>
      </c>
      <c r="M567" s="3" t="s">
        <v>59</v>
      </c>
      <c r="N567" s="2">
        <v>812.1</v>
      </c>
      <c r="O567" s="2">
        <v>4.7619047620000003</v>
      </c>
      <c r="P567" s="2">
        <v>40.604999999999997</v>
      </c>
      <c r="Q567" s="2">
        <v>6.3</v>
      </c>
      <c r="R567" s="3"/>
      <c r="S567" s="1"/>
      <c r="T567" s="1"/>
      <c r="U567" s="1" t="s">
        <v>37</v>
      </c>
      <c r="V567" s="1" t="s">
        <v>37</v>
      </c>
      <c r="W567" s="1" t="s">
        <v>37</v>
      </c>
    </row>
    <row r="568" spans="1:23">
      <c r="A568" s="3" t="s">
        <v>3301</v>
      </c>
      <c r="B568" s="3" t="s">
        <v>39</v>
      </c>
      <c r="C568" s="3" t="s">
        <v>40</v>
      </c>
      <c r="D568" s="3" t="s">
        <v>41</v>
      </c>
      <c r="E568" s="3" t="s">
        <v>25</v>
      </c>
      <c r="F568" s="3" t="s">
        <v>72</v>
      </c>
      <c r="G568" s="2">
        <v>49.33</v>
      </c>
      <c r="H568" s="2">
        <v>10</v>
      </c>
      <c r="I568" s="2">
        <v>24.664999999999999</v>
      </c>
      <c r="J568" s="2">
        <v>517.96500000000003</v>
      </c>
      <c r="K568" s="5">
        <v>43499</v>
      </c>
      <c r="L568" s="4">
        <v>0.69444444444444442</v>
      </c>
      <c r="M568" s="3" t="s">
        <v>59</v>
      </c>
      <c r="N568" s="2">
        <v>493.3</v>
      </c>
      <c r="O568" s="2">
        <v>4.7619047620000003</v>
      </c>
      <c r="P568" s="2">
        <v>24.664999999999999</v>
      </c>
      <c r="Q568" s="2">
        <v>9.4</v>
      </c>
      <c r="R568" s="3"/>
      <c r="S568" s="1"/>
      <c r="T568" s="1"/>
      <c r="U568" s="1" t="s">
        <v>37</v>
      </c>
      <c r="V568" s="1" t="s">
        <v>37</v>
      </c>
      <c r="W568" s="1" t="s">
        <v>37</v>
      </c>
    </row>
    <row r="569" spans="1:23">
      <c r="A569" s="3" t="s">
        <v>3306</v>
      </c>
      <c r="B569" s="3" t="s">
        <v>22</v>
      </c>
      <c r="C569" s="3" t="s">
        <v>23</v>
      </c>
      <c r="D569" s="3" t="s">
        <v>41</v>
      </c>
      <c r="E569" s="3" t="s">
        <v>25</v>
      </c>
      <c r="F569" s="3" t="s">
        <v>127</v>
      </c>
      <c r="G569" s="2">
        <v>65.739999999999995</v>
      </c>
      <c r="H569" s="2">
        <v>9</v>
      </c>
      <c r="I569" s="2">
        <v>29.582999999999998</v>
      </c>
      <c r="J569" s="2">
        <v>621.24300000000005</v>
      </c>
      <c r="K569" s="5">
        <v>43466</v>
      </c>
      <c r="L569" s="4">
        <v>0.57986111111111116</v>
      </c>
      <c r="M569" s="3" t="s">
        <v>49</v>
      </c>
      <c r="N569" s="2">
        <v>591.66</v>
      </c>
      <c r="O569" s="2">
        <v>4.7619047620000003</v>
      </c>
      <c r="P569" s="2">
        <v>29.582999999999998</v>
      </c>
      <c r="Q569" s="2">
        <v>7.7</v>
      </c>
      <c r="R569" s="3"/>
      <c r="S569" s="1"/>
      <c r="T569" s="1"/>
      <c r="U569" s="1" t="s">
        <v>37</v>
      </c>
      <c r="V569" s="1" t="s">
        <v>37</v>
      </c>
      <c r="W569" s="1" t="s">
        <v>37</v>
      </c>
    </row>
    <row r="570" spans="1:23">
      <c r="A570" s="3" t="s">
        <v>3311</v>
      </c>
      <c r="B570" s="3" t="s">
        <v>115</v>
      </c>
      <c r="C570" s="3" t="s">
        <v>116</v>
      </c>
      <c r="D570" s="3" t="s">
        <v>41</v>
      </c>
      <c r="E570" s="3" t="s">
        <v>25</v>
      </c>
      <c r="F570" s="3" t="s">
        <v>127</v>
      </c>
      <c r="G570" s="2">
        <v>79.86</v>
      </c>
      <c r="H570" s="2">
        <v>7</v>
      </c>
      <c r="I570" s="2">
        <v>27.951000000000001</v>
      </c>
      <c r="J570" s="2">
        <v>586.971</v>
      </c>
      <c r="K570" s="5">
        <v>43475</v>
      </c>
      <c r="L570" s="4">
        <v>0.43958333333333333</v>
      </c>
      <c r="M570" s="3" t="s">
        <v>59</v>
      </c>
      <c r="N570" s="2">
        <v>559.02</v>
      </c>
      <c r="O570" s="2">
        <v>4.7619047620000003</v>
      </c>
      <c r="P570" s="2">
        <v>27.951000000000001</v>
      </c>
      <c r="Q570" s="2">
        <v>5.5</v>
      </c>
      <c r="R570" s="3"/>
      <c r="S570" s="1"/>
      <c r="T570" s="1"/>
      <c r="U570" s="1" t="s">
        <v>37</v>
      </c>
      <c r="V570" s="1" t="s">
        <v>37</v>
      </c>
      <c r="W570" s="1" t="s">
        <v>37</v>
      </c>
    </row>
    <row r="571" spans="1:23">
      <c r="A571" s="3" t="s">
        <v>3317</v>
      </c>
      <c r="B571" s="3" t="s">
        <v>39</v>
      </c>
      <c r="C571" s="3" t="s">
        <v>40</v>
      </c>
      <c r="D571" s="3" t="s">
        <v>41</v>
      </c>
      <c r="E571" s="3" t="s">
        <v>25</v>
      </c>
      <c r="F571" s="3" t="s">
        <v>72</v>
      </c>
      <c r="G571" s="2">
        <v>73.98</v>
      </c>
      <c r="H571" s="2">
        <v>7</v>
      </c>
      <c r="I571" s="2">
        <v>25.893000000000001</v>
      </c>
      <c r="J571" s="2">
        <v>543.75300000000004</v>
      </c>
      <c r="K571" s="5">
        <v>43526</v>
      </c>
      <c r="L571" s="4">
        <v>0.6958333333333333</v>
      </c>
      <c r="M571" s="3" t="s">
        <v>33</v>
      </c>
      <c r="N571" s="2">
        <v>517.86</v>
      </c>
      <c r="O571" s="2">
        <v>4.7619047620000003</v>
      </c>
      <c r="P571" s="2">
        <v>25.893000000000001</v>
      </c>
      <c r="Q571" s="2">
        <v>4.0999999999999996</v>
      </c>
      <c r="R571" s="3"/>
      <c r="S571" s="1"/>
      <c r="T571" s="1"/>
      <c r="U571" s="1" t="s">
        <v>37</v>
      </c>
      <c r="V571" s="1" t="s">
        <v>37</v>
      </c>
      <c r="W571" s="1" t="s">
        <v>37</v>
      </c>
    </row>
    <row r="572" spans="1:23">
      <c r="A572" s="3" t="s">
        <v>3322</v>
      </c>
      <c r="B572" s="3" t="s">
        <v>115</v>
      </c>
      <c r="C572" s="3" t="s">
        <v>116</v>
      </c>
      <c r="D572" s="3" t="s">
        <v>24</v>
      </c>
      <c r="E572" s="3" t="s">
        <v>25</v>
      </c>
      <c r="F572" s="3" t="s">
        <v>53</v>
      </c>
      <c r="G572" s="2">
        <v>82.04</v>
      </c>
      <c r="H572" s="2">
        <v>5</v>
      </c>
      <c r="I572" s="2">
        <v>20.51</v>
      </c>
      <c r="J572" s="2">
        <v>430.71</v>
      </c>
      <c r="K572" s="5">
        <v>43521</v>
      </c>
      <c r="L572" s="4">
        <v>0.71944444444444444</v>
      </c>
      <c r="M572" s="3" t="s">
        <v>59</v>
      </c>
      <c r="N572" s="2">
        <v>410.2</v>
      </c>
      <c r="O572" s="2">
        <v>4.7619047620000003</v>
      </c>
      <c r="P572" s="2">
        <v>20.51</v>
      </c>
      <c r="Q572" s="2">
        <v>7.6</v>
      </c>
      <c r="R572" s="3"/>
      <c r="S572" s="1"/>
      <c r="T572" s="1"/>
      <c r="U572" s="1" t="s">
        <v>37</v>
      </c>
      <c r="V572" s="1" t="s">
        <v>37</v>
      </c>
      <c r="W572" s="1" t="s">
        <v>37</v>
      </c>
    </row>
    <row r="573" spans="1:23">
      <c r="A573" s="3" t="s">
        <v>3327</v>
      </c>
      <c r="B573" s="3" t="s">
        <v>115</v>
      </c>
      <c r="C573" s="3" t="s">
        <v>116</v>
      </c>
      <c r="D573" s="3" t="s">
        <v>24</v>
      </c>
      <c r="E573" s="3" t="s">
        <v>992</v>
      </c>
      <c r="F573" s="3" t="s">
        <v>72</v>
      </c>
      <c r="G573" s="2">
        <v>26.67</v>
      </c>
      <c r="H573" s="2">
        <v>10</v>
      </c>
      <c r="I573" s="2">
        <v>13.335000000000001</v>
      </c>
      <c r="J573" s="2">
        <v>280.03500000000003</v>
      </c>
      <c r="K573" s="5">
        <v>43494</v>
      </c>
      <c r="L573" s="4">
        <v>0.49166666666666664</v>
      </c>
      <c r="M573" s="3" t="s">
        <v>49</v>
      </c>
      <c r="N573" s="2">
        <v>266.7</v>
      </c>
      <c r="O573" s="2">
        <v>4.7619047620000003</v>
      </c>
      <c r="P573" s="2">
        <v>13.335000000000001</v>
      </c>
      <c r="Q573" s="2">
        <v>8.6</v>
      </c>
      <c r="R573" s="3"/>
      <c r="S573" s="1"/>
      <c r="T573" s="1"/>
      <c r="U573" s="1" t="s">
        <v>37</v>
      </c>
      <c r="V573" s="1" t="s">
        <v>37</v>
      </c>
      <c r="W573" s="1" t="s">
        <v>37</v>
      </c>
    </row>
    <row r="574" spans="1:23">
      <c r="A574" s="3" t="s">
        <v>3332</v>
      </c>
      <c r="B574" s="3" t="s">
        <v>22</v>
      </c>
      <c r="C574" s="3" t="s">
        <v>23</v>
      </c>
      <c r="D574" s="3" t="s">
        <v>24</v>
      </c>
      <c r="E574" s="3" t="s">
        <v>992</v>
      </c>
      <c r="F574" s="3" t="s">
        <v>117</v>
      </c>
      <c r="G574" s="2">
        <v>10.130000000000001</v>
      </c>
      <c r="H574" s="2">
        <v>7</v>
      </c>
      <c r="I574" s="2">
        <v>3.5455000000000001</v>
      </c>
      <c r="J574" s="2">
        <v>74.455500000000001</v>
      </c>
      <c r="K574" s="5">
        <v>43534</v>
      </c>
      <c r="L574" s="4">
        <v>0.81597222222222221</v>
      </c>
      <c r="M574" s="3" t="s">
        <v>33</v>
      </c>
      <c r="N574" s="2">
        <v>70.91</v>
      </c>
      <c r="O574" s="2">
        <v>4.7619047620000003</v>
      </c>
      <c r="P574" s="2">
        <v>3.5455000000000001</v>
      </c>
      <c r="Q574" s="2">
        <v>8.3000000000000007</v>
      </c>
      <c r="R574" s="3"/>
      <c r="S574" s="1"/>
      <c r="T574" s="1"/>
      <c r="U574" s="1" t="s">
        <v>37</v>
      </c>
      <c r="V574" s="1" t="s">
        <v>37</v>
      </c>
      <c r="W574" s="1" t="s">
        <v>37</v>
      </c>
    </row>
    <row r="575" spans="1:23">
      <c r="A575" s="3" t="s">
        <v>3336</v>
      </c>
      <c r="B575" s="3" t="s">
        <v>115</v>
      </c>
      <c r="C575" s="3" t="s">
        <v>116</v>
      </c>
      <c r="D575" s="3" t="s">
        <v>41</v>
      </c>
      <c r="E575" s="3" t="s">
        <v>992</v>
      </c>
      <c r="F575" s="3" t="s">
        <v>117</v>
      </c>
      <c r="G575" s="2">
        <v>72.39</v>
      </c>
      <c r="H575" s="2">
        <v>2</v>
      </c>
      <c r="I575" s="2">
        <v>7.2389999999999999</v>
      </c>
      <c r="J575" s="2">
        <v>152.01900000000001</v>
      </c>
      <c r="K575" s="5">
        <v>43478</v>
      </c>
      <c r="L575" s="4">
        <v>0.82986111111111116</v>
      </c>
      <c r="M575" s="3" t="s">
        <v>59</v>
      </c>
      <c r="N575" s="2">
        <v>144.78</v>
      </c>
      <c r="O575" s="2">
        <v>4.7619047620000003</v>
      </c>
      <c r="P575" s="2">
        <v>7.2389999999999999</v>
      </c>
      <c r="Q575" s="2">
        <v>8.1</v>
      </c>
      <c r="R575" s="3"/>
      <c r="S575" s="1"/>
      <c r="T575" s="1"/>
      <c r="U575" s="1" t="s">
        <v>37</v>
      </c>
      <c r="V575" s="1" t="s">
        <v>37</v>
      </c>
      <c r="W575" s="1" t="s">
        <v>37</v>
      </c>
    </row>
    <row r="576" spans="1:23">
      <c r="A576" s="3" t="s">
        <v>3342</v>
      </c>
      <c r="B576" s="3" t="s">
        <v>22</v>
      </c>
      <c r="C576" s="3" t="s">
        <v>23</v>
      </c>
      <c r="D576" s="3" t="s">
        <v>41</v>
      </c>
      <c r="E576" s="3" t="s">
        <v>992</v>
      </c>
      <c r="F576" s="3" t="s">
        <v>72</v>
      </c>
      <c r="G576" s="2">
        <v>85.91</v>
      </c>
      <c r="H576" s="2">
        <v>5</v>
      </c>
      <c r="I576" s="2">
        <v>21.477499999999999</v>
      </c>
      <c r="J576" s="2">
        <v>451.02749999999997</v>
      </c>
      <c r="K576" s="5">
        <v>43546</v>
      </c>
      <c r="L576" s="4">
        <v>0.60624999999999996</v>
      </c>
      <c r="M576" s="3" t="s">
        <v>59</v>
      </c>
      <c r="N576" s="2">
        <v>429.55</v>
      </c>
      <c r="O576" s="2">
        <v>4.7619047620000003</v>
      </c>
      <c r="P576" s="2">
        <v>21.477499999999999</v>
      </c>
      <c r="Q576" s="2">
        <v>8.6</v>
      </c>
      <c r="R576" s="3"/>
      <c r="S576" s="1"/>
      <c r="T576" s="1"/>
      <c r="U576" s="1" t="s">
        <v>37</v>
      </c>
      <c r="V576" s="1" t="s">
        <v>37</v>
      </c>
      <c r="W576" s="1" t="s">
        <v>37</v>
      </c>
    </row>
    <row r="577" spans="1:23">
      <c r="A577" s="3" t="s">
        <v>3348</v>
      </c>
      <c r="B577" s="3" t="s">
        <v>115</v>
      </c>
      <c r="C577" s="3" t="s">
        <v>116</v>
      </c>
      <c r="D577" s="3" t="s">
        <v>24</v>
      </c>
      <c r="E577" s="3" t="s">
        <v>992</v>
      </c>
      <c r="F577" s="3" t="s">
        <v>127</v>
      </c>
      <c r="G577" s="2">
        <v>81.31</v>
      </c>
      <c r="H577" s="2">
        <v>7</v>
      </c>
      <c r="I577" s="2">
        <v>28.458500000000001</v>
      </c>
      <c r="J577" s="2">
        <v>597.62850000000003</v>
      </c>
      <c r="K577" s="5">
        <v>43525</v>
      </c>
      <c r="L577" s="4">
        <v>0.8256944444444444</v>
      </c>
      <c r="M577" s="3" t="s">
        <v>33</v>
      </c>
      <c r="N577" s="2">
        <v>569.16999999999996</v>
      </c>
      <c r="O577" s="2">
        <v>4.7619047620000003</v>
      </c>
      <c r="P577" s="2">
        <v>28.458500000000001</v>
      </c>
      <c r="Q577" s="2">
        <v>6.3</v>
      </c>
      <c r="R577" s="3"/>
      <c r="S577" s="1"/>
      <c r="T577" s="1"/>
      <c r="U577" s="1" t="s">
        <v>37</v>
      </c>
      <c r="V577" s="1" t="s">
        <v>37</v>
      </c>
      <c r="W577" s="1" t="s">
        <v>37</v>
      </c>
    </row>
    <row r="578" spans="1:23">
      <c r="A578" s="3" t="s">
        <v>3353</v>
      </c>
      <c r="B578" s="3" t="s">
        <v>115</v>
      </c>
      <c r="C578" s="3" t="s">
        <v>116</v>
      </c>
      <c r="D578" s="3" t="s">
        <v>41</v>
      </c>
      <c r="E578" s="3" t="s">
        <v>992</v>
      </c>
      <c r="F578" s="3" t="s">
        <v>117</v>
      </c>
      <c r="G578" s="2">
        <v>60.3</v>
      </c>
      <c r="H578" s="2">
        <v>4</v>
      </c>
      <c r="I578" s="2">
        <v>12.06</v>
      </c>
      <c r="J578" s="2">
        <v>253.26</v>
      </c>
      <c r="K578" s="5">
        <v>43516</v>
      </c>
      <c r="L578" s="4">
        <v>0.77986111111111112</v>
      </c>
      <c r="M578" s="3" t="s">
        <v>49</v>
      </c>
      <c r="N578" s="2">
        <v>241.2</v>
      </c>
      <c r="O578" s="2">
        <v>4.7619047620000003</v>
      </c>
      <c r="P578" s="2">
        <v>12.06</v>
      </c>
      <c r="Q578" s="2">
        <v>5.8</v>
      </c>
      <c r="R578" s="3"/>
      <c r="S578" s="1"/>
      <c r="T578" s="1"/>
      <c r="U578" s="1" t="s">
        <v>37</v>
      </c>
      <c r="V578" s="1" t="s">
        <v>37</v>
      </c>
      <c r="W578" s="1" t="s">
        <v>37</v>
      </c>
    </row>
    <row r="579" spans="1:23">
      <c r="A579" s="3" t="s">
        <v>3358</v>
      </c>
      <c r="B579" s="3" t="s">
        <v>39</v>
      </c>
      <c r="C579" s="3" t="s">
        <v>40</v>
      </c>
      <c r="D579" s="3" t="s">
        <v>41</v>
      </c>
      <c r="E579" s="3" t="s">
        <v>992</v>
      </c>
      <c r="F579" s="3" t="s">
        <v>117</v>
      </c>
      <c r="G579" s="2">
        <v>31.77</v>
      </c>
      <c r="H579" s="2">
        <v>4</v>
      </c>
      <c r="I579" s="2">
        <v>6.3540000000000001</v>
      </c>
      <c r="J579" s="2">
        <v>133.434</v>
      </c>
      <c r="K579" s="5">
        <v>43479</v>
      </c>
      <c r="L579" s="4">
        <v>0.61319444444444449</v>
      </c>
      <c r="M579" s="3" t="s">
        <v>33</v>
      </c>
      <c r="N579" s="2">
        <v>127.08</v>
      </c>
      <c r="O579" s="2">
        <v>4.7619047620000003</v>
      </c>
      <c r="P579" s="2">
        <v>6.3540000000000001</v>
      </c>
      <c r="Q579" s="2">
        <v>6.2</v>
      </c>
      <c r="R579" s="3"/>
      <c r="S579" s="1"/>
      <c r="T579" s="1"/>
      <c r="U579" s="1" t="s">
        <v>37</v>
      </c>
      <c r="V579" s="1" t="s">
        <v>37</v>
      </c>
      <c r="W579" s="1" t="s">
        <v>37</v>
      </c>
    </row>
    <row r="580" spans="1:23">
      <c r="A580" s="3" t="s">
        <v>3362</v>
      </c>
      <c r="B580" s="3" t="s">
        <v>22</v>
      </c>
      <c r="C580" s="3" t="s">
        <v>23</v>
      </c>
      <c r="D580" s="3" t="s">
        <v>41</v>
      </c>
      <c r="E580" s="3" t="s">
        <v>25</v>
      </c>
      <c r="F580" s="3" t="s">
        <v>26</v>
      </c>
      <c r="G580" s="2">
        <v>64.27</v>
      </c>
      <c r="H580" s="2">
        <v>4</v>
      </c>
      <c r="I580" s="2">
        <v>12.853999999999999</v>
      </c>
      <c r="J580" s="2">
        <v>269.93400000000003</v>
      </c>
      <c r="K580" s="5">
        <v>43550</v>
      </c>
      <c r="L580" s="4">
        <v>0.57916666666666672</v>
      </c>
      <c r="M580" s="3" t="s">
        <v>49</v>
      </c>
      <c r="N580" s="2">
        <v>257.08</v>
      </c>
      <c r="O580" s="2">
        <v>4.7619047620000003</v>
      </c>
      <c r="P580" s="2">
        <v>12.853999999999999</v>
      </c>
      <c r="Q580" s="2">
        <v>7.7</v>
      </c>
      <c r="R580" s="3"/>
      <c r="S580" s="1"/>
      <c r="T580" s="1"/>
      <c r="U580" s="1" t="s">
        <v>37</v>
      </c>
      <c r="V580" s="1" t="s">
        <v>37</v>
      </c>
      <c r="W580" s="1" t="s">
        <v>37</v>
      </c>
    </row>
    <row r="581" spans="1:23">
      <c r="A581" s="3" t="s">
        <v>3368</v>
      </c>
      <c r="B581" s="3" t="s">
        <v>115</v>
      </c>
      <c r="C581" s="3" t="s">
        <v>116</v>
      </c>
      <c r="D581" s="3" t="s">
        <v>41</v>
      </c>
      <c r="E581" s="3" t="s">
        <v>992</v>
      </c>
      <c r="F581" s="3" t="s">
        <v>26</v>
      </c>
      <c r="G581" s="2">
        <v>69.510000000000005</v>
      </c>
      <c r="H581" s="2">
        <v>2</v>
      </c>
      <c r="I581" s="2">
        <v>6.9509999999999996</v>
      </c>
      <c r="J581" s="2">
        <v>145.971</v>
      </c>
      <c r="K581" s="5">
        <v>43525</v>
      </c>
      <c r="L581" s="4">
        <v>0.51041666666666663</v>
      </c>
      <c r="M581" s="3" t="s">
        <v>33</v>
      </c>
      <c r="N581" s="2">
        <v>139.02000000000001</v>
      </c>
      <c r="O581" s="2">
        <v>4.7619047620000003</v>
      </c>
      <c r="P581" s="2">
        <v>6.9509999999999996</v>
      </c>
      <c r="Q581" s="2">
        <v>8.1</v>
      </c>
      <c r="R581" s="3"/>
      <c r="S581" s="1"/>
      <c r="T581" s="1"/>
      <c r="U581" s="1" t="s">
        <v>37</v>
      </c>
      <c r="V581" s="1" t="s">
        <v>37</v>
      </c>
      <c r="W581" s="1" t="s">
        <v>37</v>
      </c>
    </row>
    <row r="582" spans="1:23">
      <c r="A582" s="3" t="s">
        <v>3374</v>
      </c>
      <c r="B582" s="3" t="s">
        <v>39</v>
      </c>
      <c r="C582" s="3" t="s">
        <v>40</v>
      </c>
      <c r="D582" s="3" t="s">
        <v>41</v>
      </c>
      <c r="E582" s="3" t="s">
        <v>992</v>
      </c>
      <c r="F582" s="3" t="s">
        <v>117</v>
      </c>
      <c r="G582" s="2">
        <v>27.22</v>
      </c>
      <c r="H582" s="2">
        <v>3</v>
      </c>
      <c r="I582" s="2">
        <v>4.0830000000000002</v>
      </c>
      <c r="J582" s="2">
        <v>85.742999999999995</v>
      </c>
      <c r="K582" s="5">
        <v>43472</v>
      </c>
      <c r="L582" s="4">
        <v>0.52569444444444446</v>
      </c>
      <c r="M582" s="3" t="s">
        <v>49</v>
      </c>
      <c r="N582" s="2">
        <v>81.66</v>
      </c>
      <c r="O582" s="2">
        <v>4.7619047620000003</v>
      </c>
      <c r="P582" s="2">
        <v>4.0830000000000002</v>
      </c>
      <c r="Q582" s="2">
        <v>7.3</v>
      </c>
      <c r="R582" s="3"/>
      <c r="S582" s="1"/>
      <c r="T582" s="1"/>
      <c r="U582" s="1" t="s">
        <v>37</v>
      </c>
      <c r="V582" s="1" t="s">
        <v>37</v>
      </c>
      <c r="W582" s="1" t="s">
        <v>37</v>
      </c>
    </row>
    <row r="583" spans="1:23">
      <c r="A583" s="3" t="s">
        <v>3380</v>
      </c>
      <c r="B583" s="3" t="s">
        <v>22</v>
      </c>
      <c r="C583" s="3" t="s">
        <v>23</v>
      </c>
      <c r="D583" s="3" t="s">
        <v>24</v>
      </c>
      <c r="E583" s="3" t="s">
        <v>25</v>
      </c>
      <c r="F583" s="3" t="s">
        <v>26</v>
      </c>
      <c r="G583" s="2">
        <v>77.680000000000007</v>
      </c>
      <c r="H583" s="2">
        <v>4</v>
      </c>
      <c r="I583" s="2">
        <v>15.536</v>
      </c>
      <c r="J583" s="2">
        <v>326.25599999999997</v>
      </c>
      <c r="K583" s="5">
        <v>43497</v>
      </c>
      <c r="L583" s="4">
        <v>0.82916666666666672</v>
      </c>
      <c r="M583" s="3" t="s">
        <v>49</v>
      </c>
      <c r="N583" s="2">
        <v>310.72000000000003</v>
      </c>
      <c r="O583" s="2">
        <v>4.7619047620000003</v>
      </c>
      <c r="P583" s="2">
        <v>15.536</v>
      </c>
      <c r="Q583" s="2">
        <v>8.4</v>
      </c>
      <c r="R583" s="3"/>
      <c r="S583" s="1"/>
      <c r="T583" s="1"/>
      <c r="U583" s="1" t="s">
        <v>37</v>
      </c>
      <c r="V583" s="1" t="s">
        <v>37</v>
      </c>
      <c r="W583" s="1" t="s">
        <v>37</v>
      </c>
    </row>
    <row r="584" spans="1:23">
      <c r="A584" s="3" t="s">
        <v>3384</v>
      </c>
      <c r="B584" s="3" t="s">
        <v>39</v>
      </c>
      <c r="C584" s="3" t="s">
        <v>40</v>
      </c>
      <c r="D584" s="3" t="s">
        <v>24</v>
      </c>
      <c r="E584" s="3" t="s">
        <v>25</v>
      </c>
      <c r="F584" s="3" t="s">
        <v>127</v>
      </c>
      <c r="G584" s="2">
        <v>92.98</v>
      </c>
      <c r="H584" s="2">
        <v>2</v>
      </c>
      <c r="I584" s="2">
        <v>9.298</v>
      </c>
      <c r="J584" s="2">
        <v>195.25800000000001</v>
      </c>
      <c r="K584" s="5">
        <v>43509</v>
      </c>
      <c r="L584" s="4">
        <v>0.62916666666666665</v>
      </c>
      <c r="M584" s="3" t="s">
        <v>59</v>
      </c>
      <c r="N584" s="2">
        <v>185.96</v>
      </c>
      <c r="O584" s="2">
        <v>4.7619047620000003</v>
      </c>
      <c r="P584" s="2">
        <v>9.298</v>
      </c>
      <c r="Q584" s="2">
        <v>8</v>
      </c>
      <c r="R584" s="3"/>
      <c r="S584" s="1"/>
      <c r="T584" s="1"/>
      <c r="U584" s="1" t="s">
        <v>37</v>
      </c>
      <c r="V584" s="1" t="s">
        <v>37</v>
      </c>
      <c r="W584" s="1" t="s">
        <v>37</v>
      </c>
    </row>
    <row r="585" spans="1:23">
      <c r="A585" s="3" t="s">
        <v>3390</v>
      </c>
      <c r="B585" s="3" t="s">
        <v>115</v>
      </c>
      <c r="C585" s="3" t="s">
        <v>116</v>
      </c>
      <c r="D585" s="3" t="s">
        <v>24</v>
      </c>
      <c r="E585" s="3" t="s">
        <v>25</v>
      </c>
      <c r="F585" s="3" t="s">
        <v>127</v>
      </c>
      <c r="G585" s="2">
        <v>18.079999999999998</v>
      </c>
      <c r="H585" s="2">
        <v>4</v>
      </c>
      <c r="I585" s="2">
        <v>3.6160000000000001</v>
      </c>
      <c r="J585" s="2">
        <v>75.936000000000007</v>
      </c>
      <c r="K585" s="5">
        <v>43479</v>
      </c>
      <c r="L585" s="4">
        <v>0.75208333333333333</v>
      </c>
      <c r="M585" s="3" t="s">
        <v>59</v>
      </c>
      <c r="N585" s="2">
        <v>72.319999999999993</v>
      </c>
      <c r="O585" s="2">
        <v>4.7619047620000003</v>
      </c>
      <c r="P585" s="2">
        <v>3.6160000000000001</v>
      </c>
      <c r="Q585" s="2">
        <v>9.5</v>
      </c>
      <c r="R585" s="3"/>
      <c r="S585" s="1"/>
      <c r="T585" s="1"/>
      <c r="U585" s="1" t="s">
        <v>37</v>
      </c>
      <c r="V585" s="1" t="s">
        <v>37</v>
      </c>
      <c r="W585" s="1" t="s">
        <v>37</v>
      </c>
    </row>
    <row r="586" spans="1:23">
      <c r="A586" s="3" t="s">
        <v>3394</v>
      </c>
      <c r="B586" s="3" t="s">
        <v>115</v>
      </c>
      <c r="C586" s="3" t="s">
        <v>116</v>
      </c>
      <c r="D586" s="3" t="s">
        <v>41</v>
      </c>
      <c r="E586" s="3" t="s">
        <v>992</v>
      </c>
      <c r="F586" s="3" t="s">
        <v>72</v>
      </c>
      <c r="G586" s="2">
        <v>63.06</v>
      </c>
      <c r="H586" s="2">
        <v>3</v>
      </c>
      <c r="I586" s="2">
        <v>9.4589999999999996</v>
      </c>
      <c r="J586" s="2">
        <v>198.63900000000001</v>
      </c>
      <c r="K586" s="5">
        <v>43484</v>
      </c>
      <c r="L586" s="4">
        <v>0.66527777777777775</v>
      </c>
      <c r="M586" s="3" t="s">
        <v>33</v>
      </c>
      <c r="N586" s="2">
        <v>189.18</v>
      </c>
      <c r="O586" s="2">
        <v>4.7619047620000003</v>
      </c>
      <c r="P586" s="2">
        <v>9.4589999999999996</v>
      </c>
      <c r="Q586" s="2">
        <v>7</v>
      </c>
      <c r="R586" s="3"/>
      <c r="S586" s="1"/>
      <c r="T586" s="1"/>
      <c r="U586" s="1" t="s">
        <v>37</v>
      </c>
      <c r="V586" s="1" t="s">
        <v>37</v>
      </c>
      <c r="W586" s="1" t="s">
        <v>37</v>
      </c>
    </row>
    <row r="587" spans="1:23">
      <c r="A587" s="3" t="s">
        <v>3400</v>
      </c>
      <c r="B587" s="3" t="s">
        <v>22</v>
      </c>
      <c r="C587" s="3" t="s">
        <v>23</v>
      </c>
      <c r="D587" s="3" t="s">
        <v>41</v>
      </c>
      <c r="E587" s="3" t="s">
        <v>992</v>
      </c>
      <c r="F587" s="3" t="s">
        <v>26</v>
      </c>
      <c r="G587" s="2">
        <v>51.71</v>
      </c>
      <c r="H587" s="2">
        <v>4</v>
      </c>
      <c r="I587" s="2">
        <v>10.342000000000001</v>
      </c>
      <c r="J587" s="2">
        <v>217.18199999999999</v>
      </c>
      <c r="K587" s="5">
        <v>43533</v>
      </c>
      <c r="L587" s="4">
        <v>0.57847222222222228</v>
      </c>
      <c r="M587" s="3" t="s">
        <v>59</v>
      </c>
      <c r="N587" s="2">
        <v>206.84</v>
      </c>
      <c r="O587" s="2">
        <v>4.7619047620000003</v>
      </c>
      <c r="P587" s="2">
        <v>10.342000000000001</v>
      </c>
      <c r="Q587" s="2">
        <v>9.8000000000000007</v>
      </c>
      <c r="R587" s="3"/>
      <c r="S587" s="1"/>
      <c r="T587" s="1"/>
      <c r="U587" s="1" t="s">
        <v>37</v>
      </c>
      <c r="V587" s="1" t="s">
        <v>37</v>
      </c>
      <c r="W587" s="1" t="s">
        <v>37</v>
      </c>
    </row>
    <row r="588" spans="1:23">
      <c r="A588" s="3" t="s">
        <v>3405</v>
      </c>
      <c r="B588" s="3" t="s">
        <v>22</v>
      </c>
      <c r="C588" s="3" t="s">
        <v>23</v>
      </c>
      <c r="D588" s="3" t="s">
        <v>41</v>
      </c>
      <c r="E588" s="3" t="s">
        <v>25</v>
      </c>
      <c r="F588" s="3" t="s">
        <v>117</v>
      </c>
      <c r="G588" s="2">
        <v>52.34</v>
      </c>
      <c r="H588" s="2">
        <v>3</v>
      </c>
      <c r="I588" s="2">
        <v>7.851</v>
      </c>
      <c r="J588" s="2">
        <v>164.87100000000001</v>
      </c>
      <c r="K588" s="5">
        <v>43551</v>
      </c>
      <c r="L588" s="4">
        <v>0.5854166666666667</v>
      </c>
      <c r="M588" s="3" t="s">
        <v>49</v>
      </c>
      <c r="N588" s="2">
        <v>157.02000000000001</v>
      </c>
      <c r="O588" s="2">
        <v>4.7619047620000003</v>
      </c>
      <c r="P588" s="2">
        <v>7.851</v>
      </c>
      <c r="Q588" s="2">
        <v>9.1999999999999993</v>
      </c>
      <c r="R588" s="3"/>
      <c r="S588" s="1"/>
      <c r="T588" s="1"/>
      <c r="U588" s="1" t="s">
        <v>37</v>
      </c>
      <c r="V588" s="1" t="s">
        <v>37</v>
      </c>
      <c r="W588" s="1" t="s">
        <v>37</v>
      </c>
    </row>
    <row r="589" spans="1:23">
      <c r="A589" s="3" t="s">
        <v>3411</v>
      </c>
      <c r="B589" s="3" t="s">
        <v>22</v>
      </c>
      <c r="C589" s="3" t="s">
        <v>23</v>
      </c>
      <c r="D589" s="3" t="s">
        <v>41</v>
      </c>
      <c r="E589" s="3" t="s">
        <v>25</v>
      </c>
      <c r="F589" s="3" t="s">
        <v>72</v>
      </c>
      <c r="G589" s="2">
        <v>43.06</v>
      </c>
      <c r="H589" s="2">
        <v>5</v>
      </c>
      <c r="I589" s="2">
        <v>10.765000000000001</v>
      </c>
      <c r="J589" s="2">
        <v>226.065</v>
      </c>
      <c r="K589" s="5">
        <v>43500</v>
      </c>
      <c r="L589" s="4">
        <v>0.69305555555555554</v>
      </c>
      <c r="M589" s="3" t="s">
        <v>33</v>
      </c>
      <c r="N589" s="2">
        <v>215.3</v>
      </c>
      <c r="O589" s="2">
        <v>4.7619047620000003</v>
      </c>
      <c r="P589" s="2">
        <v>10.765000000000001</v>
      </c>
      <c r="Q589" s="2">
        <v>7.7</v>
      </c>
      <c r="R589" s="3"/>
      <c r="S589" s="1"/>
      <c r="T589" s="1"/>
      <c r="U589" s="1" t="s">
        <v>37</v>
      </c>
      <c r="V589" s="1" t="s">
        <v>37</v>
      </c>
      <c r="W589" s="1" t="s">
        <v>37</v>
      </c>
    </row>
    <row r="590" spans="1:23">
      <c r="A590" s="3" t="s">
        <v>3417</v>
      </c>
      <c r="B590" s="3" t="s">
        <v>39</v>
      </c>
      <c r="C590" s="3" t="s">
        <v>40</v>
      </c>
      <c r="D590" s="3" t="s">
        <v>41</v>
      </c>
      <c r="E590" s="3" t="s">
        <v>992</v>
      </c>
      <c r="F590" s="3" t="s">
        <v>127</v>
      </c>
      <c r="G590" s="2">
        <v>59.61</v>
      </c>
      <c r="H590" s="2">
        <v>10</v>
      </c>
      <c r="I590" s="2">
        <v>29.805</v>
      </c>
      <c r="J590" s="2">
        <v>625.90499999999997</v>
      </c>
      <c r="K590" s="5">
        <v>43538</v>
      </c>
      <c r="L590" s="4">
        <v>0.46319444444444446</v>
      </c>
      <c r="M590" s="3" t="s">
        <v>49</v>
      </c>
      <c r="N590" s="2">
        <v>596.1</v>
      </c>
      <c r="O590" s="2">
        <v>4.7619047620000003</v>
      </c>
      <c r="P590" s="2">
        <v>29.805</v>
      </c>
      <c r="Q590" s="2">
        <v>5.3</v>
      </c>
      <c r="R590" s="3"/>
      <c r="S590" s="1"/>
      <c r="T590" s="1"/>
      <c r="U590" s="1" t="s">
        <v>37</v>
      </c>
      <c r="V590" s="1" t="s">
        <v>37</v>
      </c>
      <c r="W590" s="1" t="s">
        <v>37</v>
      </c>
    </row>
    <row r="591" spans="1:23">
      <c r="A591" s="3" t="s">
        <v>3423</v>
      </c>
      <c r="B591" s="3" t="s">
        <v>22</v>
      </c>
      <c r="C591" s="3" t="s">
        <v>23</v>
      </c>
      <c r="D591" s="3" t="s">
        <v>41</v>
      </c>
      <c r="E591" s="3" t="s">
        <v>992</v>
      </c>
      <c r="F591" s="3" t="s">
        <v>26</v>
      </c>
      <c r="G591" s="2">
        <v>14.62</v>
      </c>
      <c r="H591" s="2">
        <v>5</v>
      </c>
      <c r="I591" s="2">
        <v>3.6549999999999998</v>
      </c>
      <c r="J591" s="2">
        <v>76.754999999999995</v>
      </c>
      <c r="K591" s="5">
        <v>43528</v>
      </c>
      <c r="L591" s="4">
        <v>0.51597222222222228</v>
      </c>
      <c r="M591" s="3" t="s">
        <v>49</v>
      </c>
      <c r="N591" s="2">
        <v>73.099999999999994</v>
      </c>
      <c r="O591" s="2">
        <v>4.7619047620000003</v>
      </c>
      <c r="P591" s="2">
        <v>3.6549999999999998</v>
      </c>
      <c r="Q591" s="2">
        <v>4.4000000000000004</v>
      </c>
      <c r="R591" s="3"/>
      <c r="S591" s="1"/>
      <c r="T591" s="1"/>
      <c r="U591" s="1" t="s">
        <v>37</v>
      </c>
      <c r="V591" s="1" t="s">
        <v>37</v>
      </c>
      <c r="W591" s="1" t="s">
        <v>37</v>
      </c>
    </row>
    <row r="592" spans="1:23">
      <c r="A592" s="3" t="s">
        <v>3429</v>
      </c>
      <c r="B592" s="3" t="s">
        <v>39</v>
      </c>
      <c r="C592" s="3" t="s">
        <v>40</v>
      </c>
      <c r="D592" s="3" t="s">
        <v>24</v>
      </c>
      <c r="E592" s="3" t="s">
        <v>992</v>
      </c>
      <c r="F592" s="3" t="s">
        <v>26</v>
      </c>
      <c r="G592" s="2">
        <v>46.53</v>
      </c>
      <c r="H592" s="2">
        <v>6</v>
      </c>
      <c r="I592" s="2">
        <v>13.959</v>
      </c>
      <c r="J592" s="2">
        <v>293.13900000000001</v>
      </c>
      <c r="K592" s="5">
        <v>43527</v>
      </c>
      <c r="L592" s="4">
        <v>0.45416666666666666</v>
      </c>
      <c r="M592" s="3" t="s">
        <v>59</v>
      </c>
      <c r="N592" s="2">
        <v>279.18</v>
      </c>
      <c r="O592" s="2">
        <v>4.7619047620000003</v>
      </c>
      <c r="P592" s="2">
        <v>13.959</v>
      </c>
      <c r="Q592" s="2">
        <v>4.3</v>
      </c>
      <c r="R592" s="3"/>
      <c r="S592" s="1"/>
      <c r="T592" s="1"/>
      <c r="U592" s="1" t="s">
        <v>37</v>
      </c>
      <c r="V592" s="1" t="s">
        <v>37</v>
      </c>
      <c r="W592" s="1" t="s">
        <v>37</v>
      </c>
    </row>
    <row r="593" spans="1:23">
      <c r="A593" s="3" t="s">
        <v>3434</v>
      </c>
      <c r="B593" s="3" t="s">
        <v>39</v>
      </c>
      <c r="C593" s="3" t="s">
        <v>40</v>
      </c>
      <c r="D593" s="3" t="s">
        <v>24</v>
      </c>
      <c r="E593" s="3" t="s">
        <v>25</v>
      </c>
      <c r="F593" s="3" t="s">
        <v>53</v>
      </c>
      <c r="G593" s="2">
        <v>24.24</v>
      </c>
      <c r="H593" s="2">
        <v>7</v>
      </c>
      <c r="I593" s="2">
        <v>8.484</v>
      </c>
      <c r="J593" s="2">
        <v>178.16399999999999</v>
      </c>
      <c r="K593" s="5">
        <v>43492</v>
      </c>
      <c r="L593" s="4">
        <v>0.73472222222222228</v>
      </c>
      <c r="M593" s="3" t="s">
        <v>33</v>
      </c>
      <c r="N593" s="2">
        <v>169.68</v>
      </c>
      <c r="O593" s="2">
        <v>4.7619047620000003</v>
      </c>
      <c r="P593" s="2">
        <v>8.484</v>
      </c>
      <c r="Q593" s="2">
        <v>9.4</v>
      </c>
      <c r="R593" s="3"/>
      <c r="S593" s="1"/>
      <c r="T593" s="1"/>
      <c r="U593" s="1" t="s">
        <v>37</v>
      </c>
      <c r="V593" s="1" t="s">
        <v>37</v>
      </c>
      <c r="W593" s="1" t="s">
        <v>37</v>
      </c>
    </row>
    <row r="594" spans="1:23">
      <c r="A594" s="3" t="s">
        <v>3439</v>
      </c>
      <c r="B594" s="3" t="s">
        <v>22</v>
      </c>
      <c r="C594" s="3" t="s">
        <v>23</v>
      </c>
      <c r="D594" s="3" t="s">
        <v>24</v>
      </c>
      <c r="E594" s="3" t="s">
        <v>25</v>
      </c>
      <c r="F594" s="3" t="s">
        <v>72</v>
      </c>
      <c r="G594" s="2">
        <v>45.58</v>
      </c>
      <c r="H594" s="2">
        <v>1</v>
      </c>
      <c r="I594" s="2">
        <v>2.2789999999999999</v>
      </c>
      <c r="J594" s="2">
        <v>47.859000000000002</v>
      </c>
      <c r="K594" s="5">
        <v>43503</v>
      </c>
      <c r="L594" s="4">
        <v>0.59236111111111112</v>
      </c>
      <c r="M594" s="3" t="s">
        <v>49</v>
      </c>
      <c r="N594" s="2">
        <v>45.58</v>
      </c>
      <c r="O594" s="2">
        <v>4.7619047620000003</v>
      </c>
      <c r="P594" s="2">
        <v>2.2789999999999999</v>
      </c>
      <c r="Q594" s="2">
        <v>9.8000000000000007</v>
      </c>
      <c r="R594" s="3"/>
      <c r="S594" s="1"/>
      <c r="T594" s="1"/>
      <c r="U594" s="1" t="s">
        <v>37</v>
      </c>
      <c r="V594" s="1" t="s">
        <v>37</v>
      </c>
      <c r="W594" s="1" t="s">
        <v>37</v>
      </c>
    </row>
    <row r="595" spans="1:23">
      <c r="A595" s="3" t="s">
        <v>3444</v>
      </c>
      <c r="B595" s="3" t="s">
        <v>22</v>
      </c>
      <c r="C595" s="3" t="s">
        <v>23</v>
      </c>
      <c r="D595" s="3" t="s">
        <v>24</v>
      </c>
      <c r="E595" s="3" t="s">
        <v>25</v>
      </c>
      <c r="F595" s="3" t="s">
        <v>72</v>
      </c>
      <c r="G595" s="2">
        <v>75.2</v>
      </c>
      <c r="H595" s="2">
        <v>3</v>
      </c>
      <c r="I595" s="2">
        <v>11.28</v>
      </c>
      <c r="J595" s="2">
        <v>236.88</v>
      </c>
      <c r="K595" s="5">
        <v>43501</v>
      </c>
      <c r="L595" s="4">
        <v>0.49375000000000002</v>
      </c>
      <c r="M595" s="3" t="s">
        <v>33</v>
      </c>
      <c r="N595" s="2">
        <v>225.6</v>
      </c>
      <c r="O595" s="2">
        <v>4.7619047620000003</v>
      </c>
      <c r="P595" s="2">
        <v>11.28</v>
      </c>
      <c r="Q595" s="2">
        <v>4.8</v>
      </c>
      <c r="R595" s="3"/>
      <c r="S595" s="1"/>
      <c r="T595" s="1"/>
      <c r="U595" s="1" t="s">
        <v>37</v>
      </c>
      <c r="V595" s="1" t="s">
        <v>37</v>
      </c>
      <c r="W595" s="1" t="s">
        <v>37</v>
      </c>
    </row>
    <row r="596" spans="1:23">
      <c r="A596" s="3" t="s">
        <v>3449</v>
      </c>
      <c r="B596" s="3" t="s">
        <v>115</v>
      </c>
      <c r="C596" s="3" t="s">
        <v>116</v>
      </c>
      <c r="D596" s="3" t="s">
        <v>24</v>
      </c>
      <c r="E596" s="3" t="s">
        <v>992</v>
      </c>
      <c r="F596" s="3" t="s">
        <v>72</v>
      </c>
      <c r="G596" s="2">
        <v>96.8</v>
      </c>
      <c r="H596" s="2">
        <v>3</v>
      </c>
      <c r="I596" s="2">
        <v>14.52</v>
      </c>
      <c r="J596" s="2">
        <v>304.92</v>
      </c>
      <c r="K596" s="5">
        <v>43539</v>
      </c>
      <c r="L596" s="4">
        <v>0.54513888888888884</v>
      </c>
      <c r="M596" s="3" t="s">
        <v>49</v>
      </c>
      <c r="N596" s="2">
        <v>290.39999999999998</v>
      </c>
      <c r="O596" s="2">
        <v>4.7619047620000003</v>
      </c>
      <c r="P596" s="2">
        <v>14.52</v>
      </c>
      <c r="Q596" s="2">
        <v>5.3</v>
      </c>
      <c r="R596" s="3"/>
      <c r="S596" s="1"/>
      <c r="T596" s="1"/>
      <c r="U596" s="1" t="s">
        <v>37</v>
      </c>
      <c r="V596" s="1" t="s">
        <v>37</v>
      </c>
      <c r="W596" s="1" t="s">
        <v>37</v>
      </c>
    </row>
    <row r="597" spans="1:23">
      <c r="A597" s="3" t="s">
        <v>3454</v>
      </c>
      <c r="B597" s="3" t="s">
        <v>115</v>
      </c>
      <c r="C597" s="3" t="s">
        <v>116</v>
      </c>
      <c r="D597" s="3" t="s">
        <v>41</v>
      </c>
      <c r="E597" s="3" t="s">
        <v>992</v>
      </c>
      <c r="F597" s="3" t="s">
        <v>26</v>
      </c>
      <c r="G597" s="2">
        <v>14.82</v>
      </c>
      <c r="H597" s="2">
        <v>3</v>
      </c>
      <c r="I597" s="2">
        <v>2.2229999999999999</v>
      </c>
      <c r="J597" s="2">
        <v>46.683</v>
      </c>
      <c r="K597" s="5">
        <v>43525</v>
      </c>
      <c r="L597" s="4">
        <v>0.47916666666666669</v>
      </c>
      <c r="M597" s="3" t="s">
        <v>59</v>
      </c>
      <c r="N597" s="2">
        <v>44.46</v>
      </c>
      <c r="O597" s="2">
        <v>4.7619047620000003</v>
      </c>
      <c r="P597" s="2">
        <v>2.2229999999999999</v>
      </c>
      <c r="Q597" s="2">
        <v>8.6999999999999993</v>
      </c>
      <c r="R597" s="3"/>
      <c r="S597" s="1"/>
      <c r="T597" s="1"/>
      <c r="U597" s="1" t="s">
        <v>37</v>
      </c>
      <c r="V597" s="1" t="s">
        <v>37</v>
      </c>
      <c r="W597" s="1" t="s">
        <v>37</v>
      </c>
    </row>
    <row r="598" spans="1:23">
      <c r="A598" s="3" t="s">
        <v>3459</v>
      </c>
      <c r="B598" s="3" t="s">
        <v>22</v>
      </c>
      <c r="C598" s="3" t="s">
        <v>23</v>
      </c>
      <c r="D598" s="3" t="s">
        <v>41</v>
      </c>
      <c r="E598" s="3" t="s">
        <v>992</v>
      </c>
      <c r="F598" s="3" t="s">
        <v>117</v>
      </c>
      <c r="G598" s="2">
        <v>52.2</v>
      </c>
      <c r="H598" s="2">
        <v>3</v>
      </c>
      <c r="I598" s="2">
        <v>7.83</v>
      </c>
      <c r="J598" s="2">
        <v>164.43</v>
      </c>
      <c r="K598" s="5">
        <v>43511</v>
      </c>
      <c r="L598" s="4">
        <v>0.5625</v>
      </c>
      <c r="M598" s="3" t="s">
        <v>59</v>
      </c>
      <c r="N598" s="2">
        <v>156.6</v>
      </c>
      <c r="O598" s="2">
        <v>4.7619047620000003</v>
      </c>
      <c r="P598" s="2">
        <v>7.83</v>
      </c>
      <c r="Q598" s="2">
        <v>9.5</v>
      </c>
      <c r="R598" s="3"/>
      <c r="S598" s="1"/>
      <c r="T598" s="1"/>
      <c r="U598" s="1" t="s">
        <v>37</v>
      </c>
      <c r="V598" s="1" t="s">
        <v>37</v>
      </c>
      <c r="W598" s="1" t="s">
        <v>37</v>
      </c>
    </row>
    <row r="599" spans="1:23">
      <c r="A599" s="3" t="s">
        <v>3464</v>
      </c>
      <c r="B599" s="3" t="s">
        <v>39</v>
      </c>
      <c r="C599" s="3" t="s">
        <v>40</v>
      </c>
      <c r="D599" s="3" t="s">
        <v>41</v>
      </c>
      <c r="E599" s="3" t="s">
        <v>25</v>
      </c>
      <c r="F599" s="3" t="s">
        <v>72</v>
      </c>
      <c r="G599" s="2">
        <v>46.66</v>
      </c>
      <c r="H599" s="2">
        <v>9</v>
      </c>
      <c r="I599" s="2">
        <v>20.997</v>
      </c>
      <c r="J599" s="2">
        <v>440.93700000000001</v>
      </c>
      <c r="K599" s="5">
        <v>43513</v>
      </c>
      <c r="L599" s="4">
        <v>0.7993055555555556</v>
      </c>
      <c r="M599" s="3" t="s">
        <v>33</v>
      </c>
      <c r="N599" s="2">
        <v>419.94</v>
      </c>
      <c r="O599" s="2">
        <v>4.7619047620000003</v>
      </c>
      <c r="P599" s="2">
        <v>20.997</v>
      </c>
      <c r="Q599" s="2">
        <v>5.3</v>
      </c>
      <c r="R599" s="3"/>
      <c r="S599" s="1"/>
      <c r="T599" s="1"/>
      <c r="U599" s="1" t="s">
        <v>37</v>
      </c>
      <c r="V599" s="1" t="s">
        <v>37</v>
      </c>
      <c r="W599" s="1" t="s">
        <v>37</v>
      </c>
    </row>
    <row r="600" spans="1:23">
      <c r="A600" s="3" t="s">
        <v>3470</v>
      </c>
      <c r="B600" s="3" t="s">
        <v>39</v>
      </c>
      <c r="C600" s="3" t="s">
        <v>40</v>
      </c>
      <c r="D600" s="3" t="s">
        <v>41</v>
      </c>
      <c r="E600" s="3" t="s">
        <v>25</v>
      </c>
      <c r="F600" s="3" t="s">
        <v>127</v>
      </c>
      <c r="G600" s="2">
        <v>36.85</v>
      </c>
      <c r="H600" s="2">
        <v>5</v>
      </c>
      <c r="I600" s="2">
        <v>9.2125000000000004</v>
      </c>
      <c r="J600" s="2">
        <v>193.46250000000001</v>
      </c>
      <c r="K600" s="5">
        <v>43491</v>
      </c>
      <c r="L600" s="4">
        <v>0.78680555555555554</v>
      </c>
      <c r="M600" s="3" t="s">
        <v>49</v>
      </c>
      <c r="N600" s="2">
        <v>184.25</v>
      </c>
      <c r="O600" s="2">
        <v>4.7619047620000003</v>
      </c>
      <c r="P600" s="2">
        <v>9.2125000000000004</v>
      </c>
      <c r="Q600" s="2">
        <v>9.1999999999999993</v>
      </c>
      <c r="R600" s="3"/>
      <c r="S600" s="1"/>
      <c r="T600" s="1"/>
      <c r="U600" s="1" t="s">
        <v>37</v>
      </c>
      <c r="V600" s="1" t="s">
        <v>37</v>
      </c>
      <c r="W600" s="1" t="s">
        <v>37</v>
      </c>
    </row>
    <row r="601" spans="1:23">
      <c r="A601" s="3" t="s">
        <v>3476</v>
      </c>
      <c r="B601" s="3" t="s">
        <v>22</v>
      </c>
      <c r="C601" s="3" t="s">
        <v>23</v>
      </c>
      <c r="D601" s="3" t="s">
        <v>24</v>
      </c>
      <c r="E601" s="3" t="s">
        <v>25</v>
      </c>
      <c r="F601" s="3" t="s">
        <v>53</v>
      </c>
      <c r="G601" s="2">
        <v>70.319999999999993</v>
      </c>
      <c r="H601" s="2">
        <v>2</v>
      </c>
      <c r="I601" s="2">
        <v>7.032</v>
      </c>
      <c r="J601" s="2">
        <v>147.672</v>
      </c>
      <c r="K601" s="5">
        <v>43548</v>
      </c>
      <c r="L601" s="4">
        <v>0.59861111111111109</v>
      </c>
      <c r="M601" s="3" t="s">
        <v>33</v>
      </c>
      <c r="N601" s="2">
        <v>140.63999999999999</v>
      </c>
      <c r="O601" s="2">
        <v>4.7619047620000003</v>
      </c>
      <c r="P601" s="2">
        <v>7.032</v>
      </c>
      <c r="Q601" s="2">
        <v>9.6</v>
      </c>
      <c r="R601" s="3"/>
      <c r="S601" s="1"/>
      <c r="T601" s="1"/>
      <c r="U601" s="1" t="s">
        <v>37</v>
      </c>
      <c r="V601" s="1" t="s">
        <v>37</v>
      </c>
      <c r="W601" s="1" t="s">
        <v>37</v>
      </c>
    </row>
    <row r="602" spans="1:23">
      <c r="A602" s="3" t="s">
        <v>3482</v>
      </c>
      <c r="B602" s="3" t="s">
        <v>39</v>
      </c>
      <c r="C602" s="3" t="s">
        <v>40</v>
      </c>
      <c r="D602" s="3" t="s">
        <v>41</v>
      </c>
      <c r="E602" s="3" t="s">
        <v>992</v>
      </c>
      <c r="F602" s="3" t="s">
        <v>42</v>
      </c>
      <c r="G602" s="2">
        <v>83.08</v>
      </c>
      <c r="H602" s="2">
        <v>1</v>
      </c>
      <c r="I602" s="2">
        <v>4.1539999999999999</v>
      </c>
      <c r="J602" s="2">
        <v>87.233999999999995</v>
      </c>
      <c r="K602" s="5">
        <v>43488</v>
      </c>
      <c r="L602" s="4">
        <v>0.71944444444444444</v>
      </c>
      <c r="M602" s="3" t="s">
        <v>33</v>
      </c>
      <c r="N602" s="2">
        <v>83.08</v>
      </c>
      <c r="O602" s="2">
        <v>4.7619047620000003</v>
      </c>
      <c r="P602" s="2">
        <v>4.1539999999999999</v>
      </c>
      <c r="Q602" s="2">
        <v>6.4</v>
      </c>
      <c r="R602" s="3"/>
      <c r="S602" s="1"/>
      <c r="T602" s="1"/>
      <c r="U602" s="1" t="s">
        <v>37</v>
      </c>
      <c r="V602" s="1" t="s">
        <v>37</v>
      </c>
      <c r="W602" s="1" t="s">
        <v>37</v>
      </c>
    </row>
    <row r="603" spans="1:23">
      <c r="A603" s="3" t="s">
        <v>3483</v>
      </c>
      <c r="B603" s="3" t="s">
        <v>39</v>
      </c>
      <c r="C603" s="3" t="s">
        <v>40</v>
      </c>
      <c r="D603" s="3" t="s">
        <v>41</v>
      </c>
      <c r="E603" s="3" t="s">
        <v>25</v>
      </c>
      <c r="F603" s="3" t="s">
        <v>127</v>
      </c>
      <c r="G603" s="2">
        <v>64.989999999999995</v>
      </c>
      <c r="H603" s="2">
        <v>1</v>
      </c>
      <c r="I603" s="2">
        <v>3.2494999999999998</v>
      </c>
      <c r="J603" s="2">
        <v>68.239500000000007</v>
      </c>
      <c r="K603" s="5">
        <v>43491</v>
      </c>
      <c r="L603" s="4">
        <v>0.42083333333333334</v>
      </c>
      <c r="M603" s="3" t="s">
        <v>59</v>
      </c>
      <c r="N603" s="2">
        <v>64.989999999999995</v>
      </c>
      <c r="O603" s="2">
        <v>4.7619047620000003</v>
      </c>
      <c r="P603" s="2">
        <v>3.2494999999999998</v>
      </c>
      <c r="Q603" s="2">
        <v>4.5</v>
      </c>
      <c r="R603" s="3"/>
      <c r="S603" s="1"/>
      <c r="T603" s="1"/>
      <c r="U603" s="1" t="s">
        <v>37</v>
      </c>
      <c r="V603" s="1" t="s">
        <v>37</v>
      </c>
      <c r="W603" s="1" t="s">
        <v>37</v>
      </c>
    </row>
    <row r="604" spans="1:23">
      <c r="A604" s="3" t="s">
        <v>3488</v>
      </c>
      <c r="B604" s="3" t="s">
        <v>39</v>
      </c>
      <c r="C604" s="3" t="s">
        <v>40</v>
      </c>
      <c r="D604" s="3" t="s">
        <v>41</v>
      </c>
      <c r="E604" s="3" t="s">
        <v>992</v>
      </c>
      <c r="F604" s="3" t="s">
        <v>117</v>
      </c>
      <c r="G604" s="2">
        <v>77.56</v>
      </c>
      <c r="H604" s="2">
        <v>10</v>
      </c>
      <c r="I604" s="2">
        <v>38.78</v>
      </c>
      <c r="J604" s="2">
        <v>814.38</v>
      </c>
      <c r="K604" s="5">
        <v>43538</v>
      </c>
      <c r="L604" s="4">
        <v>0.85763888888888884</v>
      </c>
      <c r="M604" s="3" t="s">
        <v>33</v>
      </c>
      <c r="N604" s="2">
        <v>775.6</v>
      </c>
      <c r="O604" s="2">
        <v>4.7619047620000003</v>
      </c>
      <c r="P604" s="2">
        <v>38.78</v>
      </c>
      <c r="Q604" s="2">
        <v>6.9</v>
      </c>
      <c r="R604" s="3"/>
      <c r="S604" s="1"/>
      <c r="T604" s="1"/>
      <c r="U604" s="1" t="s">
        <v>37</v>
      </c>
      <c r="V604" s="1" t="s">
        <v>37</v>
      </c>
      <c r="W604" s="1" t="s">
        <v>37</v>
      </c>
    </row>
    <row r="605" spans="1:23">
      <c r="A605" s="3" t="s">
        <v>3493</v>
      </c>
      <c r="B605" s="3" t="s">
        <v>115</v>
      </c>
      <c r="C605" s="3" t="s">
        <v>116</v>
      </c>
      <c r="D605" s="3" t="s">
        <v>41</v>
      </c>
      <c r="E605" s="3" t="s">
        <v>25</v>
      </c>
      <c r="F605" s="3" t="s">
        <v>72</v>
      </c>
      <c r="G605" s="2">
        <v>54.51</v>
      </c>
      <c r="H605" s="2">
        <v>6</v>
      </c>
      <c r="I605" s="2">
        <v>16.353000000000002</v>
      </c>
      <c r="J605" s="2">
        <v>343.41300000000001</v>
      </c>
      <c r="K605" s="5">
        <v>43541</v>
      </c>
      <c r="L605" s="4">
        <v>0.57916666666666672</v>
      </c>
      <c r="M605" s="3" t="s">
        <v>33</v>
      </c>
      <c r="N605" s="2">
        <v>327.06</v>
      </c>
      <c r="O605" s="2">
        <v>4.7619047620000003</v>
      </c>
      <c r="P605" s="2">
        <v>16.353000000000002</v>
      </c>
      <c r="Q605" s="2">
        <v>7.8</v>
      </c>
      <c r="R605" s="3"/>
      <c r="S605" s="1"/>
      <c r="T605" s="1"/>
      <c r="U605" s="1" t="s">
        <v>37</v>
      </c>
      <c r="V605" s="1" t="s">
        <v>37</v>
      </c>
      <c r="W605" s="1" t="s">
        <v>37</v>
      </c>
    </row>
    <row r="606" spans="1:23">
      <c r="A606" s="3" t="s">
        <v>3498</v>
      </c>
      <c r="B606" s="3" t="s">
        <v>39</v>
      </c>
      <c r="C606" s="3" t="s">
        <v>40</v>
      </c>
      <c r="D606" s="3" t="s">
        <v>24</v>
      </c>
      <c r="E606" s="3" t="s">
        <v>25</v>
      </c>
      <c r="F606" s="3" t="s">
        <v>127</v>
      </c>
      <c r="G606" s="2">
        <v>51.89</v>
      </c>
      <c r="H606" s="2">
        <v>7</v>
      </c>
      <c r="I606" s="2">
        <v>18.1615</v>
      </c>
      <c r="J606" s="2">
        <v>381.39150000000001</v>
      </c>
      <c r="K606" s="5">
        <v>43473</v>
      </c>
      <c r="L606" s="4">
        <v>0.83888888888888891</v>
      </c>
      <c r="M606" s="3" t="s">
        <v>49</v>
      </c>
      <c r="N606" s="2">
        <v>363.23</v>
      </c>
      <c r="O606" s="2">
        <v>4.7619047620000003</v>
      </c>
      <c r="P606" s="2">
        <v>18.1615</v>
      </c>
      <c r="Q606" s="2">
        <v>4.5</v>
      </c>
      <c r="R606" s="3"/>
      <c r="S606" s="1"/>
      <c r="T606" s="1"/>
      <c r="U606" s="1" t="s">
        <v>37</v>
      </c>
      <c r="V606" s="1" t="s">
        <v>37</v>
      </c>
      <c r="W606" s="1" t="s">
        <v>37</v>
      </c>
    </row>
    <row r="607" spans="1:23">
      <c r="A607" s="3" t="s">
        <v>3504</v>
      </c>
      <c r="B607" s="3" t="s">
        <v>115</v>
      </c>
      <c r="C607" s="3" t="s">
        <v>116</v>
      </c>
      <c r="D607" s="3" t="s">
        <v>41</v>
      </c>
      <c r="E607" s="3" t="s">
        <v>992</v>
      </c>
      <c r="F607" s="3" t="s">
        <v>53</v>
      </c>
      <c r="G607" s="2">
        <v>31.75</v>
      </c>
      <c r="H607" s="2">
        <v>4</v>
      </c>
      <c r="I607" s="2">
        <v>6.35</v>
      </c>
      <c r="J607" s="2">
        <v>133.35</v>
      </c>
      <c r="K607" s="5">
        <v>43504</v>
      </c>
      <c r="L607" s="4">
        <v>0.6430555555555556</v>
      </c>
      <c r="M607" s="3" t="s">
        <v>49</v>
      </c>
      <c r="N607" s="2">
        <v>127</v>
      </c>
      <c r="O607" s="2">
        <v>4.7619047620000003</v>
      </c>
      <c r="P607" s="2">
        <v>6.35</v>
      </c>
      <c r="Q607" s="2">
        <v>8.6</v>
      </c>
      <c r="R607" s="3"/>
      <c r="S607" s="1"/>
      <c r="T607" s="1"/>
      <c r="U607" s="1" t="s">
        <v>37</v>
      </c>
      <c r="V607" s="1" t="s">
        <v>37</v>
      </c>
      <c r="W607" s="1" t="s">
        <v>37</v>
      </c>
    </row>
    <row r="608" spans="1:23">
      <c r="A608" s="3" t="s">
        <v>3509</v>
      </c>
      <c r="B608" s="3" t="s">
        <v>22</v>
      </c>
      <c r="C608" s="3" t="s">
        <v>23</v>
      </c>
      <c r="D608" s="3" t="s">
        <v>24</v>
      </c>
      <c r="E608" s="3" t="s">
        <v>25</v>
      </c>
      <c r="F608" s="3" t="s">
        <v>127</v>
      </c>
      <c r="G608" s="2">
        <v>53.65</v>
      </c>
      <c r="H608" s="2">
        <v>7</v>
      </c>
      <c r="I608" s="2">
        <v>18.7775</v>
      </c>
      <c r="J608" s="2">
        <v>394.32749999999999</v>
      </c>
      <c r="K608" s="5">
        <v>43506</v>
      </c>
      <c r="L608" s="4">
        <v>0.53888888888888886</v>
      </c>
      <c r="M608" s="3" t="s">
        <v>33</v>
      </c>
      <c r="N608" s="2">
        <v>375.55</v>
      </c>
      <c r="O608" s="2">
        <v>4.7619047620000003</v>
      </c>
      <c r="P608" s="2">
        <v>18.7775</v>
      </c>
      <c r="Q608" s="2">
        <v>5.2</v>
      </c>
      <c r="R608" s="3"/>
      <c r="S608" s="1"/>
      <c r="T608" s="1"/>
      <c r="U608" s="1" t="s">
        <v>37</v>
      </c>
      <c r="V608" s="1" t="s">
        <v>37</v>
      </c>
      <c r="W608" s="1" t="s">
        <v>37</v>
      </c>
    </row>
    <row r="609" spans="1:23">
      <c r="A609" s="3" t="s">
        <v>3515</v>
      </c>
      <c r="B609" s="3" t="s">
        <v>39</v>
      </c>
      <c r="C609" s="3" t="s">
        <v>40</v>
      </c>
      <c r="D609" s="3" t="s">
        <v>24</v>
      </c>
      <c r="E609" s="3" t="s">
        <v>25</v>
      </c>
      <c r="F609" s="3" t="s">
        <v>117</v>
      </c>
      <c r="G609" s="2">
        <v>49.79</v>
      </c>
      <c r="H609" s="2">
        <v>4</v>
      </c>
      <c r="I609" s="2">
        <v>9.9580000000000002</v>
      </c>
      <c r="J609" s="2">
        <v>209.11799999999999</v>
      </c>
      <c r="K609" s="5">
        <v>43552</v>
      </c>
      <c r="L609" s="4">
        <v>0.80277777777777781</v>
      </c>
      <c r="M609" s="3" t="s">
        <v>59</v>
      </c>
      <c r="N609" s="2">
        <v>199.16</v>
      </c>
      <c r="O609" s="2">
        <v>4.7619047620000003</v>
      </c>
      <c r="P609" s="2">
        <v>9.9580000000000002</v>
      </c>
      <c r="Q609" s="2">
        <v>6.4</v>
      </c>
      <c r="R609" s="3"/>
      <c r="S609" s="1"/>
      <c r="T609" s="1"/>
      <c r="U609" s="1" t="s">
        <v>37</v>
      </c>
      <c r="V609" s="1" t="s">
        <v>37</v>
      </c>
      <c r="W609" s="1" t="s">
        <v>37</v>
      </c>
    </row>
    <row r="610" spans="1:23">
      <c r="A610" s="3" t="s">
        <v>3520</v>
      </c>
      <c r="B610" s="3" t="s">
        <v>22</v>
      </c>
      <c r="C610" s="3" t="s">
        <v>23</v>
      </c>
      <c r="D610" s="3" t="s">
        <v>41</v>
      </c>
      <c r="E610" s="3" t="s">
        <v>992</v>
      </c>
      <c r="F610" s="3" t="s">
        <v>127</v>
      </c>
      <c r="G610" s="2">
        <v>30.61</v>
      </c>
      <c r="H610" s="2">
        <v>1</v>
      </c>
      <c r="I610" s="2">
        <v>1.5305</v>
      </c>
      <c r="J610" s="2">
        <v>32.140500000000003</v>
      </c>
      <c r="K610" s="5">
        <v>43488</v>
      </c>
      <c r="L610" s="4">
        <v>0.51388888888888884</v>
      </c>
      <c r="M610" s="3" t="s">
        <v>33</v>
      </c>
      <c r="N610" s="2">
        <v>30.61</v>
      </c>
      <c r="O610" s="2">
        <v>4.7619047620000003</v>
      </c>
      <c r="P610" s="2">
        <v>1.5305</v>
      </c>
      <c r="Q610" s="2">
        <v>5.2</v>
      </c>
      <c r="R610" s="3"/>
      <c r="S610" s="1"/>
      <c r="T610" s="1"/>
      <c r="U610" s="1" t="s">
        <v>37</v>
      </c>
      <c r="V610" s="1" t="s">
        <v>37</v>
      </c>
      <c r="W610" s="1" t="s">
        <v>37</v>
      </c>
    </row>
    <row r="611" spans="1:23">
      <c r="A611" s="3" t="s">
        <v>3523</v>
      </c>
      <c r="B611" s="3" t="s">
        <v>115</v>
      </c>
      <c r="C611" s="3" t="s">
        <v>116</v>
      </c>
      <c r="D611" s="3" t="s">
        <v>24</v>
      </c>
      <c r="E611" s="3" t="s">
        <v>992</v>
      </c>
      <c r="F611" s="3" t="s">
        <v>117</v>
      </c>
      <c r="G611" s="2">
        <v>57.89</v>
      </c>
      <c r="H611" s="2">
        <v>2</v>
      </c>
      <c r="I611" s="2">
        <v>5.7889999999999997</v>
      </c>
      <c r="J611" s="2">
        <v>121.569</v>
      </c>
      <c r="K611" s="5">
        <v>43482</v>
      </c>
      <c r="L611" s="4">
        <v>0.44236111111111109</v>
      </c>
      <c r="M611" s="3" t="s">
        <v>33</v>
      </c>
      <c r="N611" s="2">
        <v>115.78</v>
      </c>
      <c r="O611" s="2">
        <v>4.7619047620000003</v>
      </c>
      <c r="P611" s="2">
        <v>5.7889999999999997</v>
      </c>
      <c r="Q611" s="2">
        <v>8.9</v>
      </c>
      <c r="R611" s="3"/>
      <c r="S611" s="1"/>
      <c r="T611" s="1"/>
      <c r="U611" s="1" t="s">
        <v>37</v>
      </c>
      <c r="V611" s="1" t="s">
        <v>37</v>
      </c>
      <c r="W611" s="1" t="s">
        <v>37</v>
      </c>
    </row>
    <row r="612" spans="1:23">
      <c r="A612" s="3" t="s">
        <v>3528</v>
      </c>
      <c r="B612" s="3" t="s">
        <v>22</v>
      </c>
      <c r="C612" s="3" t="s">
        <v>23</v>
      </c>
      <c r="D612" s="3" t="s">
        <v>41</v>
      </c>
      <c r="E612" s="3" t="s">
        <v>25</v>
      </c>
      <c r="F612" s="3" t="s">
        <v>42</v>
      </c>
      <c r="G612" s="2">
        <v>28.96</v>
      </c>
      <c r="H612" s="2">
        <v>1</v>
      </c>
      <c r="I612" s="2">
        <v>1.448</v>
      </c>
      <c r="J612" s="2">
        <v>30.408000000000001</v>
      </c>
      <c r="K612" s="5">
        <v>43503</v>
      </c>
      <c r="L612" s="4">
        <v>0.42916666666666664</v>
      </c>
      <c r="M612" s="3" t="s">
        <v>59</v>
      </c>
      <c r="N612" s="2">
        <v>28.96</v>
      </c>
      <c r="O612" s="2">
        <v>4.7619047620000003</v>
      </c>
      <c r="P612" s="2">
        <v>1.448</v>
      </c>
      <c r="Q612" s="2">
        <v>6.2</v>
      </c>
      <c r="R612" s="3"/>
      <c r="S612" s="1"/>
      <c r="T612" s="1"/>
      <c r="U612" s="1" t="s">
        <v>37</v>
      </c>
      <c r="V612" s="1" t="s">
        <v>37</v>
      </c>
      <c r="W612" s="1" t="s">
        <v>37</v>
      </c>
    </row>
    <row r="613" spans="1:23">
      <c r="A613" s="3" t="s">
        <v>3533</v>
      </c>
      <c r="B613" s="3" t="s">
        <v>39</v>
      </c>
      <c r="C613" s="3" t="s">
        <v>40</v>
      </c>
      <c r="D613" s="3" t="s">
        <v>24</v>
      </c>
      <c r="E613" s="3" t="s">
        <v>25</v>
      </c>
      <c r="F613" s="3" t="s">
        <v>117</v>
      </c>
      <c r="G613" s="2">
        <v>98.97</v>
      </c>
      <c r="H613" s="2">
        <v>9</v>
      </c>
      <c r="I613" s="2">
        <v>44.536499999999997</v>
      </c>
      <c r="J613" s="2">
        <v>935.26649999999995</v>
      </c>
      <c r="K613" s="5">
        <v>43533</v>
      </c>
      <c r="L613" s="4">
        <v>0.47430555555555554</v>
      </c>
      <c r="M613" s="3" t="s">
        <v>49</v>
      </c>
      <c r="N613" s="2">
        <v>890.73</v>
      </c>
      <c r="O613" s="2">
        <v>4.7619047620000003</v>
      </c>
      <c r="P613" s="2">
        <v>44.536499999999997</v>
      </c>
      <c r="Q613" s="2">
        <v>6.7</v>
      </c>
      <c r="R613" s="3"/>
      <c r="S613" s="1"/>
      <c r="T613" s="1"/>
      <c r="U613" s="1" t="s">
        <v>37</v>
      </c>
      <c r="V613" s="1" t="s">
        <v>37</v>
      </c>
      <c r="W613" s="1" t="s">
        <v>37</v>
      </c>
    </row>
    <row r="614" spans="1:23">
      <c r="A614" s="3" t="s">
        <v>3538</v>
      </c>
      <c r="B614" s="3" t="s">
        <v>115</v>
      </c>
      <c r="C614" s="3" t="s">
        <v>116</v>
      </c>
      <c r="D614" s="3" t="s">
        <v>24</v>
      </c>
      <c r="E614" s="3" t="s">
        <v>992</v>
      </c>
      <c r="F614" s="3" t="s">
        <v>127</v>
      </c>
      <c r="G614" s="2">
        <v>93.22</v>
      </c>
      <c r="H614" s="2">
        <v>3</v>
      </c>
      <c r="I614" s="2">
        <v>13.983000000000001</v>
      </c>
      <c r="J614" s="2">
        <v>293.64299999999997</v>
      </c>
      <c r="K614" s="5">
        <v>43489</v>
      </c>
      <c r="L614" s="4">
        <v>0.48958333333333331</v>
      </c>
      <c r="M614" s="3" t="s">
        <v>49</v>
      </c>
      <c r="N614" s="2">
        <v>279.66000000000003</v>
      </c>
      <c r="O614" s="2">
        <v>4.7619047620000003</v>
      </c>
      <c r="P614" s="2">
        <v>13.983000000000001</v>
      </c>
      <c r="Q614" s="2">
        <v>7.2</v>
      </c>
      <c r="R614" s="3"/>
      <c r="S614" s="1"/>
      <c r="T614" s="1"/>
      <c r="U614" s="1" t="s">
        <v>37</v>
      </c>
      <c r="V614" s="1" t="s">
        <v>37</v>
      </c>
      <c r="W614" s="1" t="s">
        <v>37</v>
      </c>
    </row>
    <row r="615" spans="1:23">
      <c r="A615" s="3" t="s">
        <v>3544</v>
      </c>
      <c r="B615" s="3" t="s">
        <v>39</v>
      </c>
      <c r="C615" s="3" t="s">
        <v>40</v>
      </c>
      <c r="D615" s="3" t="s">
        <v>24</v>
      </c>
      <c r="E615" s="3" t="s">
        <v>992</v>
      </c>
      <c r="F615" s="3" t="s">
        <v>72</v>
      </c>
      <c r="G615" s="2">
        <v>80.930000000000007</v>
      </c>
      <c r="H615" s="2">
        <v>1</v>
      </c>
      <c r="I615" s="2">
        <v>4.0465</v>
      </c>
      <c r="J615" s="2">
        <v>84.976500000000001</v>
      </c>
      <c r="K615" s="5">
        <v>43484</v>
      </c>
      <c r="L615" s="4">
        <v>0.67222222222222228</v>
      </c>
      <c r="M615" s="3" t="s">
        <v>59</v>
      </c>
      <c r="N615" s="2">
        <v>80.930000000000007</v>
      </c>
      <c r="O615" s="2">
        <v>4.7619047620000003</v>
      </c>
      <c r="P615" s="2">
        <v>4.0465</v>
      </c>
      <c r="Q615" s="2">
        <v>9</v>
      </c>
      <c r="R615" s="3"/>
      <c r="S615" s="1"/>
      <c r="T615" s="1"/>
      <c r="U615" s="1" t="s">
        <v>37</v>
      </c>
      <c r="V615" s="1" t="s">
        <v>37</v>
      </c>
      <c r="W615" s="1" t="s">
        <v>37</v>
      </c>
    </row>
    <row r="616" spans="1:23">
      <c r="A616" s="3" t="s">
        <v>3549</v>
      </c>
      <c r="B616" s="3" t="s">
        <v>22</v>
      </c>
      <c r="C616" s="3" t="s">
        <v>23</v>
      </c>
      <c r="D616" s="3" t="s">
        <v>24</v>
      </c>
      <c r="E616" s="3" t="s">
        <v>992</v>
      </c>
      <c r="F616" s="3" t="s">
        <v>117</v>
      </c>
      <c r="G616" s="2">
        <v>67.45</v>
      </c>
      <c r="H616" s="2">
        <v>10</v>
      </c>
      <c r="I616" s="2">
        <v>33.725000000000001</v>
      </c>
      <c r="J616" s="2">
        <v>708.22500000000002</v>
      </c>
      <c r="K616" s="5">
        <v>43499</v>
      </c>
      <c r="L616" s="4">
        <v>0.47569444444444442</v>
      </c>
      <c r="M616" s="3" t="s">
        <v>33</v>
      </c>
      <c r="N616" s="2">
        <v>674.5</v>
      </c>
      <c r="O616" s="2">
        <v>4.7619047620000003</v>
      </c>
      <c r="P616" s="2">
        <v>33.725000000000001</v>
      </c>
      <c r="Q616" s="2">
        <v>4.2</v>
      </c>
      <c r="R616" s="3"/>
      <c r="S616" s="1"/>
      <c r="T616" s="1"/>
      <c r="U616" s="1" t="s">
        <v>37</v>
      </c>
      <c r="V616" s="1" t="s">
        <v>37</v>
      </c>
      <c r="W616" s="1" t="s">
        <v>37</v>
      </c>
    </row>
    <row r="617" spans="1:23">
      <c r="A617" s="3" t="s">
        <v>3554</v>
      </c>
      <c r="B617" s="3" t="s">
        <v>22</v>
      </c>
      <c r="C617" s="3" t="s">
        <v>23</v>
      </c>
      <c r="D617" s="3" t="s">
        <v>24</v>
      </c>
      <c r="E617" s="3" t="s">
        <v>25</v>
      </c>
      <c r="F617" s="3" t="s">
        <v>72</v>
      </c>
      <c r="G617" s="2">
        <v>38.72</v>
      </c>
      <c r="H617" s="2">
        <v>9</v>
      </c>
      <c r="I617" s="2">
        <v>17.423999999999999</v>
      </c>
      <c r="J617" s="2">
        <v>365.904</v>
      </c>
      <c r="K617" s="5">
        <v>43544</v>
      </c>
      <c r="L617" s="4">
        <v>0.51666666666666672</v>
      </c>
      <c r="M617" s="3" t="s">
        <v>33</v>
      </c>
      <c r="N617" s="2">
        <v>348.48</v>
      </c>
      <c r="O617" s="2">
        <v>4.7619047620000003</v>
      </c>
      <c r="P617" s="2">
        <v>17.423999999999999</v>
      </c>
      <c r="Q617" s="2">
        <v>4.2</v>
      </c>
      <c r="R617" s="3"/>
      <c r="S617" s="1"/>
      <c r="T617" s="1"/>
      <c r="U617" s="1" t="s">
        <v>37</v>
      </c>
      <c r="V617" s="1" t="s">
        <v>37</v>
      </c>
      <c r="W617" s="1" t="s">
        <v>37</v>
      </c>
    </row>
    <row r="618" spans="1:23">
      <c r="A618" s="3" t="s">
        <v>3560</v>
      </c>
      <c r="B618" s="3" t="s">
        <v>115</v>
      </c>
      <c r="C618" s="3" t="s">
        <v>116</v>
      </c>
      <c r="D618" s="3" t="s">
        <v>24</v>
      </c>
      <c r="E618" s="3" t="s">
        <v>992</v>
      </c>
      <c r="F618" s="3" t="s">
        <v>72</v>
      </c>
      <c r="G618" s="2">
        <v>72.599999999999994</v>
      </c>
      <c r="H618" s="2">
        <v>6</v>
      </c>
      <c r="I618" s="2">
        <v>21.78</v>
      </c>
      <c r="J618" s="2">
        <v>457.38</v>
      </c>
      <c r="K618" s="5">
        <v>43478</v>
      </c>
      <c r="L618" s="4">
        <v>0.82708333333333328</v>
      </c>
      <c r="M618" s="3" t="s">
        <v>49</v>
      </c>
      <c r="N618" s="2">
        <v>435.6</v>
      </c>
      <c r="O618" s="2">
        <v>4.7619047620000003</v>
      </c>
      <c r="P618" s="2">
        <v>21.78</v>
      </c>
      <c r="Q618" s="2">
        <v>6.9</v>
      </c>
      <c r="R618" s="3"/>
      <c r="S618" s="1"/>
      <c r="T618" s="1"/>
      <c r="U618" s="1" t="s">
        <v>37</v>
      </c>
      <c r="V618" s="1" t="s">
        <v>37</v>
      </c>
      <c r="W618" s="1" t="s">
        <v>37</v>
      </c>
    </row>
    <row r="619" spans="1:23">
      <c r="A619" s="3" t="s">
        <v>3566</v>
      </c>
      <c r="B619" s="3" t="s">
        <v>39</v>
      </c>
      <c r="C619" s="3" t="s">
        <v>40</v>
      </c>
      <c r="D619" s="3" t="s">
        <v>24</v>
      </c>
      <c r="E619" s="3" t="s">
        <v>992</v>
      </c>
      <c r="F619" s="3" t="s">
        <v>42</v>
      </c>
      <c r="G619" s="2">
        <v>87.91</v>
      </c>
      <c r="H619" s="2">
        <v>5</v>
      </c>
      <c r="I619" s="2">
        <v>21.977499999999999</v>
      </c>
      <c r="J619" s="2">
        <v>461.52749999999997</v>
      </c>
      <c r="K619" s="5">
        <v>43538</v>
      </c>
      <c r="L619" s="4">
        <v>0.75694444444444442</v>
      </c>
      <c r="M619" s="3" t="s">
        <v>33</v>
      </c>
      <c r="N619" s="2">
        <v>439.55</v>
      </c>
      <c r="O619" s="2">
        <v>4.7619047620000003</v>
      </c>
      <c r="P619" s="2">
        <v>21.977499999999999</v>
      </c>
      <c r="Q619" s="2">
        <v>4.4000000000000004</v>
      </c>
      <c r="R619" s="3"/>
      <c r="S619" s="1"/>
      <c r="T619" s="1"/>
      <c r="U619" s="1" t="s">
        <v>37</v>
      </c>
      <c r="V619" s="1" t="s">
        <v>37</v>
      </c>
      <c r="W619" s="1" t="s">
        <v>37</v>
      </c>
    </row>
    <row r="620" spans="1:23">
      <c r="A620" s="3" t="s">
        <v>3572</v>
      </c>
      <c r="B620" s="3" t="s">
        <v>22</v>
      </c>
      <c r="C620" s="3" t="s">
        <v>23</v>
      </c>
      <c r="D620" s="3" t="s">
        <v>24</v>
      </c>
      <c r="E620" s="3" t="s">
        <v>992</v>
      </c>
      <c r="F620" s="3" t="s">
        <v>117</v>
      </c>
      <c r="G620" s="2">
        <v>98.53</v>
      </c>
      <c r="H620" s="2">
        <v>6</v>
      </c>
      <c r="I620" s="2">
        <v>29.559000000000001</v>
      </c>
      <c r="J620" s="2">
        <v>620.73900000000003</v>
      </c>
      <c r="K620" s="5">
        <v>43488</v>
      </c>
      <c r="L620" s="4">
        <v>0.47361111111111109</v>
      </c>
      <c r="M620" s="3" t="s">
        <v>59</v>
      </c>
      <c r="N620" s="2">
        <v>591.17999999999995</v>
      </c>
      <c r="O620" s="2">
        <v>4.7619047620000003</v>
      </c>
      <c r="P620" s="2">
        <v>29.559000000000001</v>
      </c>
      <c r="Q620" s="2">
        <v>4</v>
      </c>
      <c r="R620" s="3"/>
      <c r="S620" s="1"/>
      <c r="T620" s="1"/>
      <c r="U620" s="1" t="s">
        <v>37</v>
      </c>
      <c r="V620" s="1" t="s">
        <v>37</v>
      </c>
      <c r="W620" s="1" t="s">
        <v>37</v>
      </c>
    </row>
    <row r="621" spans="1:23">
      <c r="A621" s="3" t="s">
        <v>3577</v>
      </c>
      <c r="B621" s="3" t="s">
        <v>39</v>
      </c>
      <c r="C621" s="3" t="s">
        <v>40</v>
      </c>
      <c r="D621" s="3" t="s">
        <v>24</v>
      </c>
      <c r="E621" s="3" t="s">
        <v>25</v>
      </c>
      <c r="F621" s="3" t="s">
        <v>127</v>
      </c>
      <c r="G621" s="2">
        <v>43.46</v>
      </c>
      <c r="H621" s="2">
        <v>6</v>
      </c>
      <c r="I621" s="2">
        <v>13.038</v>
      </c>
      <c r="J621" s="2">
        <v>273.798</v>
      </c>
      <c r="K621" s="5">
        <v>43503</v>
      </c>
      <c r="L621" s="4">
        <v>0.74652777777777779</v>
      </c>
      <c r="M621" s="3" t="s">
        <v>33</v>
      </c>
      <c r="N621" s="2">
        <v>260.76</v>
      </c>
      <c r="O621" s="2">
        <v>4.7619047620000003</v>
      </c>
      <c r="P621" s="2">
        <v>13.038</v>
      </c>
      <c r="Q621" s="2">
        <v>8.5</v>
      </c>
      <c r="R621" s="3"/>
      <c r="S621" s="1"/>
      <c r="T621" s="1"/>
      <c r="U621" s="1" t="s">
        <v>37</v>
      </c>
      <c r="V621" s="1" t="s">
        <v>37</v>
      </c>
      <c r="W621" s="1" t="s">
        <v>37</v>
      </c>
    </row>
    <row r="622" spans="1:23">
      <c r="A622" s="3" t="s">
        <v>3582</v>
      </c>
      <c r="B622" s="3" t="s">
        <v>22</v>
      </c>
      <c r="C622" s="3" t="s">
        <v>23</v>
      </c>
      <c r="D622" s="3" t="s">
        <v>41</v>
      </c>
      <c r="E622" s="3" t="s">
        <v>25</v>
      </c>
      <c r="F622" s="3" t="s">
        <v>117</v>
      </c>
      <c r="G622" s="2">
        <v>71.680000000000007</v>
      </c>
      <c r="H622" s="2">
        <v>3</v>
      </c>
      <c r="I622" s="2">
        <v>10.752000000000001</v>
      </c>
      <c r="J622" s="2">
        <v>225.792</v>
      </c>
      <c r="K622" s="5">
        <v>43552</v>
      </c>
      <c r="L622" s="4">
        <v>0.64583333333333337</v>
      </c>
      <c r="M622" s="3" t="s">
        <v>59</v>
      </c>
      <c r="N622" s="2">
        <v>215.04</v>
      </c>
      <c r="O622" s="2">
        <v>4.7619047620000003</v>
      </c>
      <c r="P622" s="2">
        <v>10.752000000000001</v>
      </c>
      <c r="Q622" s="2">
        <v>9.1999999999999993</v>
      </c>
      <c r="R622" s="3"/>
      <c r="S622" s="1"/>
      <c r="T622" s="1"/>
      <c r="U622" s="1" t="s">
        <v>37</v>
      </c>
      <c r="V622" s="1" t="s">
        <v>37</v>
      </c>
      <c r="W622" s="1" t="s">
        <v>37</v>
      </c>
    </row>
    <row r="623" spans="1:23">
      <c r="A623" s="3" t="s">
        <v>3587</v>
      </c>
      <c r="B623" s="3" t="s">
        <v>22</v>
      </c>
      <c r="C623" s="3" t="s">
        <v>23</v>
      </c>
      <c r="D623" s="3" t="s">
        <v>24</v>
      </c>
      <c r="E623" s="3" t="s">
        <v>25</v>
      </c>
      <c r="F623" s="3" t="s">
        <v>117</v>
      </c>
      <c r="G623" s="2">
        <v>91.61</v>
      </c>
      <c r="H623" s="2">
        <v>1</v>
      </c>
      <c r="I623" s="2">
        <v>4.5804999999999998</v>
      </c>
      <c r="J623" s="2">
        <v>96.1905</v>
      </c>
      <c r="K623" s="5">
        <v>43544</v>
      </c>
      <c r="L623" s="4">
        <v>0.82222222222222219</v>
      </c>
      <c r="M623" s="3" t="s">
        <v>49</v>
      </c>
      <c r="N623" s="2">
        <v>91.61</v>
      </c>
      <c r="O623" s="2">
        <v>4.7619047620000003</v>
      </c>
      <c r="P623" s="2">
        <v>4.5804999999999998</v>
      </c>
      <c r="Q623" s="2">
        <v>9.8000000000000007</v>
      </c>
      <c r="R623" s="3"/>
      <c r="S623" s="1"/>
      <c r="T623" s="1"/>
      <c r="U623" s="1" t="s">
        <v>37</v>
      </c>
      <c r="V623" s="1" t="s">
        <v>37</v>
      </c>
      <c r="W623" s="1" t="s">
        <v>37</v>
      </c>
    </row>
    <row r="624" spans="1:23">
      <c r="A624" s="3" t="s">
        <v>3591</v>
      </c>
      <c r="B624" s="3" t="s">
        <v>115</v>
      </c>
      <c r="C624" s="3" t="s">
        <v>116</v>
      </c>
      <c r="D624" s="3" t="s">
        <v>24</v>
      </c>
      <c r="E624" s="3" t="s">
        <v>25</v>
      </c>
      <c r="F624" s="3" t="s">
        <v>53</v>
      </c>
      <c r="G624" s="2">
        <v>94.59</v>
      </c>
      <c r="H624" s="2">
        <v>7</v>
      </c>
      <c r="I624" s="2">
        <v>33.106499999999997</v>
      </c>
      <c r="J624" s="2">
        <v>695.23649999999998</v>
      </c>
      <c r="K624" s="5">
        <v>43482</v>
      </c>
      <c r="L624" s="4">
        <v>0.64375000000000004</v>
      </c>
      <c r="M624" s="3" t="s">
        <v>59</v>
      </c>
      <c r="N624" s="2">
        <v>662.13</v>
      </c>
      <c r="O624" s="2">
        <v>4.7619047620000003</v>
      </c>
      <c r="P624" s="2">
        <v>33.106499999999997</v>
      </c>
      <c r="Q624" s="2">
        <v>4.9000000000000004</v>
      </c>
      <c r="R624" s="3"/>
      <c r="S624" s="1"/>
      <c r="T624" s="1"/>
      <c r="U624" s="1" t="s">
        <v>37</v>
      </c>
      <c r="V624" s="1" t="s">
        <v>37</v>
      </c>
      <c r="W624" s="1" t="s">
        <v>37</v>
      </c>
    </row>
    <row r="625" spans="1:23">
      <c r="A625" s="3" t="s">
        <v>3597</v>
      </c>
      <c r="B625" s="3" t="s">
        <v>115</v>
      </c>
      <c r="C625" s="3" t="s">
        <v>116</v>
      </c>
      <c r="D625" s="3" t="s">
        <v>41</v>
      </c>
      <c r="E625" s="3" t="s">
        <v>25</v>
      </c>
      <c r="F625" s="3" t="s">
        <v>127</v>
      </c>
      <c r="G625" s="2">
        <v>83.25</v>
      </c>
      <c r="H625" s="2">
        <v>10</v>
      </c>
      <c r="I625" s="2">
        <v>41.625</v>
      </c>
      <c r="J625" s="2">
        <v>874.125</v>
      </c>
      <c r="K625" s="5">
        <v>43477</v>
      </c>
      <c r="L625" s="4">
        <v>0.47569444444444442</v>
      </c>
      <c r="M625" s="3" t="s">
        <v>59</v>
      </c>
      <c r="N625" s="2">
        <v>832.5</v>
      </c>
      <c r="O625" s="2">
        <v>4.7619047620000003</v>
      </c>
      <c r="P625" s="2">
        <v>41.625</v>
      </c>
      <c r="Q625" s="2">
        <v>4.4000000000000004</v>
      </c>
      <c r="R625" s="3"/>
      <c r="S625" s="1"/>
      <c r="T625" s="1"/>
      <c r="U625" s="1" t="s">
        <v>37</v>
      </c>
      <c r="V625" s="1" t="s">
        <v>37</v>
      </c>
      <c r="W625" s="1" t="s">
        <v>37</v>
      </c>
    </row>
    <row r="626" spans="1:23">
      <c r="A626" s="3" t="s">
        <v>3602</v>
      </c>
      <c r="B626" s="3" t="s">
        <v>115</v>
      </c>
      <c r="C626" s="3" t="s">
        <v>116</v>
      </c>
      <c r="D626" s="3" t="s">
        <v>24</v>
      </c>
      <c r="E626" s="3" t="s">
        <v>992</v>
      </c>
      <c r="F626" s="3" t="s">
        <v>127</v>
      </c>
      <c r="G626" s="2">
        <v>91.35</v>
      </c>
      <c r="H626" s="2">
        <v>1</v>
      </c>
      <c r="I626" s="2">
        <v>4.5674999999999999</v>
      </c>
      <c r="J626" s="2">
        <v>95.917500000000004</v>
      </c>
      <c r="K626" s="5">
        <v>43512</v>
      </c>
      <c r="L626" s="4">
        <v>0.65416666666666667</v>
      </c>
      <c r="M626" s="3" t="s">
        <v>49</v>
      </c>
      <c r="N626" s="2">
        <v>91.35</v>
      </c>
      <c r="O626" s="2">
        <v>4.7619047620000003</v>
      </c>
      <c r="P626" s="2">
        <v>4.5674999999999999</v>
      </c>
      <c r="Q626" s="2">
        <v>6.8</v>
      </c>
      <c r="R626" s="3"/>
      <c r="S626" s="1"/>
      <c r="T626" s="1"/>
      <c r="U626" s="1" t="s">
        <v>37</v>
      </c>
      <c r="V626" s="1" t="s">
        <v>37</v>
      </c>
      <c r="W626" s="1" t="s">
        <v>37</v>
      </c>
    </row>
    <row r="627" spans="1:23">
      <c r="A627" s="3" t="s">
        <v>3606</v>
      </c>
      <c r="B627" s="3" t="s">
        <v>115</v>
      </c>
      <c r="C627" s="3" t="s">
        <v>116</v>
      </c>
      <c r="D627" s="3" t="s">
        <v>24</v>
      </c>
      <c r="E627" s="3" t="s">
        <v>25</v>
      </c>
      <c r="F627" s="3" t="s">
        <v>117</v>
      </c>
      <c r="G627" s="2">
        <v>78.88</v>
      </c>
      <c r="H627" s="2">
        <v>2</v>
      </c>
      <c r="I627" s="2">
        <v>7.8879999999999999</v>
      </c>
      <c r="J627" s="2">
        <v>165.648</v>
      </c>
      <c r="K627" s="5">
        <v>43491</v>
      </c>
      <c r="L627" s="4">
        <v>0.6694444444444444</v>
      </c>
      <c r="M627" s="3" t="s">
        <v>49</v>
      </c>
      <c r="N627" s="2">
        <v>157.76</v>
      </c>
      <c r="O627" s="2">
        <v>4.7619047620000003</v>
      </c>
      <c r="P627" s="2">
        <v>7.8879999999999999</v>
      </c>
      <c r="Q627" s="2">
        <v>9.1</v>
      </c>
      <c r="R627" s="3"/>
      <c r="S627" s="1"/>
      <c r="T627" s="1"/>
      <c r="U627" s="1" t="s">
        <v>37</v>
      </c>
      <c r="V627" s="1" t="s">
        <v>37</v>
      </c>
      <c r="W627" s="1" t="s">
        <v>37</v>
      </c>
    </row>
    <row r="628" spans="1:23">
      <c r="A628" s="3" t="s">
        <v>3612</v>
      </c>
      <c r="B628" s="3" t="s">
        <v>22</v>
      </c>
      <c r="C628" s="3" t="s">
        <v>23</v>
      </c>
      <c r="D628" s="3" t="s">
        <v>41</v>
      </c>
      <c r="E628" s="3" t="s">
        <v>992</v>
      </c>
      <c r="F628" s="3" t="s">
        <v>72</v>
      </c>
      <c r="G628" s="2">
        <v>60.87</v>
      </c>
      <c r="H628" s="2">
        <v>2</v>
      </c>
      <c r="I628" s="2">
        <v>6.0869999999999997</v>
      </c>
      <c r="J628" s="2">
        <v>127.827</v>
      </c>
      <c r="K628" s="5">
        <v>43533</v>
      </c>
      <c r="L628" s="4">
        <v>0.52569444444444446</v>
      </c>
      <c r="M628" s="3" t="s">
        <v>33</v>
      </c>
      <c r="N628" s="2">
        <v>121.74</v>
      </c>
      <c r="O628" s="2">
        <v>4.7619047620000003</v>
      </c>
      <c r="P628" s="2">
        <v>6.0869999999999997</v>
      </c>
      <c r="Q628" s="2">
        <v>8.6999999999999993</v>
      </c>
      <c r="R628" s="3"/>
      <c r="S628" s="1"/>
      <c r="T628" s="1"/>
      <c r="U628" s="1" t="s">
        <v>37</v>
      </c>
      <c r="V628" s="1" t="s">
        <v>37</v>
      </c>
      <c r="W628" s="1" t="s">
        <v>37</v>
      </c>
    </row>
    <row r="629" spans="1:23">
      <c r="A629" s="3" t="s">
        <v>3617</v>
      </c>
      <c r="B629" s="3" t="s">
        <v>115</v>
      </c>
      <c r="C629" s="3" t="s">
        <v>116</v>
      </c>
      <c r="D629" s="3" t="s">
        <v>24</v>
      </c>
      <c r="E629" s="3" t="s">
        <v>992</v>
      </c>
      <c r="F629" s="3" t="s">
        <v>26</v>
      </c>
      <c r="G629" s="2">
        <v>82.58</v>
      </c>
      <c r="H629" s="2">
        <v>10</v>
      </c>
      <c r="I629" s="2">
        <v>41.29</v>
      </c>
      <c r="J629" s="2">
        <v>867.09</v>
      </c>
      <c r="K629" s="5">
        <v>43538</v>
      </c>
      <c r="L629" s="4">
        <v>0.6118055555555556</v>
      </c>
      <c r="M629" s="3" t="s">
        <v>49</v>
      </c>
      <c r="N629" s="2">
        <v>825.8</v>
      </c>
      <c r="O629" s="2">
        <v>4.7619047620000003</v>
      </c>
      <c r="P629" s="2">
        <v>41.29</v>
      </c>
      <c r="Q629" s="2">
        <v>5</v>
      </c>
      <c r="R629" s="3"/>
      <c r="S629" s="1"/>
      <c r="T629" s="1"/>
      <c r="U629" s="1" t="s">
        <v>37</v>
      </c>
      <c r="V629" s="1" t="s">
        <v>37</v>
      </c>
      <c r="W629" s="1" t="s">
        <v>37</v>
      </c>
    </row>
    <row r="630" spans="1:23">
      <c r="A630" s="3" t="s">
        <v>3623</v>
      </c>
      <c r="B630" s="3" t="s">
        <v>22</v>
      </c>
      <c r="C630" s="3" t="s">
        <v>23</v>
      </c>
      <c r="D630" s="3" t="s">
        <v>24</v>
      </c>
      <c r="E630" s="3" t="s">
        <v>992</v>
      </c>
      <c r="F630" s="3" t="s">
        <v>53</v>
      </c>
      <c r="G630" s="2">
        <v>53.3</v>
      </c>
      <c r="H630" s="2">
        <v>3</v>
      </c>
      <c r="I630" s="2">
        <v>7.9950000000000001</v>
      </c>
      <c r="J630" s="2">
        <v>167.89500000000001</v>
      </c>
      <c r="K630" s="5">
        <v>43490</v>
      </c>
      <c r="L630" s="4">
        <v>0.59652777777777777</v>
      </c>
      <c r="M630" s="3" t="s">
        <v>33</v>
      </c>
      <c r="N630" s="2">
        <v>159.9</v>
      </c>
      <c r="O630" s="2">
        <v>4.7619047620000003</v>
      </c>
      <c r="P630" s="2">
        <v>7.9950000000000001</v>
      </c>
      <c r="Q630" s="2">
        <v>7.5</v>
      </c>
      <c r="R630" s="3"/>
      <c r="S630" s="1"/>
      <c r="T630" s="1"/>
      <c r="U630" s="1" t="s">
        <v>37</v>
      </c>
      <c r="V630" s="1" t="s">
        <v>37</v>
      </c>
      <c r="W630" s="1" t="s">
        <v>37</v>
      </c>
    </row>
    <row r="631" spans="1:23">
      <c r="A631" s="3" t="s">
        <v>3629</v>
      </c>
      <c r="B631" s="3" t="s">
        <v>22</v>
      </c>
      <c r="C631" s="3" t="s">
        <v>23</v>
      </c>
      <c r="D631" s="3" t="s">
        <v>41</v>
      </c>
      <c r="E631" s="3" t="s">
        <v>25</v>
      </c>
      <c r="F631" s="3" t="s">
        <v>127</v>
      </c>
      <c r="G631" s="2">
        <v>12.09</v>
      </c>
      <c r="H631" s="2">
        <v>1</v>
      </c>
      <c r="I631" s="2">
        <v>0.60450000000000004</v>
      </c>
      <c r="J631" s="2">
        <v>12.6945</v>
      </c>
      <c r="K631" s="5">
        <v>43491</v>
      </c>
      <c r="L631" s="4">
        <v>0.7631944444444444</v>
      </c>
      <c r="M631" s="3" t="s">
        <v>59</v>
      </c>
      <c r="N631" s="2">
        <v>12.09</v>
      </c>
      <c r="O631" s="2">
        <v>4.7619047620000003</v>
      </c>
      <c r="P631" s="2">
        <v>0.60450000000000004</v>
      </c>
      <c r="Q631" s="2">
        <v>8.1999999999999993</v>
      </c>
      <c r="R631" s="3"/>
      <c r="S631" s="1"/>
      <c r="T631" s="1"/>
      <c r="U631" s="1" t="s">
        <v>37</v>
      </c>
      <c r="V631" s="1" t="s">
        <v>37</v>
      </c>
      <c r="W631" s="1" t="s">
        <v>37</v>
      </c>
    </row>
    <row r="632" spans="1:23">
      <c r="A632" s="3" t="s">
        <v>3633</v>
      </c>
      <c r="B632" s="3" t="s">
        <v>22</v>
      </c>
      <c r="C632" s="3" t="s">
        <v>23</v>
      </c>
      <c r="D632" s="3" t="s">
        <v>41</v>
      </c>
      <c r="E632" s="3" t="s">
        <v>992</v>
      </c>
      <c r="F632" s="3" t="s">
        <v>72</v>
      </c>
      <c r="G632" s="2">
        <v>64.19</v>
      </c>
      <c r="H632" s="2">
        <v>10</v>
      </c>
      <c r="I632" s="2">
        <v>32.094999999999999</v>
      </c>
      <c r="J632" s="2">
        <v>673.995</v>
      </c>
      <c r="K632" s="5">
        <v>43484</v>
      </c>
      <c r="L632" s="4">
        <v>0.58888888888888891</v>
      </c>
      <c r="M632" s="3" t="s">
        <v>59</v>
      </c>
      <c r="N632" s="2">
        <v>641.9</v>
      </c>
      <c r="O632" s="2">
        <v>4.7619047620000003</v>
      </c>
      <c r="P632" s="2">
        <v>32.094999999999999</v>
      </c>
      <c r="Q632" s="2">
        <v>6.7</v>
      </c>
      <c r="R632" s="3"/>
      <c r="S632" s="1"/>
      <c r="T632" s="1"/>
      <c r="U632" s="1" t="s">
        <v>37</v>
      </c>
      <c r="V632" s="1" t="s">
        <v>37</v>
      </c>
      <c r="W632" s="1" t="s">
        <v>37</v>
      </c>
    </row>
    <row r="633" spans="1:23">
      <c r="A633" s="3" t="s">
        <v>3639</v>
      </c>
      <c r="B633" s="3" t="s">
        <v>22</v>
      </c>
      <c r="C633" s="3" t="s">
        <v>23</v>
      </c>
      <c r="D633" s="3" t="s">
        <v>41</v>
      </c>
      <c r="E633" s="3" t="s">
        <v>992</v>
      </c>
      <c r="F633" s="3" t="s">
        <v>42</v>
      </c>
      <c r="G633" s="2">
        <v>78.31</v>
      </c>
      <c r="H633" s="2">
        <v>3</v>
      </c>
      <c r="I633" s="2">
        <v>11.746499999999999</v>
      </c>
      <c r="J633" s="2">
        <v>246.6765</v>
      </c>
      <c r="K633" s="5">
        <v>43529</v>
      </c>
      <c r="L633" s="4">
        <v>0.69305555555555554</v>
      </c>
      <c r="M633" s="3" t="s">
        <v>33</v>
      </c>
      <c r="N633" s="2">
        <v>234.93</v>
      </c>
      <c r="O633" s="2">
        <v>4.7619047620000003</v>
      </c>
      <c r="P633" s="2">
        <v>11.746499999999999</v>
      </c>
      <c r="Q633" s="2">
        <v>5.4</v>
      </c>
      <c r="R633" s="3"/>
      <c r="S633" s="1"/>
      <c r="T633" s="1"/>
      <c r="U633" s="1" t="s">
        <v>37</v>
      </c>
      <c r="V633" s="1" t="s">
        <v>37</v>
      </c>
      <c r="W633" s="1" t="s">
        <v>37</v>
      </c>
    </row>
    <row r="634" spans="1:23">
      <c r="A634" s="3" t="s">
        <v>3643</v>
      </c>
      <c r="B634" s="3" t="s">
        <v>22</v>
      </c>
      <c r="C634" s="3" t="s">
        <v>23</v>
      </c>
      <c r="D634" s="3" t="s">
        <v>24</v>
      </c>
      <c r="E634" s="3" t="s">
        <v>992</v>
      </c>
      <c r="F634" s="3" t="s">
        <v>117</v>
      </c>
      <c r="G634" s="2">
        <v>83.77</v>
      </c>
      <c r="H634" s="2">
        <v>2</v>
      </c>
      <c r="I634" s="2">
        <v>8.3770000000000007</v>
      </c>
      <c r="J634" s="2">
        <v>175.917</v>
      </c>
      <c r="K634" s="5">
        <v>43480</v>
      </c>
      <c r="L634" s="4">
        <v>0.45416666666666666</v>
      </c>
      <c r="M634" s="3" t="s">
        <v>59</v>
      </c>
      <c r="N634" s="2">
        <v>167.54</v>
      </c>
      <c r="O634" s="2">
        <v>4.7619047620000003</v>
      </c>
      <c r="P634" s="2">
        <v>8.3770000000000007</v>
      </c>
      <c r="Q634" s="2">
        <v>7</v>
      </c>
      <c r="R634" s="3"/>
      <c r="S634" s="1"/>
      <c r="T634" s="1"/>
      <c r="U634" s="1" t="s">
        <v>37</v>
      </c>
      <c r="V634" s="1" t="s">
        <v>37</v>
      </c>
      <c r="W634" s="1" t="s">
        <v>37</v>
      </c>
    </row>
    <row r="635" spans="1:23">
      <c r="A635" s="3" t="s">
        <v>3647</v>
      </c>
      <c r="B635" s="3" t="s">
        <v>115</v>
      </c>
      <c r="C635" s="3" t="s">
        <v>116</v>
      </c>
      <c r="D635" s="3" t="s">
        <v>41</v>
      </c>
      <c r="E635" s="3" t="s">
        <v>992</v>
      </c>
      <c r="F635" s="3" t="s">
        <v>53</v>
      </c>
      <c r="G635" s="2">
        <v>99.7</v>
      </c>
      <c r="H635" s="2">
        <v>3</v>
      </c>
      <c r="I635" s="2">
        <v>14.955</v>
      </c>
      <c r="J635" s="2">
        <v>314.05500000000001</v>
      </c>
      <c r="K635" s="5">
        <v>43542</v>
      </c>
      <c r="L635" s="4">
        <v>0.47847222222222224</v>
      </c>
      <c r="M635" s="3" t="s">
        <v>33</v>
      </c>
      <c r="N635" s="2">
        <v>299.10000000000002</v>
      </c>
      <c r="O635" s="2">
        <v>4.7619047620000003</v>
      </c>
      <c r="P635" s="2">
        <v>14.955</v>
      </c>
      <c r="Q635" s="2">
        <v>4.7</v>
      </c>
      <c r="R635" s="3"/>
      <c r="S635" s="1"/>
      <c r="T635" s="1"/>
      <c r="U635" s="1" t="s">
        <v>37</v>
      </c>
      <c r="V635" s="1" t="s">
        <v>37</v>
      </c>
      <c r="W635" s="1" t="s">
        <v>37</v>
      </c>
    </row>
    <row r="636" spans="1:23">
      <c r="A636" s="3" t="s">
        <v>3653</v>
      </c>
      <c r="B636" s="3" t="s">
        <v>115</v>
      </c>
      <c r="C636" s="3" t="s">
        <v>116</v>
      </c>
      <c r="D636" s="3" t="s">
        <v>24</v>
      </c>
      <c r="E636" s="3" t="s">
        <v>992</v>
      </c>
      <c r="F636" s="3" t="s">
        <v>117</v>
      </c>
      <c r="G636" s="2">
        <v>79.91</v>
      </c>
      <c r="H636" s="2">
        <v>3</v>
      </c>
      <c r="I636" s="2">
        <v>11.986499999999999</v>
      </c>
      <c r="J636" s="2">
        <v>251.7165</v>
      </c>
      <c r="K636" s="5">
        <v>43544</v>
      </c>
      <c r="L636" s="4">
        <v>0.81111111111111112</v>
      </c>
      <c r="M636" s="3" t="s">
        <v>59</v>
      </c>
      <c r="N636" s="2">
        <v>239.73</v>
      </c>
      <c r="O636" s="2">
        <v>4.7619047620000003</v>
      </c>
      <c r="P636" s="2">
        <v>11.986499999999999</v>
      </c>
      <c r="Q636" s="2">
        <v>5</v>
      </c>
      <c r="R636" s="3"/>
      <c r="S636" s="1"/>
      <c r="T636" s="1"/>
      <c r="U636" s="1" t="s">
        <v>37</v>
      </c>
      <c r="V636" s="1" t="s">
        <v>37</v>
      </c>
      <c r="W636" s="1" t="s">
        <v>37</v>
      </c>
    </row>
    <row r="637" spans="1:23">
      <c r="A637" s="3" t="s">
        <v>3658</v>
      </c>
      <c r="B637" s="3" t="s">
        <v>115</v>
      </c>
      <c r="C637" s="3" t="s">
        <v>116</v>
      </c>
      <c r="D637" s="3" t="s">
        <v>24</v>
      </c>
      <c r="E637" s="3" t="s">
        <v>992</v>
      </c>
      <c r="F637" s="3" t="s">
        <v>26</v>
      </c>
      <c r="G637" s="2">
        <v>66.47</v>
      </c>
      <c r="H637" s="2">
        <v>10</v>
      </c>
      <c r="I637" s="2">
        <v>33.234999999999999</v>
      </c>
      <c r="J637" s="2">
        <v>697.93499999999995</v>
      </c>
      <c r="K637" s="5">
        <v>43480</v>
      </c>
      <c r="L637" s="4">
        <v>0.62569444444444444</v>
      </c>
      <c r="M637" s="3" t="s">
        <v>59</v>
      </c>
      <c r="N637" s="2">
        <v>664.7</v>
      </c>
      <c r="O637" s="2">
        <v>4.7619047620000003</v>
      </c>
      <c r="P637" s="2">
        <v>33.234999999999999</v>
      </c>
      <c r="Q637" s="2">
        <v>5</v>
      </c>
      <c r="R637" s="3"/>
      <c r="S637" s="1"/>
      <c r="T637" s="1"/>
      <c r="U637" s="1" t="s">
        <v>37</v>
      </c>
      <c r="V637" s="1" t="s">
        <v>37</v>
      </c>
      <c r="W637" s="1" t="s">
        <v>37</v>
      </c>
    </row>
    <row r="638" spans="1:23">
      <c r="A638" s="3" t="s">
        <v>3663</v>
      </c>
      <c r="B638" s="3" t="s">
        <v>22</v>
      </c>
      <c r="C638" s="3" t="s">
        <v>23</v>
      </c>
      <c r="D638" s="3" t="s">
        <v>41</v>
      </c>
      <c r="E638" s="3" t="s">
        <v>992</v>
      </c>
      <c r="F638" s="3" t="s">
        <v>26</v>
      </c>
      <c r="G638" s="2">
        <v>28.95</v>
      </c>
      <c r="H638" s="2">
        <v>7</v>
      </c>
      <c r="I638" s="2">
        <v>10.1325</v>
      </c>
      <c r="J638" s="2">
        <v>212.7825</v>
      </c>
      <c r="K638" s="5">
        <v>43527</v>
      </c>
      <c r="L638" s="4">
        <v>0.85486111111111107</v>
      </c>
      <c r="M638" s="3" t="s">
        <v>59</v>
      </c>
      <c r="N638" s="2">
        <v>202.65</v>
      </c>
      <c r="O638" s="2">
        <v>4.7619047620000003</v>
      </c>
      <c r="P638" s="2">
        <v>10.1325</v>
      </c>
      <c r="Q638" s="2">
        <v>6</v>
      </c>
      <c r="R638" s="3"/>
      <c r="S638" s="1"/>
      <c r="T638" s="1"/>
      <c r="U638" s="1" t="s">
        <v>37</v>
      </c>
      <c r="V638" s="1" t="s">
        <v>37</v>
      </c>
      <c r="W638" s="1" t="s">
        <v>37</v>
      </c>
    </row>
    <row r="639" spans="1:23">
      <c r="A639" s="3" t="s">
        <v>3668</v>
      </c>
      <c r="B639" s="3" t="s">
        <v>39</v>
      </c>
      <c r="C639" s="3" t="s">
        <v>40</v>
      </c>
      <c r="D639" s="3" t="s">
        <v>41</v>
      </c>
      <c r="E639" s="3" t="s">
        <v>25</v>
      </c>
      <c r="F639" s="3" t="s">
        <v>42</v>
      </c>
      <c r="G639" s="2">
        <v>46.2</v>
      </c>
      <c r="H639" s="2">
        <v>1</v>
      </c>
      <c r="I639" s="2">
        <v>2.31</v>
      </c>
      <c r="J639" s="2">
        <v>48.51</v>
      </c>
      <c r="K639" s="5">
        <v>43543</v>
      </c>
      <c r="L639" s="4">
        <v>0.51111111111111107</v>
      </c>
      <c r="M639" s="3" t="s">
        <v>49</v>
      </c>
      <c r="N639" s="2">
        <v>46.2</v>
      </c>
      <c r="O639" s="2">
        <v>4.7619047620000003</v>
      </c>
      <c r="P639" s="2">
        <v>2.31</v>
      </c>
      <c r="Q639" s="2">
        <v>6.3</v>
      </c>
      <c r="R639" s="3"/>
      <c r="S639" s="1"/>
      <c r="T639" s="1"/>
      <c r="U639" s="1" t="s">
        <v>37</v>
      </c>
      <c r="V639" s="1" t="s">
        <v>37</v>
      </c>
      <c r="W639" s="1" t="s">
        <v>37</v>
      </c>
    </row>
    <row r="640" spans="1:23">
      <c r="A640" s="3" t="s">
        <v>3672</v>
      </c>
      <c r="B640" s="3" t="s">
        <v>115</v>
      </c>
      <c r="C640" s="3" t="s">
        <v>116</v>
      </c>
      <c r="D640" s="3" t="s">
        <v>24</v>
      </c>
      <c r="E640" s="3" t="s">
        <v>25</v>
      </c>
      <c r="F640" s="3" t="s">
        <v>117</v>
      </c>
      <c r="G640" s="2">
        <v>17.63</v>
      </c>
      <c r="H640" s="2">
        <v>5</v>
      </c>
      <c r="I640" s="2">
        <v>4.4074999999999998</v>
      </c>
      <c r="J640" s="2">
        <v>92.557500000000005</v>
      </c>
      <c r="K640" s="5">
        <v>43532</v>
      </c>
      <c r="L640" s="4">
        <v>0.64375000000000004</v>
      </c>
      <c r="M640" s="3" t="s">
        <v>49</v>
      </c>
      <c r="N640" s="2">
        <v>88.15</v>
      </c>
      <c r="O640" s="2">
        <v>4.7619047620000003</v>
      </c>
      <c r="P640" s="2">
        <v>4.4074999999999998</v>
      </c>
      <c r="Q640" s="2">
        <v>8.5</v>
      </c>
      <c r="R640" s="3"/>
      <c r="S640" s="1"/>
      <c r="T640" s="1"/>
      <c r="U640" s="1" t="s">
        <v>37</v>
      </c>
      <c r="V640" s="1" t="s">
        <v>37</v>
      </c>
      <c r="W640" s="1" t="s">
        <v>37</v>
      </c>
    </row>
    <row r="641" spans="1:23">
      <c r="A641" s="3" t="s">
        <v>3677</v>
      </c>
      <c r="B641" s="3" t="s">
        <v>115</v>
      </c>
      <c r="C641" s="3" t="s">
        <v>116</v>
      </c>
      <c r="D641" s="3" t="s">
        <v>41</v>
      </c>
      <c r="E641" s="3" t="s">
        <v>992</v>
      </c>
      <c r="F641" s="3" t="s">
        <v>127</v>
      </c>
      <c r="G641" s="2">
        <v>52.42</v>
      </c>
      <c r="H641" s="2">
        <v>3</v>
      </c>
      <c r="I641" s="2">
        <v>7.8630000000000004</v>
      </c>
      <c r="J641" s="2">
        <v>165.12299999999999</v>
      </c>
      <c r="K641" s="5">
        <v>43523</v>
      </c>
      <c r="L641" s="4">
        <v>0.73333333333333328</v>
      </c>
      <c r="M641" s="3" t="s">
        <v>33</v>
      </c>
      <c r="N641" s="2">
        <v>157.26</v>
      </c>
      <c r="O641" s="2">
        <v>4.7619047620000003</v>
      </c>
      <c r="P641" s="2">
        <v>7.8630000000000004</v>
      </c>
      <c r="Q641" s="2">
        <v>7.5</v>
      </c>
      <c r="R641" s="3"/>
      <c r="S641" s="1"/>
      <c r="T641" s="1"/>
      <c r="U641" s="1" t="s">
        <v>37</v>
      </c>
      <c r="V641" s="1" t="s">
        <v>37</v>
      </c>
      <c r="W641" s="1" t="s">
        <v>37</v>
      </c>
    </row>
    <row r="642" spans="1:23">
      <c r="A642" s="3" t="s">
        <v>3682</v>
      </c>
      <c r="B642" s="3" t="s">
        <v>115</v>
      </c>
      <c r="C642" s="3" t="s">
        <v>116</v>
      </c>
      <c r="D642" s="3" t="s">
        <v>24</v>
      </c>
      <c r="E642" s="3" t="s">
        <v>25</v>
      </c>
      <c r="F642" s="3" t="s">
        <v>117</v>
      </c>
      <c r="G642" s="2">
        <v>98.79</v>
      </c>
      <c r="H642" s="2">
        <v>3</v>
      </c>
      <c r="I642" s="2">
        <v>14.8185</v>
      </c>
      <c r="J642" s="2">
        <v>311.18849999999998</v>
      </c>
      <c r="K642" s="5">
        <v>43519</v>
      </c>
      <c r="L642" s="4">
        <v>0.83333333333333337</v>
      </c>
      <c r="M642" s="3" t="s">
        <v>33</v>
      </c>
      <c r="N642" s="2">
        <v>296.37</v>
      </c>
      <c r="O642" s="2">
        <v>4.7619047620000003</v>
      </c>
      <c r="P642" s="2">
        <v>14.8185</v>
      </c>
      <c r="Q642" s="2">
        <v>6.4</v>
      </c>
      <c r="R642" s="3"/>
      <c r="S642" s="1"/>
      <c r="T642" s="1"/>
      <c r="U642" s="1" t="s">
        <v>37</v>
      </c>
      <c r="V642" s="1" t="s">
        <v>37</v>
      </c>
      <c r="W642" s="1" t="s">
        <v>37</v>
      </c>
    </row>
    <row r="643" spans="1:23">
      <c r="A643" s="3" t="s">
        <v>3688</v>
      </c>
      <c r="B643" s="3" t="s">
        <v>39</v>
      </c>
      <c r="C643" s="3" t="s">
        <v>40</v>
      </c>
      <c r="D643" s="3" t="s">
        <v>24</v>
      </c>
      <c r="E643" s="3" t="s">
        <v>25</v>
      </c>
      <c r="F643" s="3" t="s">
        <v>42</v>
      </c>
      <c r="G643" s="2">
        <v>88.55</v>
      </c>
      <c r="H643" s="2">
        <v>8</v>
      </c>
      <c r="I643" s="2">
        <v>35.42</v>
      </c>
      <c r="J643" s="2">
        <v>743.82</v>
      </c>
      <c r="K643" s="5">
        <v>43543</v>
      </c>
      <c r="L643" s="4">
        <v>0.64513888888888893</v>
      </c>
      <c r="M643" s="3" t="s">
        <v>33</v>
      </c>
      <c r="N643" s="2">
        <v>708.4</v>
      </c>
      <c r="O643" s="2">
        <v>4.7619047620000003</v>
      </c>
      <c r="P643" s="2">
        <v>35.42</v>
      </c>
      <c r="Q643" s="2">
        <v>4.7</v>
      </c>
      <c r="R643" s="3"/>
      <c r="S643" s="1"/>
      <c r="T643" s="1"/>
      <c r="U643" s="1" t="s">
        <v>37</v>
      </c>
      <c r="V643" s="1" t="s">
        <v>37</v>
      </c>
      <c r="W643" s="1" t="s">
        <v>37</v>
      </c>
    </row>
    <row r="644" spans="1:23">
      <c r="A644" s="3" t="s">
        <v>3694</v>
      </c>
      <c r="B644" s="3" t="s">
        <v>115</v>
      </c>
      <c r="C644" s="3" t="s">
        <v>116</v>
      </c>
      <c r="D644" s="3" t="s">
        <v>24</v>
      </c>
      <c r="E644" s="3" t="s">
        <v>992</v>
      </c>
      <c r="F644" s="3" t="s">
        <v>42</v>
      </c>
      <c r="G644" s="2">
        <v>55.67</v>
      </c>
      <c r="H644" s="2">
        <v>2</v>
      </c>
      <c r="I644" s="2">
        <v>5.5670000000000002</v>
      </c>
      <c r="J644" s="2">
        <v>116.907</v>
      </c>
      <c r="K644" s="5">
        <v>43551</v>
      </c>
      <c r="L644" s="4">
        <v>0.63055555555555554</v>
      </c>
      <c r="M644" s="3" t="s">
        <v>33</v>
      </c>
      <c r="N644" s="2">
        <v>111.34</v>
      </c>
      <c r="O644" s="2">
        <v>4.7619047620000003</v>
      </c>
      <c r="P644" s="2">
        <v>5.5670000000000002</v>
      </c>
      <c r="Q644" s="2">
        <v>6</v>
      </c>
      <c r="R644" s="3"/>
      <c r="S644" s="1"/>
      <c r="T644" s="1"/>
      <c r="U644" s="1" t="s">
        <v>37</v>
      </c>
      <c r="V644" s="1" t="s">
        <v>37</v>
      </c>
      <c r="W644" s="1" t="s">
        <v>37</v>
      </c>
    </row>
    <row r="645" spans="1:23">
      <c r="A645" s="3" t="s">
        <v>3699</v>
      </c>
      <c r="B645" s="3" t="s">
        <v>39</v>
      </c>
      <c r="C645" s="3" t="s">
        <v>40</v>
      </c>
      <c r="D645" s="3" t="s">
        <v>24</v>
      </c>
      <c r="E645" s="3" t="s">
        <v>25</v>
      </c>
      <c r="F645" s="3" t="s">
        <v>117</v>
      </c>
      <c r="G645" s="2">
        <v>72.52</v>
      </c>
      <c r="H645" s="2">
        <v>8</v>
      </c>
      <c r="I645" s="2">
        <v>29.007999999999999</v>
      </c>
      <c r="J645" s="2">
        <v>609.16800000000001</v>
      </c>
      <c r="K645" s="5">
        <v>43554</v>
      </c>
      <c r="L645" s="4">
        <v>0.80972222222222223</v>
      </c>
      <c r="M645" s="3" t="s">
        <v>59</v>
      </c>
      <c r="N645" s="2">
        <v>580.16</v>
      </c>
      <c r="O645" s="2">
        <v>4.7619047620000003</v>
      </c>
      <c r="P645" s="2">
        <v>29.007999999999999</v>
      </c>
      <c r="Q645" s="2">
        <v>4</v>
      </c>
      <c r="R645" s="3"/>
      <c r="S645" s="1"/>
      <c r="T645" s="1"/>
      <c r="U645" s="1" t="s">
        <v>37</v>
      </c>
      <c r="V645" s="1" t="s">
        <v>37</v>
      </c>
      <c r="W645" s="1" t="s">
        <v>37</v>
      </c>
    </row>
    <row r="646" spans="1:23">
      <c r="A646" s="3" t="s">
        <v>3703</v>
      </c>
      <c r="B646" s="3" t="s">
        <v>39</v>
      </c>
      <c r="C646" s="3" t="s">
        <v>40</v>
      </c>
      <c r="D646" s="3" t="s">
        <v>24</v>
      </c>
      <c r="E646" s="3" t="s">
        <v>992</v>
      </c>
      <c r="F646" s="3" t="s">
        <v>42</v>
      </c>
      <c r="G646" s="2">
        <v>12.05</v>
      </c>
      <c r="H646" s="2">
        <v>5</v>
      </c>
      <c r="I646" s="2">
        <v>3.0125000000000002</v>
      </c>
      <c r="J646" s="2">
        <v>63.262500000000003</v>
      </c>
      <c r="K646" s="5">
        <v>43512</v>
      </c>
      <c r="L646" s="4">
        <v>0.66180555555555554</v>
      </c>
      <c r="M646" s="3" t="s">
        <v>33</v>
      </c>
      <c r="N646" s="2">
        <v>60.25</v>
      </c>
      <c r="O646" s="2">
        <v>4.7619047620000003</v>
      </c>
      <c r="P646" s="2">
        <v>3.0125000000000002</v>
      </c>
      <c r="Q646" s="2">
        <v>5.5</v>
      </c>
      <c r="R646" s="3"/>
      <c r="S646" s="1"/>
      <c r="T646" s="1"/>
      <c r="U646" s="1" t="s">
        <v>37</v>
      </c>
      <c r="V646" s="1" t="s">
        <v>37</v>
      </c>
      <c r="W646" s="1" t="s">
        <v>37</v>
      </c>
    </row>
    <row r="647" spans="1:23">
      <c r="A647" s="3" t="s">
        <v>3708</v>
      </c>
      <c r="B647" s="3" t="s">
        <v>22</v>
      </c>
      <c r="C647" s="3" t="s">
        <v>23</v>
      </c>
      <c r="D647" s="3" t="s">
        <v>24</v>
      </c>
      <c r="E647" s="3" t="s">
        <v>992</v>
      </c>
      <c r="F647" s="3" t="s">
        <v>53</v>
      </c>
      <c r="G647" s="2">
        <v>19.36</v>
      </c>
      <c r="H647" s="2">
        <v>9</v>
      </c>
      <c r="I647" s="2">
        <v>8.7119999999999997</v>
      </c>
      <c r="J647" s="2">
        <v>182.952</v>
      </c>
      <c r="K647" s="5">
        <v>43483</v>
      </c>
      <c r="L647" s="4">
        <v>0.77986111111111112</v>
      </c>
      <c r="M647" s="3" t="s">
        <v>33</v>
      </c>
      <c r="N647" s="2">
        <v>174.24</v>
      </c>
      <c r="O647" s="2">
        <v>4.7619047620000003</v>
      </c>
      <c r="P647" s="2">
        <v>8.7119999999999997</v>
      </c>
      <c r="Q647" s="2">
        <v>8.6999999999999993</v>
      </c>
      <c r="R647" s="3"/>
      <c r="S647" s="1"/>
      <c r="T647" s="1"/>
      <c r="U647" s="1" t="s">
        <v>37</v>
      </c>
      <c r="V647" s="1" t="s">
        <v>37</v>
      </c>
      <c r="W647" s="1" t="s">
        <v>37</v>
      </c>
    </row>
    <row r="648" spans="1:23">
      <c r="A648" s="3" t="s">
        <v>3713</v>
      </c>
      <c r="B648" s="3" t="s">
        <v>39</v>
      </c>
      <c r="C648" s="3" t="s">
        <v>40</v>
      </c>
      <c r="D648" s="3" t="s">
        <v>41</v>
      </c>
      <c r="E648" s="3" t="s">
        <v>992</v>
      </c>
      <c r="F648" s="3" t="s">
        <v>26</v>
      </c>
      <c r="G648" s="2">
        <v>70.209999999999994</v>
      </c>
      <c r="H648" s="2">
        <v>6</v>
      </c>
      <c r="I648" s="2">
        <v>21.062999999999999</v>
      </c>
      <c r="J648" s="2">
        <v>442.32299999999998</v>
      </c>
      <c r="K648" s="5">
        <v>43554</v>
      </c>
      <c r="L648" s="4">
        <v>0.62361111111111112</v>
      </c>
      <c r="M648" s="3" t="s">
        <v>49</v>
      </c>
      <c r="N648" s="2">
        <v>421.26</v>
      </c>
      <c r="O648" s="2">
        <v>4.7619047620000003</v>
      </c>
      <c r="P648" s="2">
        <v>21.062999999999999</v>
      </c>
      <c r="Q648" s="2">
        <v>7.4</v>
      </c>
      <c r="R648" s="3"/>
      <c r="S648" s="1"/>
      <c r="T648" s="1"/>
      <c r="U648" s="1" t="s">
        <v>37</v>
      </c>
      <c r="V648" s="1" t="s">
        <v>37</v>
      </c>
      <c r="W648" s="1" t="s">
        <v>37</v>
      </c>
    </row>
    <row r="649" spans="1:23">
      <c r="A649" s="3" t="s">
        <v>3719</v>
      </c>
      <c r="B649" s="3" t="s">
        <v>115</v>
      </c>
      <c r="C649" s="3" t="s">
        <v>116</v>
      </c>
      <c r="D649" s="3" t="s">
        <v>24</v>
      </c>
      <c r="E649" s="3" t="s">
        <v>992</v>
      </c>
      <c r="F649" s="3" t="s">
        <v>127</v>
      </c>
      <c r="G649" s="2">
        <v>33.630000000000003</v>
      </c>
      <c r="H649" s="2">
        <v>1</v>
      </c>
      <c r="I649" s="2">
        <v>1.6815</v>
      </c>
      <c r="J649" s="2">
        <v>35.311500000000002</v>
      </c>
      <c r="K649" s="5">
        <v>43544</v>
      </c>
      <c r="L649" s="4">
        <v>0.82986111111111116</v>
      </c>
      <c r="M649" s="3" t="s">
        <v>49</v>
      </c>
      <c r="N649" s="2">
        <v>33.630000000000003</v>
      </c>
      <c r="O649" s="2">
        <v>4.7619047620000003</v>
      </c>
      <c r="P649" s="2">
        <v>1.6815</v>
      </c>
      <c r="Q649" s="2">
        <v>5.6</v>
      </c>
      <c r="R649" s="3"/>
      <c r="S649" s="1"/>
      <c r="T649" s="1"/>
      <c r="U649" s="1" t="s">
        <v>37</v>
      </c>
      <c r="V649" s="1" t="s">
        <v>37</v>
      </c>
      <c r="W649" s="1" t="s">
        <v>37</v>
      </c>
    </row>
    <row r="650" spans="1:23">
      <c r="A650" s="3" t="s">
        <v>3723</v>
      </c>
      <c r="B650" s="3" t="s">
        <v>39</v>
      </c>
      <c r="C650" s="3" t="s">
        <v>40</v>
      </c>
      <c r="D650" s="3" t="s">
        <v>24</v>
      </c>
      <c r="E650" s="3" t="s">
        <v>25</v>
      </c>
      <c r="F650" s="3" t="s">
        <v>72</v>
      </c>
      <c r="G650" s="2">
        <v>15.49</v>
      </c>
      <c r="H650" s="2">
        <v>2</v>
      </c>
      <c r="I650" s="2">
        <v>1.5489999999999999</v>
      </c>
      <c r="J650" s="2">
        <v>32.529000000000003</v>
      </c>
      <c r="K650" s="5">
        <v>43481</v>
      </c>
      <c r="L650" s="4">
        <v>0.63194444444444442</v>
      </c>
      <c r="M650" s="3" t="s">
        <v>49</v>
      </c>
      <c r="N650" s="2">
        <v>30.98</v>
      </c>
      <c r="O650" s="2">
        <v>4.7619047620000003</v>
      </c>
      <c r="P650" s="2">
        <v>1.5489999999999999</v>
      </c>
      <c r="Q650" s="2">
        <v>6.3</v>
      </c>
      <c r="R650" s="3"/>
      <c r="S650" s="1"/>
      <c r="T650" s="1"/>
      <c r="U650" s="1" t="s">
        <v>37</v>
      </c>
      <c r="V650" s="1" t="s">
        <v>37</v>
      </c>
      <c r="W650" s="1" t="s">
        <v>37</v>
      </c>
    </row>
    <row r="651" spans="1:23">
      <c r="A651" s="3" t="s">
        <v>3728</v>
      </c>
      <c r="B651" s="3" t="s">
        <v>39</v>
      </c>
      <c r="C651" s="3" t="s">
        <v>40</v>
      </c>
      <c r="D651" s="3" t="s">
        <v>41</v>
      </c>
      <c r="E651" s="3" t="s">
        <v>992</v>
      </c>
      <c r="F651" s="3" t="s">
        <v>42</v>
      </c>
      <c r="G651" s="2">
        <v>24.74</v>
      </c>
      <c r="H651" s="2">
        <v>10</v>
      </c>
      <c r="I651" s="2">
        <v>12.37</v>
      </c>
      <c r="J651" s="2">
        <v>259.77</v>
      </c>
      <c r="K651" s="5">
        <v>43520</v>
      </c>
      <c r="L651" s="4">
        <v>0.69722222222222219</v>
      </c>
      <c r="M651" s="3" t="s">
        <v>49</v>
      </c>
      <c r="N651" s="2">
        <v>247.4</v>
      </c>
      <c r="O651" s="2">
        <v>4.7619047620000003</v>
      </c>
      <c r="P651" s="2">
        <v>12.37</v>
      </c>
      <c r="Q651" s="2">
        <v>7.1</v>
      </c>
      <c r="R651" s="3"/>
      <c r="S651" s="1"/>
      <c r="T651" s="1"/>
      <c r="U651" s="1" t="s">
        <v>37</v>
      </c>
      <c r="V651" s="1" t="s">
        <v>37</v>
      </c>
      <c r="W651" s="1" t="s">
        <v>37</v>
      </c>
    </row>
    <row r="652" spans="1:23">
      <c r="A652" s="3" t="s">
        <v>3732</v>
      </c>
      <c r="B652" s="3" t="s">
        <v>115</v>
      </c>
      <c r="C652" s="3" t="s">
        <v>116</v>
      </c>
      <c r="D652" s="3" t="s">
        <v>41</v>
      </c>
      <c r="E652" s="3" t="s">
        <v>992</v>
      </c>
      <c r="F652" s="3" t="s">
        <v>42</v>
      </c>
      <c r="G652" s="2">
        <v>75.66</v>
      </c>
      <c r="H652" s="2">
        <v>5</v>
      </c>
      <c r="I652" s="2">
        <v>18.914999999999999</v>
      </c>
      <c r="J652" s="2">
        <v>397.21499999999997</v>
      </c>
      <c r="K652" s="5">
        <v>43480</v>
      </c>
      <c r="L652" s="4">
        <v>0.76527777777777772</v>
      </c>
      <c r="M652" s="3" t="s">
        <v>33</v>
      </c>
      <c r="N652" s="2">
        <v>378.3</v>
      </c>
      <c r="O652" s="2">
        <v>4.7619047620000003</v>
      </c>
      <c r="P652" s="2">
        <v>18.914999999999999</v>
      </c>
      <c r="Q652" s="2">
        <v>7.8</v>
      </c>
      <c r="R652" s="3"/>
      <c r="S652" s="1"/>
      <c r="T652" s="1"/>
      <c r="U652" s="1" t="s">
        <v>37</v>
      </c>
      <c r="V652" s="1" t="s">
        <v>37</v>
      </c>
      <c r="W652" s="1" t="s">
        <v>37</v>
      </c>
    </row>
    <row r="653" spans="1:23">
      <c r="A653" s="3" t="s">
        <v>3737</v>
      </c>
      <c r="B653" s="3" t="s">
        <v>115</v>
      </c>
      <c r="C653" s="3" t="s">
        <v>116</v>
      </c>
      <c r="D653" s="3" t="s">
        <v>41</v>
      </c>
      <c r="E653" s="3" t="s">
        <v>25</v>
      </c>
      <c r="F653" s="3" t="s">
        <v>26</v>
      </c>
      <c r="G653" s="2">
        <v>55.81</v>
      </c>
      <c r="H653" s="2">
        <v>6</v>
      </c>
      <c r="I653" s="2">
        <v>16.742999999999999</v>
      </c>
      <c r="J653" s="2">
        <v>351.60300000000001</v>
      </c>
      <c r="K653" s="5">
        <v>43487</v>
      </c>
      <c r="L653" s="4">
        <v>0.49444444444444446</v>
      </c>
      <c r="M653" s="3" t="s">
        <v>49</v>
      </c>
      <c r="N653" s="2">
        <v>334.86</v>
      </c>
      <c r="O653" s="2">
        <v>4.7619047620000003</v>
      </c>
      <c r="P653" s="2">
        <v>16.742999999999999</v>
      </c>
      <c r="Q653" s="2">
        <v>9.9</v>
      </c>
      <c r="R653" s="3"/>
      <c r="S653" s="1"/>
      <c r="T653" s="1"/>
      <c r="U653" s="1" t="s">
        <v>37</v>
      </c>
      <c r="V653" s="1" t="s">
        <v>37</v>
      </c>
      <c r="W653" s="1" t="s">
        <v>37</v>
      </c>
    </row>
    <row r="654" spans="1:23">
      <c r="A654" s="3" t="s">
        <v>3743</v>
      </c>
      <c r="B654" s="3" t="s">
        <v>22</v>
      </c>
      <c r="C654" s="3" t="s">
        <v>23</v>
      </c>
      <c r="D654" s="3" t="s">
        <v>24</v>
      </c>
      <c r="E654" s="3" t="s">
        <v>992</v>
      </c>
      <c r="F654" s="3" t="s">
        <v>53</v>
      </c>
      <c r="G654" s="2">
        <v>72.78</v>
      </c>
      <c r="H654" s="2">
        <v>10</v>
      </c>
      <c r="I654" s="2">
        <v>36.39</v>
      </c>
      <c r="J654" s="2">
        <v>764.19</v>
      </c>
      <c r="K654" s="5">
        <v>43499</v>
      </c>
      <c r="L654" s="4">
        <v>0.72499999999999998</v>
      </c>
      <c r="M654" s="3" t="s">
        <v>49</v>
      </c>
      <c r="N654" s="2">
        <v>727.8</v>
      </c>
      <c r="O654" s="2">
        <v>4.7619047620000003</v>
      </c>
      <c r="P654" s="2">
        <v>36.39</v>
      </c>
      <c r="Q654" s="2">
        <v>7.3</v>
      </c>
      <c r="R654" s="3"/>
      <c r="S654" s="1"/>
      <c r="T654" s="1"/>
      <c r="U654" s="1" t="s">
        <v>37</v>
      </c>
      <c r="V654" s="1" t="s">
        <v>37</v>
      </c>
      <c r="W654" s="1" t="s">
        <v>37</v>
      </c>
    </row>
    <row r="655" spans="1:23">
      <c r="A655" s="3" t="s">
        <v>3748</v>
      </c>
      <c r="B655" s="3" t="s">
        <v>115</v>
      </c>
      <c r="C655" s="3" t="s">
        <v>116</v>
      </c>
      <c r="D655" s="3" t="s">
        <v>24</v>
      </c>
      <c r="E655" s="3" t="s">
        <v>992</v>
      </c>
      <c r="F655" s="3" t="s">
        <v>72</v>
      </c>
      <c r="G655" s="2">
        <v>37.32</v>
      </c>
      <c r="H655" s="2">
        <v>9</v>
      </c>
      <c r="I655" s="2">
        <v>16.794</v>
      </c>
      <c r="J655" s="2">
        <v>352.67399999999998</v>
      </c>
      <c r="K655" s="5">
        <v>43530</v>
      </c>
      <c r="L655" s="4">
        <v>0.64652777777777781</v>
      </c>
      <c r="M655" s="3" t="s">
        <v>33</v>
      </c>
      <c r="N655" s="2">
        <v>335.88</v>
      </c>
      <c r="O655" s="2">
        <v>4.7619047620000003</v>
      </c>
      <c r="P655" s="2">
        <v>16.794</v>
      </c>
      <c r="Q655" s="2">
        <v>5.0999999999999996</v>
      </c>
      <c r="R655" s="3"/>
      <c r="S655" s="1"/>
      <c r="T655" s="1"/>
      <c r="U655" s="1" t="s">
        <v>37</v>
      </c>
      <c r="V655" s="1" t="s">
        <v>37</v>
      </c>
      <c r="W655" s="1" t="s">
        <v>37</v>
      </c>
    </row>
    <row r="656" spans="1:23">
      <c r="A656" s="3" t="s">
        <v>3753</v>
      </c>
      <c r="B656" s="3" t="s">
        <v>115</v>
      </c>
      <c r="C656" s="3" t="s">
        <v>116</v>
      </c>
      <c r="D656" s="3" t="s">
        <v>24</v>
      </c>
      <c r="E656" s="3" t="s">
        <v>992</v>
      </c>
      <c r="F656" s="3" t="s">
        <v>127</v>
      </c>
      <c r="G656" s="2">
        <v>60.18</v>
      </c>
      <c r="H656" s="2">
        <v>4</v>
      </c>
      <c r="I656" s="2">
        <v>12.036</v>
      </c>
      <c r="J656" s="2">
        <v>252.756</v>
      </c>
      <c r="K656" s="5">
        <v>43512</v>
      </c>
      <c r="L656" s="4">
        <v>0.75277777777777777</v>
      </c>
      <c r="M656" s="3" t="s">
        <v>59</v>
      </c>
      <c r="N656" s="2">
        <v>240.72</v>
      </c>
      <c r="O656" s="2">
        <v>4.7619047620000003</v>
      </c>
      <c r="P656" s="2">
        <v>12.036</v>
      </c>
      <c r="Q656" s="2">
        <v>9.4</v>
      </c>
      <c r="R656" s="3"/>
      <c r="S656" s="1"/>
      <c r="T656" s="1"/>
      <c r="U656" s="1" t="s">
        <v>37</v>
      </c>
      <c r="V656" s="1" t="s">
        <v>37</v>
      </c>
      <c r="W656" s="1" t="s">
        <v>37</v>
      </c>
    </row>
    <row r="657" spans="1:23">
      <c r="A657" s="3" t="s">
        <v>3758</v>
      </c>
      <c r="B657" s="3" t="s">
        <v>22</v>
      </c>
      <c r="C657" s="3" t="s">
        <v>23</v>
      </c>
      <c r="D657" s="3" t="s">
        <v>41</v>
      </c>
      <c r="E657" s="3" t="s">
        <v>25</v>
      </c>
      <c r="F657" s="3" t="s">
        <v>42</v>
      </c>
      <c r="G657" s="2">
        <v>15.69</v>
      </c>
      <c r="H657" s="2">
        <v>3</v>
      </c>
      <c r="I657" s="2">
        <v>2.3534999999999999</v>
      </c>
      <c r="J657" s="2">
        <v>49.423499999999997</v>
      </c>
      <c r="K657" s="5">
        <v>43538</v>
      </c>
      <c r="L657" s="4">
        <v>0.59236111111111112</v>
      </c>
      <c r="M657" s="3" t="s">
        <v>59</v>
      </c>
      <c r="N657" s="2">
        <v>47.07</v>
      </c>
      <c r="O657" s="2">
        <v>4.7619047620000003</v>
      </c>
      <c r="P657" s="2">
        <v>2.3534999999999999</v>
      </c>
      <c r="Q657" s="2">
        <v>5.8</v>
      </c>
      <c r="R657" s="3"/>
      <c r="S657" s="1"/>
      <c r="T657" s="1"/>
      <c r="U657" s="1" t="s">
        <v>37</v>
      </c>
      <c r="V657" s="1" t="s">
        <v>37</v>
      </c>
      <c r="W657" s="1" t="s">
        <v>37</v>
      </c>
    </row>
    <row r="658" spans="1:23">
      <c r="A658" s="3" t="s">
        <v>3763</v>
      </c>
      <c r="B658" s="3" t="s">
        <v>39</v>
      </c>
      <c r="C658" s="3" t="s">
        <v>40</v>
      </c>
      <c r="D658" s="3" t="s">
        <v>41</v>
      </c>
      <c r="E658" s="3" t="s">
        <v>25</v>
      </c>
      <c r="F658" s="3" t="s">
        <v>42</v>
      </c>
      <c r="G658" s="2">
        <v>99.69</v>
      </c>
      <c r="H658" s="2">
        <v>1</v>
      </c>
      <c r="I658" s="2">
        <v>4.9844999999999997</v>
      </c>
      <c r="J658" s="2">
        <v>104.67449999999999</v>
      </c>
      <c r="K658" s="5">
        <v>43523</v>
      </c>
      <c r="L658" s="4">
        <v>0.43263888888888891</v>
      </c>
      <c r="M658" s="3" t="s">
        <v>59</v>
      </c>
      <c r="N658" s="2">
        <v>99.69</v>
      </c>
      <c r="O658" s="2">
        <v>4.7619047620000003</v>
      </c>
      <c r="P658" s="2">
        <v>4.9844999999999997</v>
      </c>
      <c r="Q658" s="2">
        <v>8</v>
      </c>
      <c r="R658" s="3"/>
      <c r="S658" s="1"/>
      <c r="T658" s="1"/>
      <c r="U658" s="1" t="s">
        <v>37</v>
      </c>
      <c r="V658" s="1" t="s">
        <v>37</v>
      </c>
      <c r="W658" s="1" t="s">
        <v>37</v>
      </c>
    </row>
    <row r="659" spans="1:23">
      <c r="A659" s="3" t="s">
        <v>3766</v>
      </c>
      <c r="B659" s="3" t="s">
        <v>22</v>
      </c>
      <c r="C659" s="3" t="s">
        <v>23</v>
      </c>
      <c r="D659" s="3" t="s">
        <v>24</v>
      </c>
      <c r="E659" s="3" t="s">
        <v>25</v>
      </c>
      <c r="F659" s="3" t="s">
        <v>127</v>
      </c>
      <c r="G659" s="2">
        <v>88.15</v>
      </c>
      <c r="H659" s="2">
        <v>3</v>
      </c>
      <c r="I659" s="2">
        <v>13.2225</v>
      </c>
      <c r="J659" s="2">
        <v>277.67250000000001</v>
      </c>
      <c r="K659" s="5">
        <v>43483</v>
      </c>
      <c r="L659" s="4">
        <v>0.42430555555555555</v>
      </c>
      <c r="M659" s="3" t="s">
        <v>33</v>
      </c>
      <c r="N659" s="2">
        <v>264.45</v>
      </c>
      <c r="O659" s="2">
        <v>4.7619047620000003</v>
      </c>
      <c r="P659" s="2">
        <v>13.2225</v>
      </c>
      <c r="Q659" s="2">
        <v>7.9</v>
      </c>
      <c r="R659" s="3"/>
      <c r="S659" s="1"/>
      <c r="T659" s="1"/>
      <c r="U659" s="1" t="s">
        <v>37</v>
      </c>
      <c r="V659" s="1" t="s">
        <v>37</v>
      </c>
      <c r="W659" s="1" t="s">
        <v>37</v>
      </c>
    </row>
    <row r="660" spans="1:23">
      <c r="A660" s="3" t="s">
        <v>3770</v>
      </c>
      <c r="B660" s="3" t="s">
        <v>22</v>
      </c>
      <c r="C660" s="3" t="s">
        <v>23</v>
      </c>
      <c r="D660" s="3" t="s">
        <v>24</v>
      </c>
      <c r="E660" s="3" t="s">
        <v>25</v>
      </c>
      <c r="F660" s="3" t="s">
        <v>72</v>
      </c>
      <c r="G660" s="2">
        <v>27.93</v>
      </c>
      <c r="H660" s="2">
        <v>5</v>
      </c>
      <c r="I660" s="2">
        <v>6.9824999999999999</v>
      </c>
      <c r="J660" s="2">
        <v>146.63249999999999</v>
      </c>
      <c r="K660" s="5">
        <v>43494</v>
      </c>
      <c r="L660" s="4">
        <v>0.65833333333333333</v>
      </c>
      <c r="M660" s="3" t="s">
        <v>49</v>
      </c>
      <c r="N660" s="2">
        <v>139.65</v>
      </c>
      <c r="O660" s="2">
        <v>4.7619047620000003</v>
      </c>
      <c r="P660" s="2">
        <v>6.9824999999999999</v>
      </c>
      <c r="Q660" s="2">
        <v>5.9</v>
      </c>
      <c r="R660" s="3"/>
      <c r="S660" s="1"/>
      <c r="T660" s="1"/>
      <c r="U660" s="1" t="s">
        <v>37</v>
      </c>
      <c r="V660" s="1" t="s">
        <v>37</v>
      </c>
      <c r="W660" s="1" t="s">
        <v>37</v>
      </c>
    </row>
    <row r="661" spans="1:23">
      <c r="A661" s="3" t="s">
        <v>3775</v>
      </c>
      <c r="B661" s="3" t="s">
        <v>22</v>
      </c>
      <c r="C661" s="3" t="s">
        <v>23</v>
      </c>
      <c r="D661" s="3" t="s">
        <v>24</v>
      </c>
      <c r="E661" s="3" t="s">
        <v>992</v>
      </c>
      <c r="F661" s="3" t="s">
        <v>127</v>
      </c>
      <c r="G661" s="2">
        <v>55.45</v>
      </c>
      <c r="H661" s="2">
        <v>1</v>
      </c>
      <c r="I661" s="2">
        <v>2.7725</v>
      </c>
      <c r="J661" s="2">
        <v>58.222499999999997</v>
      </c>
      <c r="K661" s="5">
        <v>43522</v>
      </c>
      <c r="L661" s="4">
        <v>0.74027777777777781</v>
      </c>
      <c r="M661" s="3" t="s">
        <v>59</v>
      </c>
      <c r="N661" s="2">
        <v>55.45</v>
      </c>
      <c r="O661" s="2">
        <v>4.7619047620000003</v>
      </c>
      <c r="P661" s="2">
        <v>2.7725</v>
      </c>
      <c r="Q661" s="2">
        <v>4.9000000000000004</v>
      </c>
      <c r="R661" s="3"/>
      <c r="S661" s="1"/>
      <c r="T661" s="1"/>
      <c r="U661" s="1" t="s">
        <v>37</v>
      </c>
      <c r="V661" s="1" t="s">
        <v>37</v>
      </c>
      <c r="W661" s="1" t="s">
        <v>37</v>
      </c>
    </row>
    <row r="662" spans="1:23">
      <c r="A662" s="3" t="s">
        <v>3780</v>
      </c>
      <c r="B662" s="3" t="s">
        <v>115</v>
      </c>
      <c r="C662" s="3" t="s">
        <v>116</v>
      </c>
      <c r="D662" s="3" t="s">
        <v>41</v>
      </c>
      <c r="E662" s="3" t="s">
        <v>25</v>
      </c>
      <c r="F662" s="3" t="s">
        <v>72</v>
      </c>
      <c r="G662" s="2">
        <v>42.97</v>
      </c>
      <c r="H662" s="2">
        <v>3</v>
      </c>
      <c r="I662" s="2">
        <v>6.4455</v>
      </c>
      <c r="J662" s="2">
        <v>135.35550000000001</v>
      </c>
      <c r="K662" s="5">
        <v>43499</v>
      </c>
      <c r="L662" s="4">
        <v>0.49027777777777776</v>
      </c>
      <c r="M662" s="3" t="s">
        <v>49</v>
      </c>
      <c r="N662" s="2">
        <v>128.91</v>
      </c>
      <c r="O662" s="2">
        <v>4.7619047620000003</v>
      </c>
      <c r="P662" s="2">
        <v>6.4455</v>
      </c>
      <c r="Q662" s="2">
        <v>9.3000000000000007</v>
      </c>
      <c r="R662" s="3"/>
      <c r="S662" s="1"/>
      <c r="T662" s="1"/>
      <c r="U662" s="1" t="s">
        <v>37</v>
      </c>
      <c r="V662" s="1" t="s">
        <v>37</v>
      </c>
      <c r="W662" s="1" t="s">
        <v>37</v>
      </c>
    </row>
    <row r="663" spans="1:23">
      <c r="A663" s="3" t="s">
        <v>3785</v>
      </c>
      <c r="B663" s="3" t="s">
        <v>39</v>
      </c>
      <c r="C663" s="3" t="s">
        <v>40</v>
      </c>
      <c r="D663" s="3" t="s">
        <v>24</v>
      </c>
      <c r="E663" s="3" t="s">
        <v>992</v>
      </c>
      <c r="F663" s="3" t="s">
        <v>72</v>
      </c>
      <c r="G663" s="2">
        <v>17.14</v>
      </c>
      <c r="H663" s="2">
        <v>7</v>
      </c>
      <c r="I663" s="2">
        <v>5.9989999999999997</v>
      </c>
      <c r="J663" s="2">
        <v>125.979</v>
      </c>
      <c r="K663" s="5">
        <v>43481</v>
      </c>
      <c r="L663" s="4">
        <v>0.50486111111111109</v>
      </c>
      <c r="M663" s="3" t="s">
        <v>59</v>
      </c>
      <c r="N663" s="2">
        <v>119.98</v>
      </c>
      <c r="O663" s="2">
        <v>4.7619047620000003</v>
      </c>
      <c r="P663" s="2">
        <v>5.9989999999999997</v>
      </c>
      <c r="Q663" s="2">
        <v>7.9</v>
      </c>
      <c r="R663" s="3"/>
      <c r="S663" s="1"/>
      <c r="T663" s="1"/>
      <c r="U663" s="1" t="s">
        <v>37</v>
      </c>
      <c r="V663" s="1" t="s">
        <v>37</v>
      </c>
      <c r="W663" s="1" t="s">
        <v>37</v>
      </c>
    </row>
    <row r="664" spans="1:23">
      <c r="A664" s="3" t="s">
        <v>3790</v>
      </c>
      <c r="B664" s="3" t="s">
        <v>115</v>
      </c>
      <c r="C664" s="3" t="s">
        <v>116</v>
      </c>
      <c r="D664" s="3" t="s">
        <v>24</v>
      </c>
      <c r="E664" s="3" t="s">
        <v>25</v>
      </c>
      <c r="F664" s="3" t="s">
        <v>127</v>
      </c>
      <c r="G664" s="2">
        <v>58.75</v>
      </c>
      <c r="H664" s="2">
        <v>6</v>
      </c>
      <c r="I664" s="2">
        <v>17.625</v>
      </c>
      <c r="J664" s="2">
        <v>370.125</v>
      </c>
      <c r="K664" s="5">
        <v>43548</v>
      </c>
      <c r="L664" s="4">
        <v>0.75972222222222219</v>
      </c>
      <c r="M664" s="3" t="s">
        <v>59</v>
      </c>
      <c r="N664" s="2">
        <v>352.5</v>
      </c>
      <c r="O664" s="2">
        <v>4.7619047620000003</v>
      </c>
      <c r="P664" s="2">
        <v>17.625</v>
      </c>
      <c r="Q664" s="2">
        <v>5.9</v>
      </c>
      <c r="R664" s="3"/>
      <c r="S664" s="1"/>
      <c r="T664" s="1"/>
      <c r="U664" s="1" t="s">
        <v>37</v>
      </c>
      <c r="V664" s="1" t="s">
        <v>37</v>
      </c>
      <c r="W664" s="1" t="s">
        <v>37</v>
      </c>
    </row>
    <row r="665" spans="1:23">
      <c r="A665" s="3" t="s">
        <v>3795</v>
      </c>
      <c r="B665" s="3" t="s">
        <v>39</v>
      </c>
      <c r="C665" s="3" t="s">
        <v>40</v>
      </c>
      <c r="D665" s="3" t="s">
        <v>24</v>
      </c>
      <c r="E665" s="3" t="s">
        <v>25</v>
      </c>
      <c r="F665" s="3" t="s">
        <v>117</v>
      </c>
      <c r="G665" s="2">
        <v>87.1</v>
      </c>
      <c r="H665" s="2">
        <v>10</v>
      </c>
      <c r="I665" s="2">
        <v>43.55</v>
      </c>
      <c r="J665" s="2">
        <v>914.55</v>
      </c>
      <c r="K665" s="5">
        <v>43508</v>
      </c>
      <c r="L665" s="4">
        <v>0.61458333333333337</v>
      </c>
      <c r="M665" s="3" t="s">
        <v>59</v>
      </c>
      <c r="N665" s="2">
        <v>871</v>
      </c>
      <c r="O665" s="2">
        <v>4.7619047620000003</v>
      </c>
      <c r="P665" s="2">
        <v>43.55</v>
      </c>
      <c r="Q665" s="2">
        <v>9.9</v>
      </c>
      <c r="R665" s="3"/>
      <c r="S665" s="1"/>
      <c r="T665" s="1"/>
      <c r="U665" s="1" t="s">
        <v>37</v>
      </c>
      <c r="V665" s="1" t="s">
        <v>37</v>
      </c>
      <c r="W665" s="1" t="s">
        <v>37</v>
      </c>
    </row>
    <row r="666" spans="1:23">
      <c r="A666" s="3" t="s">
        <v>3801</v>
      </c>
      <c r="B666" s="3" t="s">
        <v>39</v>
      </c>
      <c r="C666" s="3" t="s">
        <v>40</v>
      </c>
      <c r="D666" s="3" t="s">
        <v>41</v>
      </c>
      <c r="E666" s="3" t="s">
        <v>25</v>
      </c>
      <c r="F666" s="3" t="s">
        <v>72</v>
      </c>
      <c r="G666" s="2">
        <v>98.8</v>
      </c>
      <c r="H666" s="2">
        <v>2</v>
      </c>
      <c r="I666" s="2">
        <v>9.8800000000000008</v>
      </c>
      <c r="J666" s="2">
        <v>207.48</v>
      </c>
      <c r="K666" s="5">
        <v>43517</v>
      </c>
      <c r="L666" s="4">
        <v>0.48541666666666666</v>
      </c>
      <c r="M666" s="3" t="s">
        <v>49</v>
      </c>
      <c r="N666" s="2">
        <v>197.6</v>
      </c>
      <c r="O666" s="2">
        <v>4.7619047620000003</v>
      </c>
      <c r="P666" s="2">
        <v>9.8800000000000008</v>
      </c>
      <c r="Q666" s="2">
        <v>7.7</v>
      </c>
      <c r="R666" s="3"/>
      <c r="S666" s="1"/>
      <c r="T666" s="1"/>
      <c r="U666" s="1" t="s">
        <v>37</v>
      </c>
      <c r="V666" s="1" t="s">
        <v>37</v>
      </c>
      <c r="W666" s="1" t="s">
        <v>37</v>
      </c>
    </row>
    <row r="667" spans="1:23">
      <c r="A667" s="3" t="s">
        <v>3807</v>
      </c>
      <c r="B667" s="3" t="s">
        <v>22</v>
      </c>
      <c r="C667" s="3" t="s">
        <v>23</v>
      </c>
      <c r="D667" s="3" t="s">
        <v>41</v>
      </c>
      <c r="E667" s="3" t="s">
        <v>25</v>
      </c>
      <c r="F667" s="3" t="s">
        <v>127</v>
      </c>
      <c r="G667" s="2">
        <v>48.63</v>
      </c>
      <c r="H667" s="2">
        <v>4</v>
      </c>
      <c r="I667" s="2">
        <v>9.7260000000000009</v>
      </c>
      <c r="J667" s="2">
        <v>204.24600000000001</v>
      </c>
      <c r="K667" s="5">
        <v>43500</v>
      </c>
      <c r="L667" s="4">
        <v>0.65555555555555556</v>
      </c>
      <c r="M667" s="3" t="s">
        <v>33</v>
      </c>
      <c r="N667" s="2">
        <v>194.52</v>
      </c>
      <c r="O667" s="2">
        <v>4.7619047620000003</v>
      </c>
      <c r="P667" s="2">
        <v>9.7260000000000009</v>
      </c>
      <c r="Q667" s="2">
        <v>7.6</v>
      </c>
      <c r="R667" s="3"/>
      <c r="S667" s="1"/>
      <c r="T667" s="1"/>
      <c r="U667" s="1" t="s">
        <v>37</v>
      </c>
      <c r="V667" s="1" t="s">
        <v>37</v>
      </c>
      <c r="W667" s="1" t="s">
        <v>37</v>
      </c>
    </row>
    <row r="668" spans="1:23">
      <c r="A668" s="3" t="s">
        <v>3812</v>
      </c>
      <c r="B668" s="3" t="s">
        <v>115</v>
      </c>
      <c r="C668" s="3" t="s">
        <v>116</v>
      </c>
      <c r="D668" s="3" t="s">
        <v>24</v>
      </c>
      <c r="E668" s="3" t="s">
        <v>992</v>
      </c>
      <c r="F668" s="3" t="s">
        <v>117</v>
      </c>
      <c r="G668" s="2">
        <v>57.74</v>
      </c>
      <c r="H668" s="2">
        <v>3</v>
      </c>
      <c r="I668" s="2">
        <v>8.6609999999999996</v>
      </c>
      <c r="J668" s="2">
        <v>181.881</v>
      </c>
      <c r="K668" s="5">
        <v>43516</v>
      </c>
      <c r="L668" s="4">
        <v>0.54583333333333328</v>
      </c>
      <c r="M668" s="3" t="s">
        <v>33</v>
      </c>
      <c r="N668" s="2">
        <v>173.22</v>
      </c>
      <c r="O668" s="2">
        <v>4.7619047620000003</v>
      </c>
      <c r="P668" s="2">
        <v>8.6609999999999996</v>
      </c>
      <c r="Q668" s="2">
        <v>7.7</v>
      </c>
      <c r="R668" s="3"/>
      <c r="S668" s="1"/>
      <c r="T668" s="1"/>
      <c r="U668" s="1" t="s">
        <v>37</v>
      </c>
      <c r="V668" s="1" t="s">
        <v>37</v>
      </c>
      <c r="W668" s="1" t="s">
        <v>37</v>
      </c>
    </row>
    <row r="669" spans="1:23">
      <c r="A669" s="3" t="s">
        <v>3818</v>
      </c>
      <c r="B669" s="3" t="s">
        <v>115</v>
      </c>
      <c r="C669" s="3" t="s">
        <v>116</v>
      </c>
      <c r="D669" s="3" t="s">
        <v>41</v>
      </c>
      <c r="E669" s="3" t="s">
        <v>25</v>
      </c>
      <c r="F669" s="3" t="s">
        <v>26</v>
      </c>
      <c r="G669" s="2">
        <v>17.97</v>
      </c>
      <c r="H669" s="2">
        <v>4</v>
      </c>
      <c r="I669" s="2">
        <v>3.5939999999999999</v>
      </c>
      <c r="J669" s="2">
        <v>75.474000000000004</v>
      </c>
      <c r="K669" s="5">
        <v>43519</v>
      </c>
      <c r="L669" s="4">
        <v>0.86319444444444449</v>
      </c>
      <c r="M669" s="3" t="s">
        <v>33</v>
      </c>
      <c r="N669" s="2">
        <v>71.88</v>
      </c>
      <c r="O669" s="2">
        <v>4.7619047620000003</v>
      </c>
      <c r="P669" s="2">
        <v>3.5939999999999999</v>
      </c>
      <c r="Q669" s="2">
        <v>6.4</v>
      </c>
      <c r="R669" s="3"/>
      <c r="S669" s="1"/>
      <c r="T669" s="1"/>
      <c r="U669" s="1" t="s">
        <v>37</v>
      </c>
      <c r="V669" s="1" t="s">
        <v>37</v>
      </c>
      <c r="W669" s="1" t="s">
        <v>37</v>
      </c>
    </row>
    <row r="670" spans="1:23">
      <c r="A670" s="3" t="s">
        <v>3824</v>
      </c>
      <c r="B670" s="3" t="s">
        <v>39</v>
      </c>
      <c r="C670" s="3" t="s">
        <v>40</v>
      </c>
      <c r="D670" s="3" t="s">
        <v>24</v>
      </c>
      <c r="E670" s="3" t="s">
        <v>25</v>
      </c>
      <c r="F670" s="3" t="s">
        <v>26</v>
      </c>
      <c r="G670" s="2">
        <v>47.71</v>
      </c>
      <c r="H670" s="2">
        <v>6</v>
      </c>
      <c r="I670" s="2">
        <v>14.313000000000001</v>
      </c>
      <c r="J670" s="2">
        <v>300.57299999999998</v>
      </c>
      <c r="K670" s="5">
        <v>43512</v>
      </c>
      <c r="L670" s="4">
        <v>0.59652777777777777</v>
      </c>
      <c r="M670" s="3" t="s">
        <v>33</v>
      </c>
      <c r="N670" s="2">
        <v>286.26</v>
      </c>
      <c r="O670" s="2">
        <v>4.7619047620000003</v>
      </c>
      <c r="P670" s="2">
        <v>14.313000000000001</v>
      </c>
      <c r="Q670" s="2">
        <v>4.4000000000000004</v>
      </c>
      <c r="R670" s="3"/>
      <c r="S670" s="1"/>
      <c r="T670" s="1"/>
      <c r="U670" s="1" t="s">
        <v>37</v>
      </c>
      <c r="V670" s="1" t="s">
        <v>37</v>
      </c>
      <c r="W670" s="1" t="s">
        <v>37</v>
      </c>
    </row>
    <row r="671" spans="1:23">
      <c r="A671" s="3" t="s">
        <v>3829</v>
      </c>
      <c r="B671" s="3" t="s">
        <v>115</v>
      </c>
      <c r="C671" s="3" t="s">
        <v>116</v>
      </c>
      <c r="D671" s="3" t="s">
        <v>41</v>
      </c>
      <c r="E671" s="3" t="s">
        <v>25</v>
      </c>
      <c r="F671" s="3" t="s">
        <v>72</v>
      </c>
      <c r="G671" s="2">
        <v>40.619999999999997</v>
      </c>
      <c r="H671" s="2">
        <v>2</v>
      </c>
      <c r="I671" s="2">
        <v>4.0620000000000003</v>
      </c>
      <c r="J671" s="2">
        <v>85.302000000000007</v>
      </c>
      <c r="K671" s="5">
        <v>43482</v>
      </c>
      <c r="L671" s="4">
        <v>0.41736111111111113</v>
      </c>
      <c r="M671" s="3" t="s">
        <v>59</v>
      </c>
      <c r="N671" s="2">
        <v>81.239999999999995</v>
      </c>
      <c r="O671" s="2">
        <v>4.7619047620000003</v>
      </c>
      <c r="P671" s="2">
        <v>4.0620000000000003</v>
      </c>
      <c r="Q671" s="2">
        <v>4.0999999999999996</v>
      </c>
      <c r="R671" s="3"/>
      <c r="S671" s="1"/>
      <c r="T671" s="1"/>
      <c r="U671" s="1" t="s">
        <v>37</v>
      </c>
      <c r="V671" s="1" t="s">
        <v>37</v>
      </c>
      <c r="W671" s="1" t="s">
        <v>37</v>
      </c>
    </row>
    <row r="672" spans="1:23">
      <c r="A672" s="3" t="s">
        <v>3834</v>
      </c>
      <c r="B672" s="3" t="s">
        <v>22</v>
      </c>
      <c r="C672" s="3" t="s">
        <v>23</v>
      </c>
      <c r="D672" s="3" t="s">
        <v>24</v>
      </c>
      <c r="E672" s="3" t="s">
        <v>992</v>
      </c>
      <c r="F672" s="3" t="s">
        <v>127</v>
      </c>
      <c r="G672" s="2">
        <v>56.04</v>
      </c>
      <c r="H672" s="2">
        <v>10</v>
      </c>
      <c r="I672" s="2">
        <v>28.02</v>
      </c>
      <c r="J672" s="2">
        <v>588.41999999999996</v>
      </c>
      <c r="K672" s="5">
        <v>43479</v>
      </c>
      <c r="L672" s="4">
        <v>0.8125</v>
      </c>
      <c r="M672" s="3" t="s">
        <v>33</v>
      </c>
      <c r="N672" s="2">
        <v>560.4</v>
      </c>
      <c r="O672" s="2">
        <v>4.7619047620000003</v>
      </c>
      <c r="P672" s="2">
        <v>28.02</v>
      </c>
      <c r="Q672" s="2">
        <v>4.4000000000000004</v>
      </c>
      <c r="R672" s="3"/>
      <c r="S672" s="1"/>
      <c r="T672" s="1"/>
      <c r="U672" s="1" t="s">
        <v>37</v>
      </c>
      <c r="V672" s="1" t="s">
        <v>37</v>
      </c>
      <c r="W672" s="1" t="s">
        <v>37</v>
      </c>
    </row>
    <row r="673" spans="1:23">
      <c r="A673" s="3" t="s">
        <v>3839</v>
      </c>
      <c r="B673" s="3" t="s">
        <v>115</v>
      </c>
      <c r="C673" s="3" t="s">
        <v>116</v>
      </c>
      <c r="D673" s="3" t="s">
        <v>24</v>
      </c>
      <c r="E673" s="3" t="s">
        <v>992</v>
      </c>
      <c r="F673" s="3" t="s">
        <v>117</v>
      </c>
      <c r="G673" s="2">
        <v>93.4</v>
      </c>
      <c r="H673" s="2">
        <v>2</v>
      </c>
      <c r="I673" s="2">
        <v>9.34</v>
      </c>
      <c r="J673" s="2">
        <v>196.14</v>
      </c>
      <c r="K673" s="5">
        <v>43554</v>
      </c>
      <c r="L673" s="4">
        <v>0.69027777777777777</v>
      </c>
      <c r="M673" s="3" t="s">
        <v>49</v>
      </c>
      <c r="N673" s="2">
        <v>186.8</v>
      </c>
      <c r="O673" s="2">
        <v>4.7619047620000003</v>
      </c>
      <c r="P673" s="2">
        <v>9.34</v>
      </c>
      <c r="Q673" s="2">
        <v>5.5</v>
      </c>
      <c r="R673" s="3"/>
      <c r="S673" s="1"/>
      <c r="T673" s="1"/>
      <c r="U673" s="1" t="s">
        <v>37</v>
      </c>
      <c r="V673" s="1" t="s">
        <v>37</v>
      </c>
      <c r="W673" s="1" t="s">
        <v>37</v>
      </c>
    </row>
    <row r="674" spans="1:23">
      <c r="A674" s="3" t="s">
        <v>3845</v>
      </c>
      <c r="B674" s="3" t="s">
        <v>115</v>
      </c>
      <c r="C674" s="3" t="s">
        <v>116</v>
      </c>
      <c r="D674" s="3" t="s">
        <v>41</v>
      </c>
      <c r="E674" s="3" t="s">
        <v>25</v>
      </c>
      <c r="F674" s="3" t="s">
        <v>26</v>
      </c>
      <c r="G674" s="2">
        <v>73.41</v>
      </c>
      <c r="H674" s="2">
        <v>3</v>
      </c>
      <c r="I674" s="2">
        <v>11.0115</v>
      </c>
      <c r="J674" s="2">
        <v>231.2415</v>
      </c>
      <c r="K674" s="5">
        <v>43526</v>
      </c>
      <c r="L674" s="4">
        <v>0.54861111111111116</v>
      </c>
      <c r="M674" s="3" t="s">
        <v>33</v>
      </c>
      <c r="N674" s="2">
        <v>220.23</v>
      </c>
      <c r="O674" s="2">
        <v>4.7619047620000003</v>
      </c>
      <c r="P674" s="2">
        <v>11.0115</v>
      </c>
      <c r="Q674" s="2">
        <v>4</v>
      </c>
      <c r="R674" s="3"/>
      <c r="S674" s="1"/>
      <c r="T674" s="1"/>
      <c r="U674" s="1" t="s">
        <v>37</v>
      </c>
      <c r="V674" s="1" t="s">
        <v>37</v>
      </c>
      <c r="W674" s="1" t="s">
        <v>37</v>
      </c>
    </row>
    <row r="675" spans="1:23">
      <c r="A675" s="3" t="s">
        <v>3851</v>
      </c>
      <c r="B675" s="3" t="s">
        <v>39</v>
      </c>
      <c r="C675" s="3" t="s">
        <v>40</v>
      </c>
      <c r="D675" s="3" t="s">
        <v>41</v>
      </c>
      <c r="E675" s="3" t="s">
        <v>992</v>
      </c>
      <c r="F675" s="3" t="s">
        <v>26</v>
      </c>
      <c r="G675" s="2">
        <v>33.64</v>
      </c>
      <c r="H675" s="2">
        <v>8</v>
      </c>
      <c r="I675" s="2">
        <v>13.456</v>
      </c>
      <c r="J675" s="2">
        <v>282.57600000000002</v>
      </c>
      <c r="K675" s="5">
        <v>43511</v>
      </c>
      <c r="L675" s="4">
        <v>0.71527777777777779</v>
      </c>
      <c r="M675" s="3" t="s">
        <v>59</v>
      </c>
      <c r="N675" s="2">
        <v>269.12</v>
      </c>
      <c r="O675" s="2">
        <v>4.7619047620000003</v>
      </c>
      <c r="P675" s="2">
        <v>13.456</v>
      </c>
      <c r="Q675" s="2">
        <v>9.3000000000000007</v>
      </c>
      <c r="R675" s="3"/>
      <c r="S675" s="1"/>
      <c r="T675" s="1"/>
      <c r="U675" s="1" t="s">
        <v>37</v>
      </c>
      <c r="V675" s="1" t="s">
        <v>37</v>
      </c>
      <c r="W675" s="1" t="s">
        <v>37</v>
      </c>
    </row>
    <row r="676" spans="1:23">
      <c r="A676" s="3" t="s">
        <v>3857</v>
      </c>
      <c r="B676" s="3" t="s">
        <v>22</v>
      </c>
      <c r="C676" s="3" t="s">
        <v>23</v>
      </c>
      <c r="D676" s="3" t="s">
        <v>41</v>
      </c>
      <c r="E676" s="3" t="s">
        <v>25</v>
      </c>
      <c r="F676" s="3" t="s">
        <v>42</v>
      </c>
      <c r="G676" s="2">
        <v>45.48</v>
      </c>
      <c r="H676" s="2">
        <v>10</v>
      </c>
      <c r="I676" s="2">
        <v>22.74</v>
      </c>
      <c r="J676" s="2">
        <v>477.54</v>
      </c>
      <c r="K676" s="5">
        <v>43525</v>
      </c>
      <c r="L676" s="4">
        <v>0.43194444444444446</v>
      </c>
      <c r="M676" s="3" t="s">
        <v>59</v>
      </c>
      <c r="N676" s="2">
        <v>454.8</v>
      </c>
      <c r="O676" s="2">
        <v>4.7619047620000003</v>
      </c>
      <c r="P676" s="2">
        <v>22.74</v>
      </c>
      <c r="Q676" s="2">
        <v>4.8</v>
      </c>
      <c r="R676" s="3"/>
      <c r="S676" s="1"/>
      <c r="T676" s="1"/>
      <c r="U676" s="1" t="s">
        <v>37</v>
      </c>
      <c r="V676" s="1" t="s">
        <v>37</v>
      </c>
      <c r="W676" s="1" t="s">
        <v>37</v>
      </c>
    </row>
    <row r="677" spans="1:23">
      <c r="A677" s="3" t="s">
        <v>3863</v>
      </c>
      <c r="B677" s="3" t="s">
        <v>115</v>
      </c>
      <c r="C677" s="3" t="s">
        <v>116</v>
      </c>
      <c r="D677" s="3" t="s">
        <v>24</v>
      </c>
      <c r="E677" s="3" t="s">
        <v>992</v>
      </c>
      <c r="F677" s="3" t="s">
        <v>127</v>
      </c>
      <c r="G677" s="2">
        <v>83.77</v>
      </c>
      <c r="H677" s="2">
        <v>2</v>
      </c>
      <c r="I677" s="2">
        <v>8.3770000000000007</v>
      </c>
      <c r="J677" s="2">
        <v>175.917</v>
      </c>
      <c r="K677" s="5">
        <v>43520</v>
      </c>
      <c r="L677" s="4">
        <v>0.83125000000000004</v>
      </c>
      <c r="M677" s="3" t="s">
        <v>49</v>
      </c>
      <c r="N677" s="2">
        <v>167.54</v>
      </c>
      <c r="O677" s="2">
        <v>4.7619047620000003</v>
      </c>
      <c r="P677" s="2">
        <v>8.3770000000000007</v>
      </c>
      <c r="Q677" s="2">
        <v>4.5999999999999996</v>
      </c>
      <c r="R677" s="3"/>
      <c r="S677" s="1"/>
      <c r="T677" s="1"/>
      <c r="U677" s="1" t="s">
        <v>37</v>
      </c>
      <c r="V677" s="1" t="s">
        <v>37</v>
      </c>
      <c r="W677" s="1" t="s">
        <v>37</v>
      </c>
    </row>
    <row r="678" spans="1:23">
      <c r="A678" s="3" t="s">
        <v>3864</v>
      </c>
      <c r="B678" s="3" t="s">
        <v>115</v>
      </c>
      <c r="C678" s="3" t="s">
        <v>116</v>
      </c>
      <c r="D678" s="3" t="s">
        <v>24</v>
      </c>
      <c r="E678" s="3" t="s">
        <v>25</v>
      </c>
      <c r="F678" s="3" t="s">
        <v>72</v>
      </c>
      <c r="G678" s="2">
        <v>64.08</v>
      </c>
      <c r="H678" s="2">
        <v>7</v>
      </c>
      <c r="I678" s="2">
        <v>22.428000000000001</v>
      </c>
      <c r="J678" s="2">
        <v>470.988</v>
      </c>
      <c r="K678" s="5">
        <v>43515</v>
      </c>
      <c r="L678" s="4">
        <v>0.81180555555555556</v>
      </c>
      <c r="M678" s="3" t="s">
        <v>59</v>
      </c>
      <c r="N678" s="2">
        <v>448.56</v>
      </c>
      <c r="O678" s="2">
        <v>4.7619047620000003</v>
      </c>
      <c r="P678" s="2">
        <v>22.428000000000001</v>
      </c>
      <c r="Q678" s="2">
        <v>7.3</v>
      </c>
      <c r="R678" s="3"/>
      <c r="S678" s="1"/>
      <c r="T678" s="1"/>
      <c r="U678" s="1" t="s">
        <v>37</v>
      </c>
      <c r="V678" s="1" t="s">
        <v>37</v>
      </c>
      <c r="W678" s="1" t="s">
        <v>37</v>
      </c>
    </row>
    <row r="679" spans="1:23">
      <c r="A679" s="3" t="s">
        <v>3870</v>
      </c>
      <c r="B679" s="3" t="s">
        <v>22</v>
      </c>
      <c r="C679" s="3" t="s">
        <v>23</v>
      </c>
      <c r="D679" s="3" t="s">
        <v>24</v>
      </c>
      <c r="E679" s="3" t="s">
        <v>25</v>
      </c>
      <c r="F679" s="3" t="s">
        <v>117</v>
      </c>
      <c r="G679" s="2">
        <v>73.47</v>
      </c>
      <c r="H679" s="2">
        <v>4</v>
      </c>
      <c r="I679" s="2">
        <v>14.694000000000001</v>
      </c>
      <c r="J679" s="2">
        <v>308.57400000000001</v>
      </c>
      <c r="K679" s="5">
        <v>43519</v>
      </c>
      <c r="L679" s="4">
        <v>0.77083333333333337</v>
      </c>
      <c r="M679" s="3" t="s">
        <v>49</v>
      </c>
      <c r="N679" s="2">
        <v>293.88</v>
      </c>
      <c r="O679" s="2">
        <v>4.7619047620000003</v>
      </c>
      <c r="P679" s="2">
        <v>14.694000000000001</v>
      </c>
      <c r="Q679" s="2">
        <v>6</v>
      </c>
      <c r="R679" s="3"/>
      <c r="S679" s="1"/>
      <c r="T679" s="1"/>
      <c r="U679" s="1" t="s">
        <v>37</v>
      </c>
      <c r="V679" s="1" t="s">
        <v>37</v>
      </c>
      <c r="W679" s="1" t="s">
        <v>37</v>
      </c>
    </row>
    <row r="680" spans="1:23">
      <c r="A680" s="3" t="s">
        <v>3875</v>
      </c>
      <c r="B680" s="3" t="s">
        <v>39</v>
      </c>
      <c r="C680" s="3" t="s">
        <v>40</v>
      </c>
      <c r="D680" s="3" t="s">
        <v>41</v>
      </c>
      <c r="E680" s="3" t="s">
        <v>992</v>
      </c>
      <c r="F680" s="3" t="s">
        <v>26</v>
      </c>
      <c r="G680" s="2">
        <v>58.95</v>
      </c>
      <c r="H680" s="2">
        <v>10</v>
      </c>
      <c r="I680" s="2">
        <v>29.475000000000001</v>
      </c>
      <c r="J680" s="2">
        <v>618.97500000000002</v>
      </c>
      <c r="K680" s="5">
        <v>43503</v>
      </c>
      <c r="L680" s="4">
        <v>0.6020833333333333</v>
      </c>
      <c r="M680" s="3" t="s">
        <v>33</v>
      </c>
      <c r="N680" s="2">
        <v>589.5</v>
      </c>
      <c r="O680" s="2">
        <v>4.7619047620000003</v>
      </c>
      <c r="P680" s="2">
        <v>29.475000000000001</v>
      </c>
      <c r="Q680" s="2">
        <v>8.1</v>
      </c>
      <c r="R680" s="3"/>
      <c r="S680" s="1"/>
      <c r="T680" s="1"/>
      <c r="U680" s="1" t="s">
        <v>37</v>
      </c>
      <c r="V680" s="1" t="s">
        <v>37</v>
      </c>
      <c r="W680" s="1" t="s">
        <v>37</v>
      </c>
    </row>
    <row r="681" spans="1:23">
      <c r="A681" s="3" t="s">
        <v>3881</v>
      </c>
      <c r="B681" s="3" t="s">
        <v>22</v>
      </c>
      <c r="C681" s="3" t="s">
        <v>23</v>
      </c>
      <c r="D681" s="3" t="s">
        <v>24</v>
      </c>
      <c r="E681" s="3" t="s">
        <v>992</v>
      </c>
      <c r="F681" s="3" t="s">
        <v>117</v>
      </c>
      <c r="G681" s="2">
        <v>48.5</v>
      </c>
      <c r="H681" s="2">
        <v>6</v>
      </c>
      <c r="I681" s="2">
        <v>14.55</v>
      </c>
      <c r="J681" s="2">
        <v>305.55</v>
      </c>
      <c r="K681" s="5">
        <v>43476</v>
      </c>
      <c r="L681" s="4">
        <v>0.58125000000000004</v>
      </c>
      <c r="M681" s="3" t="s">
        <v>33</v>
      </c>
      <c r="N681" s="2">
        <v>291</v>
      </c>
      <c r="O681" s="2">
        <v>4.7619047620000003</v>
      </c>
      <c r="P681" s="2">
        <v>14.55</v>
      </c>
      <c r="Q681" s="2">
        <v>9.4</v>
      </c>
      <c r="R681" s="3"/>
      <c r="S681" s="1"/>
      <c r="T681" s="1"/>
      <c r="U681" s="1" t="s">
        <v>37</v>
      </c>
      <c r="V681" s="1" t="s">
        <v>37</v>
      </c>
      <c r="W681" s="1" t="s">
        <v>37</v>
      </c>
    </row>
    <row r="682" spans="1:23">
      <c r="A682" s="3" t="s">
        <v>3885</v>
      </c>
      <c r="B682" s="3" t="s">
        <v>115</v>
      </c>
      <c r="C682" s="3" t="s">
        <v>116</v>
      </c>
      <c r="D682" s="3" t="s">
        <v>24</v>
      </c>
      <c r="E682" s="3" t="s">
        <v>25</v>
      </c>
      <c r="F682" s="3" t="s">
        <v>42</v>
      </c>
      <c r="G682" s="2">
        <v>39.479999999999997</v>
      </c>
      <c r="H682" s="2">
        <v>1</v>
      </c>
      <c r="I682" s="2">
        <v>1.974</v>
      </c>
      <c r="J682" s="2">
        <v>41.454000000000001</v>
      </c>
      <c r="K682" s="5">
        <v>43508</v>
      </c>
      <c r="L682" s="4">
        <v>0.82152777777777775</v>
      </c>
      <c r="M682" s="3" t="s">
        <v>49</v>
      </c>
      <c r="N682" s="2">
        <v>39.479999999999997</v>
      </c>
      <c r="O682" s="2">
        <v>4.7619047620000003</v>
      </c>
      <c r="P682" s="2">
        <v>1.974</v>
      </c>
      <c r="Q682" s="2">
        <v>6.5</v>
      </c>
      <c r="R682" s="3"/>
      <c r="S682" s="1"/>
      <c r="T682" s="1"/>
      <c r="U682" s="1" t="s">
        <v>37</v>
      </c>
      <c r="V682" s="1" t="s">
        <v>37</v>
      </c>
      <c r="W682" s="1" t="s">
        <v>37</v>
      </c>
    </row>
    <row r="683" spans="1:23">
      <c r="A683" s="3" t="s">
        <v>3888</v>
      </c>
      <c r="B683" s="3" t="s">
        <v>115</v>
      </c>
      <c r="C683" s="3" t="s">
        <v>116</v>
      </c>
      <c r="D683" s="3" t="s">
        <v>41</v>
      </c>
      <c r="E683" s="3" t="s">
        <v>25</v>
      </c>
      <c r="F683" s="3" t="s">
        <v>72</v>
      </c>
      <c r="G683" s="2">
        <v>34.81</v>
      </c>
      <c r="H683" s="2">
        <v>1</v>
      </c>
      <c r="I683" s="2">
        <v>1.7404999999999999</v>
      </c>
      <c r="J683" s="2">
        <v>36.5505</v>
      </c>
      <c r="K683" s="5">
        <v>43479</v>
      </c>
      <c r="L683" s="4">
        <v>0.42430555555555555</v>
      </c>
      <c r="M683" s="3" t="s">
        <v>59</v>
      </c>
      <c r="N683" s="2">
        <v>34.81</v>
      </c>
      <c r="O683" s="2">
        <v>4.7619047620000003</v>
      </c>
      <c r="P683" s="2">
        <v>1.7404999999999999</v>
      </c>
      <c r="Q683" s="2">
        <v>7</v>
      </c>
      <c r="R683" s="3"/>
      <c r="S683" s="1"/>
      <c r="T683" s="1"/>
      <c r="U683" s="1" t="s">
        <v>37</v>
      </c>
      <c r="V683" s="1" t="s">
        <v>37</v>
      </c>
      <c r="W683" s="1" t="s">
        <v>37</v>
      </c>
    </row>
    <row r="684" spans="1:23">
      <c r="A684" s="3" t="s">
        <v>3892</v>
      </c>
      <c r="B684" s="3" t="s">
        <v>39</v>
      </c>
      <c r="C684" s="3" t="s">
        <v>40</v>
      </c>
      <c r="D684" s="3" t="s">
        <v>41</v>
      </c>
      <c r="E684" s="3" t="s">
        <v>25</v>
      </c>
      <c r="F684" s="3" t="s">
        <v>127</v>
      </c>
      <c r="G684" s="2">
        <v>49.32</v>
      </c>
      <c r="H684" s="2">
        <v>6</v>
      </c>
      <c r="I684" s="2">
        <v>14.795999999999999</v>
      </c>
      <c r="J684" s="2">
        <v>310.71600000000001</v>
      </c>
      <c r="K684" s="5">
        <v>43474</v>
      </c>
      <c r="L684" s="4">
        <v>0.57361111111111107</v>
      </c>
      <c r="M684" s="3" t="s">
        <v>33</v>
      </c>
      <c r="N684" s="2">
        <v>295.92</v>
      </c>
      <c r="O684" s="2">
        <v>4.7619047620000003</v>
      </c>
      <c r="P684" s="2">
        <v>14.795999999999999</v>
      </c>
      <c r="Q684" s="2">
        <v>7.1</v>
      </c>
      <c r="R684" s="3"/>
      <c r="S684" s="1"/>
      <c r="T684" s="1"/>
      <c r="U684" s="1" t="s">
        <v>37</v>
      </c>
      <c r="V684" s="1" t="s">
        <v>37</v>
      </c>
      <c r="W684" s="1" t="s">
        <v>37</v>
      </c>
    </row>
    <row r="685" spans="1:23">
      <c r="A685" s="3" t="s">
        <v>3897</v>
      </c>
      <c r="B685" s="3" t="s">
        <v>22</v>
      </c>
      <c r="C685" s="3" t="s">
        <v>23</v>
      </c>
      <c r="D685" s="3" t="s">
        <v>24</v>
      </c>
      <c r="E685" s="3" t="s">
        <v>992</v>
      </c>
      <c r="F685" s="3" t="s">
        <v>127</v>
      </c>
      <c r="G685" s="2">
        <v>21.48</v>
      </c>
      <c r="H685" s="2">
        <v>2</v>
      </c>
      <c r="I685" s="2">
        <v>2.1480000000000001</v>
      </c>
      <c r="J685" s="2">
        <v>45.107999999999997</v>
      </c>
      <c r="K685" s="5">
        <v>43523</v>
      </c>
      <c r="L685" s="4">
        <v>0.51527777777777772</v>
      </c>
      <c r="M685" s="3" t="s">
        <v>33</v>
      </c>
      <c r="N685" s="2">
        <v>42.96</v>
      </c>
      <c r="O685" s="2">
        <v>4.7619047620000003</v>
      </c>
      <c r="P685" s="2">
        <v>2.1480000000000001</v>
      </c>
      <c r="Q685" s="2">
        <v>6.6</v>
      </c>
      <c r="R685" s="3"/>
      <c r="S685" s="1"/>
      <c r="T685" s="1"/>
      <c r="U685" s="1" t="s">
        <v>37</v>
      </c>
      <c r="V685" s="1" t="s">
        <v>37</v>
      </c>
      <c r="W685" s="1" t="s">
        <v>37</v>
      </c>
    </row>
    <row r="686" spans="1:23">
      <c r="A686" s="3" t="s">
        <v>3903</v>
      </c>
      <c r="B686" s="3" t="s">
        <v>115</v>
      </c>
      <c r="C686" s="3" t="s">
        <v>116</v>
      </c>
      <c r="D686" s="3" t="s">
        <v>24</v>
      </c>
      <c r="E686" s="3" t="s">
        <v>25</v>
      </c>
      <c r="F686" s="3" t="s">
        <v>72</v>
      </c>
      <c r="G686" s="2">
        <v>23.08</v>
      </c>
      <c r="H686" s="2">
        <v>6</v>
      </c>
      <c r="I686" s="2">
        <v>6.9240000000000004</v>
      </c>
      <c r="J686" s="2">
        <v>145.404</v>
      </c>
      <c r="K686" s="5">
        <v>43489</v>
      </c>
      <c r="L686" s="4">
        <v>0.80555555555555558</v>
      </c>
      <c r="M686" s="3" t="s">
        <v>33</v>
      </c>
      <c r="N686" s="2">
        <v>138.47999999999999</v>
      </c>
      <c r="O686" s="2">
        <v>4.7619047620000003</v>
      </c>
      <c r="P686" s="2">
        <v>6.9240000000000004</v>
      </c>
      <c r="Q686" s="2">
        <v>4.9000000000000004</v>
      </c>
      <c r="R686" s="3"/>
      <c r="S686" s="1"/>
      <c r="T686" s="1"/>
      <c r="U686" s="1" t="s">
        <v>37</v>
      </c>
      <c r="V686" s="1" t="s">
        <v>37</v>
      </c>
      <c r="W686" s="1" t="s">
        <v>37</v>
      </c>
    </row>
    <row r="687" spans="1:23">
      <c r="A687" s="3" t="s">
        <v>3908</v>
      </c>
      <c r="B687" s="3" t="s">
        <v>115</v>
      </c>
      <c r="C687" s="3" t="s">
        <v>116</v>
      </c>
      <c r="D687" s="3" t="s">
        <v>24</v>
      </c>
      <c r="E687" s="3" t="s">
        <v>25</v>
      </c>
      <c r="F687" s="3" t="s">
        <v>53</v>
      </c>
      <c r="G687" s="2">
        <v>49.1</v>
      </c>
      <c r="H687" s="2">
        <v>2</v>
      </c>
      <c r="I687" s="2">
        <v>4.91</v>
      </c>
      <c r="J687" s="2">
        <v>103.11</v>
      </c>
      <c r="K687" s="5">
        <v>43473</v>
      </c>
      <c r="L687" s="4">
        <v>0.54027777777777775</v>
      </c>
      <c r="M687" s="3" t="s">
        <v>59</v>
      </c>
      <c r="N687" s="2">
        <v>98.2</v>
      </c>
      <c r="O687" s="2">
        <v>4.7619047620000003</v>
      </c>
      <c r="P687" s="2">
        <v>4.91</v>
      </c>
      <c r="Q687" s="2">
        <v>6.4</v>
      </c>
      <c r="R687" s="3"/>
      <c r="S687" s="1"/>
      <c r="T687" s="1"/>
      <c r="U687" s="1" t="s">
        <v>37</v>
      </c>
      <c r="V687" s="1" t="s">
        <v>37</v>
      </c>
      <c r="W687" s="1" t="s">
        <v>37</v>
      </c>
    </row>
    <row r="688" spans="1:23">
      <c r="A688" s="3" t="s">
        <v>3913</v>
      </c>
      <c r="B688" s="3" t="s">
        <v>115</v>
      </c>
      <c r="C688" s="3" t="s">
        <v>116</v>
      </c>
      <c r="D688" s="3" t="s">
        <v>24</v>
      </c>
      <c r="E688" s="3" t="s">
        <v>25</v>
      </c>
      <c r="F688" s="3" t="s">
        <v>72</v>
      </c>
      <c r="G688" s="2">
        <v>64.83</v>
      </c>
      <c r="H688" s="2">
        <v>2</v>
      </c>
      <c r="I688" s="2">
        <v>6.4829999999999997</v>
      </c>
      <c r="J688" s="2">
        <v>136.143</v>
      </c>
      <c r="K688" s="5">
        <v>43473</v>
      </c>
      <c r="L688" s="4">
        <v>0.49930555555555556</v>
      </c>
      <c r="M688" s="3" t="s">
        <v>59</v>
      </c>
      <c r="N688" s="2">
        <v>129.66</v>
      </c>
      <c r="O688" s="2">
        <v>4.7619047620000003</v>
      </c>
      <c r="P688" s="2">
        <v>6.4829999999999997</v>
      </c>
      <c r="Q688" s="2">
        <v>8</v>
      </c>
      <c r="R688" s="3"/>
      <c r="S688" s="1"/>
      <c r="T688" s="1"/>
      <c r="U688" s="1" t="s">
        <v>37</v>
      </c>
      <c r="V688" s="1" t="s">
        <v>37</v>
      </c>
      <c r="W688" s="1" t="s">
        <v>37</v>
      </c>
    </row>
    <row r="689" spans="1:23">
      <c r="A689" s="3" t="s">
        <v>3919</v>
      </c>
      <c r="B689" s="3" t="s">
        <v>22</v>
      </c>
      <c r="C689" s="3" t="s">
        <v>23</v>
      </c>
      <c r="D689" s="3" t="s">
        <v>24</v>
      </c>
      <c r="E689" s="3" t="s">
        <v>992</v>
      </c>
      <c r="F689" s="3" t="s">
        <v>53</v>
      </c>
      <c r="G689" s="2">
        <v>63.56</v>
      </c>
      <c r="H689" s="2">
        <v>10</v>
      </c>
      <c r="I689" s="2">
        <v>31.78</v>
      </c>
      <c r="J689" s="2">
        <v>667.38</v>
      </c>
      <c r="K689" s="5">
        <v>43481</v>
      </c>
      <c r="L689" s="4">
        <v>0.74930555555555556</v>
      </c>
      <c r="M689" s="3" t="s">
        <v>49</v>
      </c>
      <c r="N689" s="2">
        <v>635.6</v>
      </c>
      <c r="O689" s="2">
        <v>4.7619047620000003</v>
      </c>
      <c r="P689" s="2">
        <v>31.78</v>
      </c>
      <c r="Q689" s="2">
        <v>4.3</v>
      </c>
      <c r="R689" s="3"/>
      <c r="S689" s="1"/>
      <c r="T689" s="1"/>
      <c r="U689" s="1" t="s">
        <v>37</v>
      </c>
      <c r="V689" s="1" t="s">
        <v>37</v>
      </c>
      <c r="W689" s="1" t="s">
        <v>37</v>
      </c>
    </row>
    <row r="690" spans="1:23">
      <c r="A690" s="3" t="s">
        <v>3925</v>
      </c>
      <c r="B690" s="3" t="s">
        <v>39</v>
      </c>
      <c r="C690" s="3" t="s">
        <v>40</v>
      </c>
      <c r="D690" s="3" t="s">
        <v>24</v>
      </c>
      <c r="E690" s="3" t="s">
        <v>992</v>
      </c>
      <c r="F690" s="3" t="s">
        <v>72</v>
      </c>
      <c r="G690" s="2">
        <v>72.88</v>
      </c>
      <c r="H690" s="2">
        <v>2</v>
      </c>
      <c r="I690" s="2">
        <v>7.2880000000000003</v>
      </c>
      <c r="J690" s="2">
        <v>153.048</v>
      </c>
      <c r="K690" s="5">
        <v>43537</v>
      </c>
      <c r="L690" s="4">
        <v>0.53541666666666665</v>
      </c>
      <c r="M690" s="3" t="s">
        <v>49</v>
      </c>
      <c r="N690" s="2">
        <v>145.76</v>
      </c>
      <c r="O690" s="2">
        <v>4.7619047620000003</v>
      </c>
      <c r="P690" s="2">
        <v>7.2880000000000003</v>
      </c>
      <c r="Q690" s="2">
        <v>6.1</v>
      </c>
      <c r="R690" s="3"/>
      <c r="S690" s="1"/>
      <c r="T690" s="1"/>
      <c r="U690" s="1" t="s">
        <v>37</v>
      </c>
      <c r="V690" s="1" t="s">
        <v>37</v>
      </c>
      <c r="W690" s="1" t="s">
        <v>37</v>
      </c>
    </row>
    <row r="691" spans="1:23">
      <c r="A691" s="3" t="s">
        <v>3931</v>
      </c>
      <c r="B691" s="3" t="s">
        <v>22</v>
      </c>
      <c r="C691" s="3" t="s">
        <v>23</v>
      </c>
      <c r="D691" s="3" t="s">
        <v>41</v>
      </c>
      <c r="E691" s="3" t="s">
        <v>25</v>
      </c>
      <c r="F691" s="3" t="s">
        <v>117</v>
      </c>
      <c r="G691" s="2">
        <v>67.099999999999994</v>
      </c>
      <c r="H691" s="2">
        <v>3</v>
      </c>
      <c r="I691" s="2">
        <v>10.065</v>
      </c>
      <c r="J691" s="2">
        <v>211.36500000000001</v>
      </c>
      <c r="K691" s="5">
        <v>43511</v>
      </c>
      <c r="L691" s="4">
        <v>0.44166666666666665</v>
      </c>
      <c r="M691" s="3" t="s">
        <v>49</v>
      </c>
      <c r="N691" s="2">
        <v>201.3</v>
      </c>
      <c r="O691" s="2">
        <v>4.7619047620000003</v>
      </c>
      <c r="P691" s="2">
        <v>10.065</v>
      </c>
      <c r="Q691" s="2">
        <v>7.5</v>
      </c>
      <c r="R691" s="3"/>
      <c r="S691" s="1"/>
      <c r="T691" s="1"/>
      <c r="U691" s="1" t="s">
        <v>37</v>
      </c>
      <c r="V691" s="1" t="s">
        <v>37</v>
      </c>
      <c r="W691" s="1" t="s">
        <v>37</v>
      </c>
    </row>
    <row r="692" spans="1:23">
      <c r="A692" s="3" t="s">
        <v>3936</v>
      </c>
      <c r="B692" s="3" t="s">
        <v>39</v>
      </c>
      <c r="C692" s="3" t="s">
        <v>40</v>
      </c>
      <c r="D692" s="3" t="s">
        <v>24</v>
      </c>
      <c r="E692" s="3" t="s">
        <v>25</v>
      </c>
      <c r="F692" s="3" t="s">
        <v>72</v>
      </c>
      <c r="G692" s="2">
        <v>70.19</v>
      </c>
      <c r="H692" s="2">
        <v>9</v>
      </c>
      <c r="I692" s="2">
        <v>31.5855</v>
      </c>
      <c r="J692" s="2">
        <v>663.29549999999995</v>
      </c>
      <c r="K692" s="5">
        <v>43490</v>
      </c>
      <c r="L692" s="4">
        <v>0.56805555555555554</v>
      </c>
      <c r="M692" s="3" t="s">
        <v>49</v>
      </c>
      <c r="N692" s="2">
        <v>631.71</v>
      </c>
      <c r="O692" s="2">
        <v>4.7619047620000003</v>
      </c>
      <c r="P692" s="2">
        <v>31.5855</v>
      </c>
      <c r="Q692" s="2">
        <v>6.7</v>
      </c>
      <c r="R692" s="3"/>
      <c r="S692" s="1"/>
      <c r="T692" s="1"/>
      <c r="U692" s="1" t="s">
        <v>37</v>
      </c>
      <c r="V692" s="1" t="s">
        <v>37</v>
      </c>
      <c r="W692" s="1" t="s">
        <v>37</v>
      </c>
    </row>
    <row r="693" spans="1:23">
      <c r="A693" s="3" t="s">
        <v>3941</v>
      </c>
      <c r="B693" s="3" t="s">
        <v>39</v>
      </c>
      <c r="C693" s="3" t="s">
        <v>40</v>
      </c>
      <c r="D693" s="3" t="s">
        <v>24</v>
      </c>
      <c r="E693" s="3" t="s">
        <v>992</v>
      </c>
      <c r="F693" s="3" t="s">
        <v>117</v>
      </c>
      <c r="G693" s="2">
        <v>55.04</v>
      </c>
      <c r="H693" s="2">
        <v>7</v>
      </c>
      <c r="I693" s="2">
        <v>19.263999999999999</v>
      </c>
      <c r="J693" s="2">
        <v>404.54399999999998</v>
      </c>
      <c r="K693" s="5">
        <v>43536</v>
      </c>
      <c r="L693" s="4">
        <v>0.81874999999999998</v>
      </c>
      <c r="M693" s="3" t="s">
        <v>33</v>
      </c>
      <c r="N693" s="2">
        <v>385.28</v>
      </c>
      <c r="O693" s="2">
        <v>4.7619047620000003</v>
      </c>
      <c r="P693" s="2">
        <v>19.263999999999999</v>
      </c>
      <c r="Q693" s="2">
        <v>5.2</v>
      </c>
      <c r="R693" s="3"/>
      <c r="S693" s="1"/>
      <c r="T693" s="1"/>
      <c r="U693" s="1" t="s">
        <v>37</v>
      </c>
      <c r="V693" s="1" t="s">
        <v>37</v>
      </c>
      <c r="W693" s="1" t="s">
        <v>37</v>
      </c>
    </row>
    <row r="694" spans="1:23">
      <c r="A694" s="3" t="s">
        <v>3946</v>
      </c>
      <c r="B694" s="3" t="s">
        <v>22</v>
      </c>
      <c r="C694" s="3" t="s">
        <v>23</v>
      </c>
      <c r="D694" s="3" t="s">
        <v>24</v>
      </c>
      <c r="E694" s="3" t="s">
        <v>992</v>
      </c>
      <c r="F694" s="3" t="s">
        <v>26</v>
      </c>
      <c r="G694" s="2">
        <v>48.63</v>
      </c>
      <c r="H694" s="2">
        <v>10</v>
      </c>
      <c r="I694" s="2">
        <v>24.315000000000001</v>
      </c>
      <c r="J694" s="2">
        <v>510.61500000000001</v>
      </c>
      <c r="K694" s="5">
        <v>43528</v>
      </c>
      <c r="L694" s="4">
        <v>0.53055555555555556</v>
      </c>
      <c r="M694" s="3" t="s">
        <v>49</v>
      </c>
      <c r="N694" s="2">
        <v>486.3</v>
      </c>
      <c r="O694" s="2">
        <v>4.7619047620000003</v>
      </c>
      <c r="P694" s="2">
        <v>24.315000000000001</v>
      </c>
      <c r="Q694" s="2">
        <v>8.8000000000000007</v>
      </c>
      <c r="R694" s="3"/>
      <c r="S694" s="1"/>
      <c r="T694" s="1"/>
      <c r="U694" s="1" t="s">
        <v>37</v>
      </c>
      <c r="V694" s="1" t="s">
        <v>37</v>
      </c>
      <c r="W694" s="1" t="s">
        <v>37</v>
      </c>
    </row>
    <row r="695" spans="1:23">
      <c r="A695" s="3" t="s">
        <v>3950</v>
      </c>
      <c r="B695" s="3" t="s">
        <v>39</v>
      </c>
      <c r="C695" s="3" t="s">
        <v>40</v>
      </c>
      <c r="D695" s="3" t="s">
        <v>24</v>
      </c>
      <c r="E695" s="3" t="s">
        <v>25</v>
      </c>
      <c r="F695" s="3" t="s">
        <v>127</v>
      </c>
      <c r="G695" s="2">
        <v>73.38</v>
      </c>
      <c r="H695" s="2">
        <v>7</v>
      </c>
      <c r="I695" s="2">
        <v>25.683</v>
      </c>
      <c r="J695" s="2">
        <v>539.34299999999996</v>
      </c>
      <c r="K695" s="5">
        <v>43506</v>
      </c>
      <c r="L695" s="4">
        <v>0.5805555555555556</v>
      </c>
      <c r="M695" s="3" t="s">
        <v>49</v>
      </c>
      <c r="N695" s="2">
        <v>513.66</v>
      </c>
      <c r="O695" s="2">
        <v>4.7619047620000003</v>
      </c>
      <c r="P695" s="2">
        <v>25.683</v>
      </c>
      <c r="Q695" s="2">
        <v>9.5</v>
      </c>
      <c r="R695" s="3"/>
      <c r="S695" s="1"/>
      <c r="T695" s="1"/>
      <c r="U695" s="1" t="s">
        <v>37</v>
      </c>
      <c r="V695" s="1" t="s">
        <v>37</v>
      </c>
      <c r="W695" s="1" t="s">
        <v>37</v>
      </c>
    </row>
    <row r="696" spans="1:23">
      <c r="A696" s="3" t="s">
        <v>3956</v>
      </c>
      <c r="B696" s="3" t="s">
        <v>39</v>
      </c>
      <c r="C696" s="3" t="s">
        <v>40</v>
      </c>
      <c r="D696" s="3" t="s">
        <v>41</v>
      </c>
      <c r="E696" s="3" t="s">
        <v>25</v>
      </c>
      <c r="F696" s="3" t="s">
        <v>117</v>
      </c>
      <c r="G696" s="2">
        <v>52.6</v>
      </c>
      <c r="H696" s="2">
        <v>9</v>
      </c>
      <c r="I696" s="2">
        <v>23.67</v>
      </c>
      <c r="J696" s="2">
        <v>497.07</v>
      </c>
      <c r="K696" s="5">
        <v>43481</v>
      </c>
      <c r="L696" s="4">
        <v>0.61250000000000004</v>
      </c>
      <c r="M696" s="3" t="s">
        <v>49</v>
      </c>
      <c r="N696" s="2">
        <v>473.4</v>
      </c>
      <c r="O696" s="2">
        <v>4.7619047620000003</v>
      </c>
      <c r="P696" s="2">
        <v>23.67</v>
      </c>
      <c r="Q696" s="2">
        <v>7.6</v>
      </c>
      <c r="R696" s="3"/>
      <c r="S696" s="1"/>
      <c r="T696" s="1"/>
      <c r="U696" s="1" t="s">
        <v>37</v>
      </c>
      <c r="V696" s="1" t="s">
        <v>37</v>
      </c>
      <c r="W696" s="1" t="s">
        <v>37</v>
      </c>
    </row>
    <row r="697" spans="1:23">
      <c r="A697" s="3" t="s">
        <v>3961</v>
      </c>
      <c r="B697" s="3" t="s">
        <v>22</v>
      </c>
      <c r="C697" s="3" t="s">
        <v>23</v>
      </c>
      <c r="D697" s="3" t="s">
        <v>24</v>
      </c>
      <c r="E697" s="3" t="s">
        <v>25</v>
      </c>
      <c r="F697" s="3" t="s">
        <v>53</v>
      </c>
      <c r="G697" s="2">
        <v>87.37</v>
      </c>
      <c r="H697" s="2">
        <v>5</v>
      </c>
      <c r="I697" s="2">
        <v>21.842500000000001</v>
      </c>
      <c r="J697" s="2">
        <v>458.6925</v>
      </c>
      <c r="K697" s="5">
        <v>43494</v>
      </c>
      <c r="L697" s="4">
        <v>0.82291666666666663</v>
      </c>
      <c r="M697" s="3" t="s">
        <v>49</v>
      </c>
      <c r="N697" s="2">
        <v>436.85</v>
      </c>
      <c r="O697" s="2">
        <v>4.7619047620000003</v>
      </c>
      <c r="P697" s="2">
        <v>21.842500000000001</v>
      </c>
      <c r="Q697" s="2">
        <v>6.6</v>
      </c>
      <c r="R697" s="3"/>
      <c r="S697" s="1"/>
      <c r="T697" s="1"/>
      <c r="U697" s="1" t="s">
        <v>37</v>
      </c>
      <c r="V697" s="1" t="s">
        <v>37</v>
      </c>
      <c r="W697" s="1" t="s">
        <v>37</v>
      </c>
    </row>
    <row r="698" spans="1:23">
      <c r="A698" s="3" t="s">
        <v>3967</v>
      </c>
      <c r="B698" s="3" t="s">
        <v>22</v>
      </c>
      <c r="C698" s="3" t="s">
        <v>23</v>
      </c>
      <c r="D698" s="3" t="s">
        <v>24</v>
      </c>
      <c r="E698" s="3" t="s">
        <v>25</v>
      </c>
      <c r="F698" s="3" t="s">
        <v>72</v>
      </c>
      <c r="G698" s="2">
        <v>27.04</v>
      </c>
      <c r="H698" s="2">
        <v>4</v>
      </c>
      <c r="I698" s="2">
        <v>5.4080000000000004</v>
      </c>
      <c r="J698" s="2">
        <v>113.568</v>
      </c>
      <c r="K698" s="5">
        <v>43466</v>
      </c>
      <c r="L698" s="4">
        <v>0.85138888888888886</v>
      </c>
      <c r="M698" s="3" t="s">
        <v>33</v>
      </c>
      <c r="N698" s="2">
        <v>108.16</v>
      </c>
      <c r="O698" s="2">
        <v>4.7619047620000003</v>
      </c>
      <c r="P698" s="2">
        <v>5.4080000000000004</v>
      </c>
      <c r="Q698" s="2">
        <v>6.9</v>
      </c>
      <c r="R698" s="3"/>
      <c r="S698" s="1"/>
      <c r="T698" s="1"/>
      <c r="U698" s="1" t="s">
        <v>37</v>
      </c>
      <c r="V698" s="1" t="s">
        <v>37</v>
      </c>
      <c r="W698" s="1" t="s">
        <v>37</v>
      </c>
    </row>
    <row r="699" spans="1:23">
      <c r="A699" s="3" t="s">
        <v>3972</v>
      </c>
      <c r="B699" s="3" t="s">
        <v>115</v>
      </c>
      <c r="C699" s="3" t="s">
        <v>116</v>
      </c>
      <c r="D699" s="3" t="s">
        <v>41</v>
      </c>
      <c r="E699" s="3" t="s">
        <v>992</v>
      </c>
      <c r="F699" s="3" t="s">
        <v>53</v>
      </c>
      <c r="G699" s="2">
        <v>62.19</v>
      </c>
      <c r="H699" s="2">
        <v>4</v>
      </c>
      <c r="I699" s="2">
        <v>12.438000000000001</v>
      </c>
      <c r="J699" s="2">
        <v>261.19799999999998</v>
      </c>
      <c r="K699" s="5">
        <v>43471</v>
      </c>
      <c r="L699" s="4">
        <v>0.82361111111111107</v>
      </c>
      <c r="M699" s="3" t="s">
        <v>33</v>
      </c>
      <c r="N699" s="2">
        <v>248.76</v>
      </c>
      <c r="O699" s="2">
        <v>4.7619047620000003</v>
      </c>
      <c r="P699" s="2">
        <v>12.438000000000001</v>
      </c>
      <c r="Q699" s="2">
        <v>4.3</v>
      </c>
      <c r="R699" s="3"/>
      <c r="S699" s="1"/>
      <c r="T699" s="1"/>
      <c r="U699" s="1" t="s">
        <v>37</v>
      </c>
      <c r="V699" s="1" t="s">
        <v>37</v>
      </c>
      <c r="W699" s="1" t="s">
        <v>37</v>
      </c>
    </row>
    <row r="700" spans="1:23">
      <c r="A700" s="3" t="s">
        <v>3977</v>
      </c>
      <c r="B700" s="3" t="s">
        <v>22</v>
      </c>
      <c r="C700" s="3" t="s">
        <v>23</v>
      </c>
      <c r="D700" s="3" t="s">
        <v>24</v>
      </c>
      <c r="E700" s="3" t="s">
        <v>992</v>
      </c>
      <c r="F700" s="3" t="s">
        <v>42</v>
      </c>
      <c r="G700" s="2">
        <v>69.58</v>
      </c>
      <c r="H700" s="2">
        <v>9</v>
      </c>
      <c r="I700" s="2">
        <v>31.311</v>
      </c>
      <c r="J700" s="2">
        <v>657.53099999999995</v>
      </c>
      <c r="K700" s="5">
        <v>43515</v>
      </c>
      <c r="L700" s="4">
        <v>0.81805555555555554</v>
      </c>
      <c r="M700" s="3" t="s">
        <v>59</v>
      </c>
      <c r="N700" s="2">
        <v>626.22</v>
      </c>
      <c r="O700" s="2">
        <v>4.7619047620000003</v>
      </c>
      <c r="P700" s="2">
        <v>31.311</v>
      </c>
      <c r="Q700" s="2">
        <v>7.8</v>
      </c>
      <c r="R700" s="3"/>
      <c r="S700" s="1"/>
      <c r="T700" s="1"/>
      <c r="U700" s="1" t="s">
        <v>37</v>
      </c>
      <c r="V700" s="1" t="s">
        <v>37</v>
      </c>
      <c r="W700" s="1" t="s">
        <v>37</v>
      </c>
    </row>
    <row r="701" spans="1:23">
      <c r="A701" s="3" t="s">
        <v>3982</v>
      </c>
      <c r="B701" s="3" t="s">
        <v>39</v>
      </c>
      <c r="C701" s="3" t="s">
        <v>40</v>
      </c>
      <c r="D701" s="3" t="s">
        <v>41</v>
      </c>
      <c r="E701" s="3" t="s">
        <v>992</v>
      </c>
      <c r="F701" s="3" t="s">
        <v>53</v>
      </c>
      <c r="G701" s="2">
        <v>97.5</v>
      </c>
      <c r="H701" s="2">
        <v>10</v>
      </c>
      <c r="I701" s="2">
        <v>48.75</v>
      </c>
      <c r="J701" s="2">
        <v>1023.75</v>
      </c>
      <c r="K701" s="5">
        <v>43477</v>
      </c>
      <c r="L701" s="4">
        <v>0.6791666666666667</v>
      </c>
      <c r="M701" s="3" t="s">
        <v>33</v>
      </c>
      <c r="N701" s="2">
        <v>975</v>
      </c>
      <c r="O701" s="2">
        <v>4.7619047620000003</v>
      </c>
      <c r="P701" s="2">
        <v>48.75</v>
      </c>
      <c r="Q701" s="2">
        <v>8</v>
      </c>
      <c r="R701" s="3"/>
      <c r="S701" s="1"/>
      <c r="T701" s="1"/>
      <c r="U701" s="1" t="s">
        <v>37</v>
      </c>
      <c r="V701" s="1" t="s">
        <v>37</v>
      </c>
      <c r="W701" s="1" t="s">
        <v>37</v>
      </c>
    </row>
    <row r="702" spans="1:23">
      <c r="A702" s="3" t="s">
        <v>3988</v>
      </c>
      <c r="B702" s="3" t="s">
        <v>39</v>
      </c>
      <c r="C702" s="3" t="s">
        <v>40</v>
      </c>
      <c r="D702" s="3" t="s">
        <v>41</v>
      </c>
      <c r="E702" s="3" t="s">
        <v>25</v>
      </c>
      <c r="F702" s="3" t="s">
        <v>127</v>
      </c>
      <c r="G702" s="2">
        <v>60.41</v>
      </c>
      <c r="H702" s="2">
        <v>8</v>
      </c>
      <c r="I702" s="2">
        <v>24.164000000000001</v>
      </c>
      <c r="J702" s="2">
        <v>507.44400000000002</v>
      </c>
      <c r="K702" s="5">
        <v>43503</v>
      </c>
      <c r="L702" s="4">
        <v>0.51597222222222228</v>
      </c>
      <c r="M702" s="3" t="s">
        <v>33</v>
      </c>
      <c r="N702" s="2">
        <v>483.28</v>
      </c>
      <c r="O702" s="2">
        <v>4.7619047620000003</v>
      </c>
      <c r="P702" s="2">
        <v>24.164000000000001</v>
      </c>
      <c r="Q702" s="2">
        <v>9.6</v>
      </c>
      <c r="R702" s="3"/>
      <c r="S702" s="1"/>
      <c r="T702" s="1"/>
      <c r="U702" s="1" t="s">
        <v>37</v>
      </c>
      <c r="V702" s="1" t="s">
        <v>37</v>
      </c>
      <c r="W702" s="1" t="s">
        <v>37</v>
      </c>
    </row>
    <row r="703" spans="1:23">
      <c r="A703" s="3" t="s">
        <v>3993</v>
      </c>
      <c r="B703" s="3" t="s">
        <v>115</v>
      </c>
      <c r="C703" s="3" t="s">
        <v>116</v>
      </c>
      <c r="D703" s="3" t="s">
        <v>41</v>
      </c>
      <c r="E703" s="3" t="s">
        <v>992</v>
      </c>
      <c r="F703" s="3" t="s">
        <v>117</v>
      </c>
      <c r="G703" s="2">
        <v>32.32</v>
      </c>
      <c r="H703" s="2">
        <v>3</v>
      </c>
      <c r="I703" s="2">
        <v>4.8479999999999999</v>
      </c>
      <c r="J703" s="2">
        <v>101.80800000000001</v>
      </c>
      <c r="K703" s="5">
        <v>43551</v>
      </c>
      <c r="L703" s="4">
        <v>0.7993055555555556</v>
      </c>
      <c r="M703" s="3" t="s">
        <v>59</v>
      </c>
      <c r="N703" s="2">
        <v>96.96</v>
      </c>
      <c r="O703" s="2">
        <v>4.7619047620000003</v>
      </c>
      <c r="P703" s="2">
        <v>4.8479999999999999</v>
      </c>
      <c r="Q703" s="2">
        <v>4.3</v>
      </c>
      <c r="R703" s="3"/>
      <c r="S703" s="1"/>
      <c r="T703" s="1"/>
      <c r="U703" s="1" t="s">
        <v>37</v>
      </c>
      <c r="V703" s="1" t="s">
        <v>37</v>
      </c>
      <c r="W703" s="1" t="s">
        <v>37</v>
      </c>
    </row>
    <row r="704" spans="1:23">
      <c r="A704" s="3" t="s">
        <v>3997</v>
      </c>
      <c r="B704" s="3" t="s">
        <v>115</v>
      </c>
      <c r="C704" s="3" t="s">
        <v>116</v>
      </c>
      <c r="D704" s="3" t="s">
        <v>24</v>
      </c>
      <c r="E704" s="3" t="s">
        <v>25</v>
      </c>
      <c r="F704" s="3" t="s">
        <v>127</v>
      </c>
      <c r="G704" s="2">
        <v>19.77</v>
      </c>
      <c r="H704" s="2">
        <v>10</v>
      </c>
      <c r="I704" s="2">
        <v>9.8849999999999998</v>
      </c>
      <c r="J704" s="2">
        <v>207.58500000000001</v>
      </c>
      <c r="K704" s="5">
        <v>43523</v>
      </c>
      <c r="L704" s="4">
        <v>0.7895833333333333</v>
      </c>
      <c r="M704" s="3" t="s">
        <v>59</v>
      </c>
      <c r="N704" s="2">
        <v>197.7</v>
      </c>
      <c r="O704" s="2">
        <v>4.7619047620000003</v>
      </c>
      <c r="P704" s="2">
        <v>9.8849999999999998</v>
      </c>
      <c r="Q704" s="2">
        <v>5</v>
      </c>
      <c r="R704" s="3"/>
      <c r="S704" s="1"/>
      <c r="T704" s="1"/>
      <c r="U704" s="1" t="s">
        <v>37</v>
      </c>
      <c r="V704" s="1" t="s">
        <v>37</v>
      </c>
      <c r="W704" s="1" t="s">
        <v>37</v>
      </c>
    </row>
    <row r="705" spans="1:23">
      <c r="A705" s="3" t="s">
        <v>4003</v>
      </c>
      <c r="B705" s="3" t="s">
        <v>115</v>
      </c>
      <c r="C705" s="3" t="s">
        <v>116</v>
      </c>
      <c r="D705" s="3" t="s">
        <v>24</v>
      </c>
      <c r="E705" s="3" t="s">
        <v>992</v>
      </c>
      <c r="F705" s="3" t="s">
        <v>26</v>
      </c>
      <c r="G705" s="2">
        <v>80.47</v>
      </c>
      <c r="H705" s="2">
        <v>9</v>
      </c>
      <c r="I705" s="2">
        <v>36.211500000000001</v>
      </c>
      <c r="J705" s="2">
        <v>760.44150000000002</v>
      </c>
      <c r="K705" s="5">
        <v>43471</v>
      </c>
      <c r="L705" s="4">
        <v>0.47083333333333333</v>
      </c>
      <c r="M705" s="3" t="s">
        <v>49</v>
      </c>
      <c r="N705" s="2">
        <v>724.23</v>
      </c>
      <c r="O705" s="2">
        <v>4.7619047620000003</v>
      </c>
      <c r="P705" s="2">
        <v>36.211500000000001</v>
      </c>
      <c r="Q705" s="2">
        <v>9.1999999999999993</v>
      </c>
      <c r="R705" s="3"/>
      <c r="S705" s="1"/>
      <c r="T705" s="1"/>
      <c r="U705" s="1" t="s">
        <v>37</v>
      </c>
      <c r="V705" s="1" t="s">
        <v>37</v>
      </c>
      <c r="W705" s="1" t="s">
        <v>37</v>
      </c>
    </row>
    <row r="706" spans="1:23">
      <c r="A706" s="3" t="s">
        <v>4009</v>
      </c>
      <c r="B706" s="3" t="s">
        <v>115</v>
      </c>
      <c r="C706" s="3" t="s">
        <v>116</v>
      </c>
      <c r="D706" s="3" t="s">
        <v>24</v>
      </c>
      <c r="E706" s="3" t="s">
        <v>25</v>
      </c>
      <c r="F706" s="3" t="s">
        <v>53</v>
      </c>
      <c r="G706" s="2">
        <v>88.39</v>
      </c>
      <c r="H706" s="2">
        <v>9</v>
      </c>
      <c r="I706" s="2">
        <v>39.775500000000001</v>
      </c>
      <c r="J706" s="2">
        <v>835.28549999999996</v>
      </c>
      <c r="K706" s="5">
        <v>43526</v>
      </c>
      <c r="L706" s="4">
        <v>0.52777777777777779</v>
      </c>
      <c r="M706" s="3" t="s">
        <v>49</v>
      </c>
      <c r="N706" s="2">
        <v>795.51</v>
      </c>
      <c r="O706" s="2">
        <v>4.7619047620000003</v>
      </c>
      <c r="P706" s="2">
        <v>39.775500000000001</v>
      </c>
      <c r="Q706" s="2">
        <v>6.3</v>
      </c>
      <c r="R706" s="3"/>
      <c r="S706" s="1"/>
      <c r="T706" s="1"/>
      <c r="U706" s="1" t="s">
        <v>37</v>
      </c>
      <c r="V706" s="1" t="s">
        <v>37</v>
      </c>
      <c r="W706" s="1" t="s">
        <v>37</v>
      </c>
    </row>
    <row r="707" spans="1:23">
      <c r="A707" s="3" t="s">
        <v>4014</v>
      </c>
      <c r="B707" s="3" t="s">
        <v>115</v>
      </c>
      <c r="C707" s="3" t="s">
        <v>116</v>
      </c>
      <c r="D707" s="3" t="s">
        <v>41</v>
      </c>
      <c r="E707" s="3" t="s">
        <v>992</v>
      </c>
      <c r="F707" s="3" t="s">
        <v>26</v>
      </c>
      <c r="G707" s="2">
        <v>71.77</v>
      </c>
      <c r="H707" s="2">
        <v>7</v>
      </c>
      <c r="I707" s="2">
        <v>25.119499999999999</v>
      </c>
      <c r="J707" s="2">
        <v>527.5095</v>
      </c>
      <c r="K707" s="5">
        <v>43553</v>
      </c>
      <c r="L707" s="4">
        <v>0.58750000000000002</v>
      </c>
      <c r="M707" s="3" t="s">
        <v>49</v>
      </c>
      <c r="N707" s="2">
        <v>502.39</v>
      </c>
      <c r="O707" s="2">
        <v>4.7619047620000003</v>
      </c>
      <c r="P707" s="2">
        <v>25.119499999999999</v>
      </c>
      <c r="Q707" s="2">
        <v>8.9</v>
      </c>
      <c r="R707" s="3"/>
      <c r="S707" s="1"/>
      <c r="T707" s="1"/>
      <c r="U707" s="1" t="s">
        <v>37</v>
      </c>
      <c r="V707" s="1" t="s">
        <v>37</v>
      </c>
      <c r="W707" s="1" t="s">
        <v>37</v>
      </c>
    </row>
    <row r="708" spans="1:23">
      <c r="A708" s="3" t="s">
        <v>4020</v>
      </c>
      <c r="B708" s="3" t="s">
        <v>115</v>
      </c>
      <c r="C708" s="3" t="s">
        <v>116</v>
      </c>
      <c r="D708" s="3" t="s">
        <v>41</v>
      </c>
      <c r="E708" s="3" t="s">
        <v>25</v>
      </c>
      <c r="F708" s="3" t="s">
        <v>42</v>
      </c>
      <c r="G708" s="2">
        <v>43</v>
      </c>
      <c r="H708" s="2">
        <v>4</v>
      </c>
      <c r="I708" s="2">
        <v>8.6</v>
      </c>
      <c r="J708" s="2">
        <v>180.6</v>
      </c>
      <c r="K708" s="5">
        <v>43496</v>
      </c>
      <c r="L708" s="4">
        <v>0.8666666666666667</v>
      </c>
      <c r="M708" s="3" t="s">
        <v>33</v>
      </c>
      <c r="N708" s="2">
        <v>172</v>
      </c>
      <c r="O708" s="2">
        <v>4.7619047620000003</v>
      </c>
      <c r="P708" s="2">
        <v>8.6</v>
      </c>
      <c r="Q708" s="2">
        <v>7.6</v>
      </c>
      <c r="R708" s="3"/>
      <c r="S708" s="1"/>
      <c r="T708" s="1"/>
      <c r="U708" s="1" t="s">
        <v>37</v>
      </c>
      <c r="V708" s="1" t="s">
        <v>37</v>
      </c>
      <c r="W708" s="1" t="s">
        <v>37</v>
      </c>
    </row>
    <row r="709" spans="1:23">
      <c r="A709" s="3" t="s">
        <v>4024</v>
      </c>
      <c r="B709" s="3" t="s">
        <v>39</v>
      </c>
      <c r="C709" s="3" t="s">
        <v>40</v>
      </c>
      <c r="D709" s="3" t="s">
        <v>24</v>
      </c>
      <c r="E709" s="3" t="s">
        <v>992</v>
      </c>
      <c r="F709" s="3" t="s">
        <v>117</v>
      </c>
      <c r="G709" s="2">
        <v>68.98</v>
      </c>
      <c r="H709" s="2">
        <v>1</v>
      </c>
      <c r="I709" s="2">
        <v>3.4489999999999998</v>
      </c>
      <c r="J709" s="2">
        <v>72.429000000000002</v>
      </c>
      <c r="K709" s="5">
        <v>43486</v>
      </c>
      <c r="L709" s="4">
        <v>0.84236111111111112</v>
      </c>
      <c r="M709" s="3" t="s">
        <v>49</v>
      </c>
      <c r="N709" s="2">
        <v>68.98</v>
      </c>
      <c r="O709" s="2">
        <v>4.7619047620000003</v>
      </c>
      <c r="P709" s="2">
        <v>3.4489999999999998</v>
      </c>
      <c r="Q709" s="2">
        <v>4.8</v>
      </c>
      <c r="R709" s="3"/>
      <c r="S709" s="1"/>
      <c r="T709" s="1"/>
      <c r="U709" s="1" t="s">
        <v>37</v>
      </c>
      <c r="V709" s="1" t="s">
        <v>37</v>
      </c>
      <c r="W709" s="1" t="s">
        <v>37</v>
      </c>
    </row>
    <row r="710" spans="1:23">
      <c r="A710" s="3" t="s">
        <v>4029</v>
      </c>
      <c r="B710" s="3" t="s">
        <v>39</v>
      </c>
      <c r="C710" s="3" t="s">
        <v>40</v>
      </c>
      <c r="D710" s="3" t="s">
        <v>41</v>
      </c>
      <c r="E710" s="3" t="s">
        <v>992</v>
      </c>
      <c r="F710" s="3" t="s">
        <v>127</v>
      </c>
      <c r="G710" s="2">
        <v>15.62</v>
      </c>
      <c r="H710" s="2">
        <v>8</v>
      </c>
      <c r="I710" s="2">
        <v>6.2480000000000002</v>
      </c>
      <c r="J710" s="2">
        <v>131.208</v>
      </c>
      <c r="K710" s="5">
        <v>43485</v>
      </c>
      <c r="L710" s="4">
        <v>0.85902777777777772</v>
      </c>
      <c r="M710" s="3" t="s">
        <v>33</v>
      </c>
      <c r="N710" s="2">
        <v>124.96</v>
      </c>
      <c r="O710" s="2">
        <v>4.7619047620000003</v>
      </c>
      <c r="P710" s="2">
        <v>6.2480000000000002</v>
      </c>
      <c r="Q710" s="2">
        <v>9.1</v>
      </c>
      <c r="R710" s="3"/>
      <c r="S710" s="1"/>
      <c r="T710" s="1"/>
      <c r="U710" s="1" t="s">
        <v>37</v>
      </c>
      <c r="V710" s="1" t="s">
        <v>37</v>
      </c>
      <c r="W710" s="1" t="s">
        <v>37</v>
      </c>
    </row>
    <row r="711" spans="1:23">
      <c r="A711" s="3" t="s">
        <v>4034</v>
      </c>
      <c r="B711" s="3" t="s">
        <v>22</v>
      </c>
      <c r="C711" s="3" t="s">
        <v>23</v>
      </c>
      <c r="D711" s="3" t="s">
        <v>41</v>
      </c>
      <c r="E711" s="3" t="s">
        <v>992</v>
      </c>
      <c r="F711" s="3" t="s">
        <v>72</v>
      </c>
      <c r="G711" s="2">
        <v>25.7</v>
      </c>
      <c r="H711" s="2">
        <v>3</v>
      </c>
      <c r="I711" s="2">
        <v>3.855</v>
      </c>
      <c r="J711" s="2">
        <v>80.954999999999998</v>
      </c>
      <c r="K711" s="5">
        <v>43482</v>
      </c>
      <c r="L711" s="4">
        <v>0.74930555555555556</v>
      </c>
      <c r="M711" s="3" t="s">
        <v>33</v>
      </c>
      <c r="N711" s="2">
        <v>77.099999999999994</v>
      </c>
      <c r="O711" s="2">
        <v>4.7619047620000003</v>
      </c>
      <c r="P711" s="2">
        <v>3.855</v>
      </c>
      <c r="Q711" s="2">
        <v>6.1</v>
      </c>
      <c r="R711" s="3"/>
      <c r="S711" s="1"/>
      <c r="T711" s="1"/>
      <c r="U711" s="1" t="s">
        <v>37</v>
      </c>
      <c r="V711" s="1" t="s">
        <v>37</v>
      </c>
      <c r="W711" s="1" t="s">
        <v>37</v>
      </c>
    </row>
    <row r="712" spans="1:23">
      <c r="A712" s="3" t="s">
        <v>4039</v>
      </c>
      <c r="B712" s="3" t="s">
        <v>22</v>
      </c>
      <c r="C712" s="3" t="s">
        <v>23</v>
      </c>
      <c r="D712" s="3" t="s">
        <v>24</v>
      </c>
      <c r="E712" s="3" t="s">
        <v>992</v>
      </c>
      <c r="F712" s="3" t="s">
        <v>117</v>
      </c>
      <c r="G712" s="2">
        <v>80.62</v>
      </c>
      <c r="H712" s="2">
        <v>6</v>
      </c>
      <c r="I712" s="2">
        <v>24.186</v>
      </c>
      <c r="J712" s="2">
        <v>507.90600000000001</v>
      </c>
      <c r="K712" s="5">
        <v>43524</v>
      </c>
      <c r="L712" s="4">
        <v>0.84583333333333333</v>
      </c>
      <c r="M712" s="3" t="s">
        <v>49</v>
      </c>
      <c r="N712" s="2">
        <v>483.72</v>
      </c>
      <c r="O712" s="2">
        <v>4.7619047620000003</v>
      </c>
      <c r="P712" s="2">
        <v>24.186</v>
      </c>
      <c r="Q712" s="2">
        <v>9.1</v>
      </c>
      <c r="R712" s="3"/>
      <c r="S712" s="1"/>
      <c r="T712" s="1"/>
      <c r="U712" s="1" t="s">
        <v>37</v>
      </c>
      <c r="V712" s="1" t="s">
        <v>37</v>
      </c>
      <c r="W712" s="1" t="s">
        <v>37</v>
      </c>
    </row>
    <row r="713" spans="1:23">
      <c r="A713" s="3" t="s">
        <v>4044</v>
      </c>
      <c r="B713" s="3" t="s">
        <v>39</v>
      </c>
      <c r="C713" s="3" t="s">
        <v>40</v>
      </c>
      <c r="D713" s="3" t="s">
        <v>24</v>
      </c>
      <c r="E713" s="3" t="s">
        <v>25</v>
      </c>
      <c r="F713" s="3" t="s">
        <v>53</v>
      </c>
      <c r="G713" s="2">
        <v>75.53</v>
      </c>
      <c r="H713" s="2">
        <v>4</v>
      </c>
      <c r="I713" s="2">
        <v>15.106</v>
      </c>
      <c r="J713" s="2">
        <v>317.226</v>
      </c>
      <c r="K713" s="5">
        <v>43543</v>
      </c>
      <c r="L713" s="4">
        <v>0.66111111111111109</v>
      </c>
      <c r="M713" s="3" t="s">
        <v>33</v>
      </c>
      <c r="N713" s="2">
        <v>302.12</v>
      </c>
      <c r="O713" s="2">
        <v>4.7619047620000003</v>
      </c>
      <c r="P713" s="2">
        <v>15.106</v>
      </c>
      <c r="Q713" s="2">
        <v>8.3000000000000007</v>
      </c>
      <c r="R713" s="3"/>
      <c r="S713" s="1"/>
      <c r="T713" s="1"/>
      <c r="U713" s="1" t="s">
        <v>37</v>
      </c>
      <c r="V713" s="1" t="s">
        <v>37</v>
      </c>
      <c r="W713" s="1" t="s">
        <v>37</v>
      </c>
    </row>
    <row r="714" spans="1:23">
      <c r="A714" s="3" t="s">
        <v>4049</v>
      </c>
      <c r="B714" s="3" t="s">
        <v>39</v>
      </c>
      <c r="C714" s="3" t="s">
        <v>40</v>
      </c>
      <c r="D714" s="3" t="s">
        <v>41</v>
      </c>
      <c r="E714" s="3" t="s">
        <v>25</v>
      </c>
      <c r="F714" s="3" t="s">
        <v>42</v>
      </c>
      <c r="G714" s="2">
        <v>77.63</v>
      </c>
      <c r="H714" s="2">
        <v>9</v>
      </c>
      <c r="I714" s="2">
        <v>34.933500000000002</v>
      </c>
      <c r="J714" s="2">
        <v>733.60350000000005</v>
      </c>
      <c r="K714" s="5">
        <v>43515</v>
      </c>
      <c r="L714" s="4">
        <v>0.63472222222222219</v>
      </c>
      <c r="M714" s="3" t="s">
        <v>33</v>
      </c>
      <c r="N714" s="2">
        <v>698.67</v>
      </c>
      <c r="O714" s="2">
        <v>4.7619047620000003</v>
      </c>
      <c r="P714" s="2">
        <v>34.933500000000002</v>
      </c>
      <c r="Q714" s="2">
        <v>7.2</v>
      </c>
      <c r="R714" s="3"/>
      <c r="S714" s="1"/>
      <c r="T714" s="1"/>
      <c r="U714" s="1" t="s">
        <v>37</v>
      </c>
      <c r="V714" s="1" t="s">
        <v>37</v>
      </c>
      <c r="W714" s="1" t="s">
        <v>37</v>
      </c>
    </row>
    <row r="715" spans="1:23">
      <c r="A715" s="3" t="s">
        <v>4055</v>
      </c>
      <c r="B715" s="3" t="s">
        <v>39</v>
      </c>
      <c r="C715" s="3" t="s">
        <v>40</v>
      </c>
      <c r="D715" s="3" t="s">
        <v>41</v>
      </c>
      <c r="E715" s="3" t="s">
        <v>25</v>
      </c>
      <c r="F715" s="3" t="s">
        <v>26</v>
      </c>
      <c r="G715" s="2">
        <v>13.85</v>
      </c>
      <c r="H715" s="2">
        <v>9</v>
      </c>
      <c r="I715" s="2">
        <v>6.2324999999999999</v>
      </c>
      <c r="J715" s="2">
        <v>130.88249999999999</v>
      </c>
      <c r="K715" s="5">
        <v>43500</v>
      </c>
      <c r="L715" s="4">
        <v>0.53472222222222221</v>
      </c>
      <c r="M715" s="3" t="s">
        <v>33</v>
      </c>
      <c r="N715" s="2">
        <v>124.65</v>
      </c>
      <c r="O715" s="2">
        <v>4.7619047620000003</v>
      </c>
      <c r="P715" s="2">
        <v>6.2324999999999999</v>
      </c>
      <c r="Q715" s="2">
        <v>6</v>
      </c>
      <c r="R715" s="3"/>
      <c r="S715" s="1"/>
      <c r="T715" s="1"/>
      <c r="U715" s="1" t="s">
        <v>37</v>
      </c>
      <c r="V715" s="1" t="s">
        <v>37</v>
      </c>
      <c r="W715" s="1" t="s">
        <v>37</v>
      </c>
    </row>
    <row r="716" spans="1:23">
      <c r="A716" s="3" t="s">
        <v>4060</v>
      </c>
      <c r="B716" s="3" t="s">
        <v>39</v>
      </c>
      <c r="C716" s="3" t="s">
        <v>40</v>
      </c>
      <c r="D716" s="3" t="s">
        <v>24</v>
      </c>
      <c r="E716" s="3" t="s">
        <v>992</v>
      </c>
      <c r="F716" s="3" t="s">
        <v>127</v>
      </c>
      <c r="G716" s="2">
        <v>98.7</v>
      </c>
      <c r="H716" s="2">
        <v>8</v>
      </c>
      <c r="I716" s="2">
        <v>39.479999999999997</v>
      </c>
      <c r="J716" s="2">
        <v>829.08</v>
      </c>
      <c r="K716" s="5">
        <v>43496</v>
      </c>
      <c r="L716" s="4">
        <v>0.44166666666666665</v>
      </c>
      <c r="M716" s="3" t="s">
        <v>33</v>
      </c>
      <c r="N716" s="2">
        <v>789.6</v>
      </c>
      <c r="O716" s="2">
        <v>4.7619047620000003</v>
      </c>
      <c r="P716" s="2">
        <v>39.479999999999997</v>
      </c>
      <c r="Q716" s="2">
        <v>8.5</v>
      </c>
      <c r="R716" s="3"/>
      <c r="S716" s="1"/>
      <c r="T716" s="1"/>
      <c r="U716" s="1" t="s">
        <v>37</v>
      </c>
      <c r="V716" s="1" t="s">
        <v>37</v>
      </c>
      <c r="W716" s="1" t="s">
        <v>37</v>
      </c>
    </row>
    <row r="717" spans="1:23">
      <c r="A717" s="3" t="s">
        <v>4061</v>
      </c>
      <c r="B717" s="3" t="s">
        <v>22</v>
      </c>
      <c r="C717" s="3" t="s">
        <v>23</v>
      </c>
      <c r="D717" s="3" t="s">
        <v>41</v>
      </c>
      <c r="E717" s="3" t="s">
        <v>25</v>
      </c>
      <c r="F717" s="3" t="s">
        <v>26</v>
      </c>
      <c r="G717" s="2">
        <v>35.68</v>
      </c>
      <c r="H717" s="2">
        <v>5</v>
      </c>
      <c r="I717" s="2">
        <v>8.92</v>
      </c>
      <c r="J717" s="2">
        <v>187.32</v>
      </c>
      <c r="K717" s="5">
        <v>43502</v>
      </c>
      <c r="L717" s="4">
        <v>0.7729166666666667</v>
      </c>
      <c r="M717" s="3" t="s">
        <v>59</v>
      </c>
      <c r="N717" s="2">
        <v>178.4</v>
      </c>
      <c r="O717" s="2">
        <v>4.7619047620000003</v>
      </c>
      <c r="P717" s="2">
        <v>8.92</v>
      </c>
      <c r="Q717" s="2">
        <v>6.6</v>
      </c>
      <c r="R717" s="3"/>
      <c r="S717" s="1"/>
      <c r="T717" s="1"/>
      <c r="U717" s="1" t="s">
        <v>37</v>
      </c>
      <c r="V717" s="1" t="s">
        <v>37</v>
      </c>
      <c r="W717" s="1" t="s">
        <v>37</v>
      </c>
    </row>
    <row r="718" spans="1:23">
      <c r="A718" s="3" t="s">
        <v>4066</v>
      </c>
      <c r="B718" s="3" t="s">
        <v>22</v>
      </c>
      <c r="C718" s="3" t="s">
        <v>23</v>
      </c>
      <c r="D718" s="3" t="s">
        <v>24</v>
      </c>
      <c r="E718" s="3" t="s">
        <v>25</v>
      </c>
      <c r="F718" s="3" t="s">
        <v>127</v>
      </c>
      <c r="G718" s="2">
        <v>71.459999999999994</v>
      </c>
      <c r="H718" s="2">
        <v>7</v>
      </c>
      <c r="I718" s="2">
        <v>25.010999999999999</v>
      </c>
      <c r="J718" s="2">
        <v>525.23099999999999</v>
      </c>
      <c r="K718" s="5">
        <v>43552</v>
      </c>
      <c r="L718" s="4">
        <v>0.67083333333333328</v>
      </c>
      <c r="M718" s="3" t="s">
        <v>33</v>
      </c>
      <c r="N718" s="2">
        <v>500.22</v>
      </c>
      <c r="O718" s="2">
        <v>4.7619047620000003</v>
      </c>
      <c r="P718" s="2">
        <v>25.010999999999999</v>
      </c>
      <c r="Q718" s="2">
        <v>4.5</v>
      </c>
      <c r="R718" s="3"/>
      <c r="S718" s="1"/>
      <c r="T718" s="1"/>
      <c r="U718" s="1" t="s">
        <v>37</v>
      </c>
      <c r="V718" s="1" t="s">
        <v>37</v>
      </c>
      <c r="W718" s="1" t="s">
        <v>37</v>
      </c>
    </row>
    <row r="719" spans="1:23">
      <c r="A719" s="3" t="s">
        <v>4072</v>
      </c>
      <c r="B719" s="3" t="s">
        <v>22</v>
      </c>
      <c r="C719" s="3" t="s">
        <v>23</v>
      </c>
      <c r="D719" s="3" t="s">
        <v>24</v>
      </c>
      <c r="E719" s="3" t="s">
        <v>992</v>
      </c>
      <c r="F719" s="3" t="s">
        <v>42</v>
      </c>
      <c r="G719" s="2">
        <v>11.94</v>
      </c>
      <c r="H719" s="2">
        <v>3</v>
      </c>
      <c r="I719" s="2">
        <v>1.7909999999999999</v>
      </c>
      <c r="J719" s="2">
        <v>37.610999999999997</v>
      </c>
      <c r="K719" s="5">
        <v>43484</v>
      </c>
      <c r="L719" s="4">
        <v>0.53263888888888888</v>
      </c>
      <c r="M719" s="3" t="s">
        <v>59</v>
      </c>
      <c r="N719" s="2">
        <v>35.82</v>
      </c>
      <c r="O719" s="2">
        <v>4.7619047620000003</v>
      </c>
      <c r="P719" s="2">
        <v>1.7909999999999999</v>
      </c>
      <c r="Q719" s="2">
        <v>8.1</v>
      </c>
      <c r="R719" s="3"/>
      <c r="S719" s="1"/>
      <c r="T719" s="1"/>
      <c r="U719" s="1" t="s">
        <v>37</v>
      </c>
      <c r="V719" s="1" t="s">
        <v>37</v>
      </c>
      <c r="W719" s="1" t="s">
        <v>37</v>
      </c>
    </row>
    <row r="720" spans="1:23">
      <c r="A720" s="3" t="s">
        <v>4078</v>
      </c>
      <c r="B720" s="3" t="s">
        <v>22</v>
      </c>
      <c r="C720" s="3" t="s">
        <v>23</v>
      </c>
      <c r="D720" s="3" t="s">
        <v>41</v>
      </c>
      <c r="E720" s="3" t="s">
        <v>992</v>
      </c>
      <c r="F720" s="3" t="s">
        <v>127</v>
      </c>
      <c r="G720" s="2">
        <v>45.38</v>
      </c>
      <c r="H720" s="2">
        <v>3</v>
      </c>
      <c r="I720" s="2">
        <v>6.8070000000000004</v>
      </c>
      <c r="J720" s="2">
        <v>142.947</v>
      </c>
      <c r="K720" s="5">
        <v>43513</v>
      </c>
      <c r="L720" s="4">
        <v>0.56527777777777777</v>
      </c>
      <c r="M720" s="3" t="s">
        <v>59</v>
      </c>
      <c r="N720" s="2">
        <v>136.13999999999999</v>
      </c>
      <c r="O720" s="2">
        <v>4.7619047620000003</v>
      </c>
      <c r="P720" s="2">
        <v>6.8070000000000004</v>
      </c>
      <c r="Q720" s="2">
        <v>7.2</v>
      </c>
      <c r="R720" s="3"/>
      <c r="S720" s="1"/>
      <c r="T720" s="1"/>
      <c r="U720" s="1" t="s">
        <v>37</v>
      </c>
      <c r="V720" s="1" t="s">
        <v>37</v>
      </c>
      <c r="W720" s="1" t="s">
        <v>37</v>
      </c>
    </row>
    <row r="721" spans="1:23">
      <c r="A721" s="3" t="s">
        <v>4082</v>
      </c>
      <c r="B721" s="3" t="s">
        <v>115</v>
      </c>
      <c r="C721" s="3" t="s">
        <v>116</v>
      </c>
      <c r="D721" s="3" t="s">
        <v>24</v>
      </c>
      <c r="E721" s="3" t="s">
        <v>25</v>
      </c>
      <c r="F721" s="3" t="s">
        <v>127</v>
      </c>
      <c r="G721" s="2">
        <v>17.48</v>
      </c>
      <c r="H721" s="2">
        <v>6</v>
      </c>
      <c r="I721" s="2">
        <v>5.2439999999999998</v>
      </c>
      <c r="J721" s="2">
        <v>110.124</v>
      </c>
      <c r="K721" s="5">
        <v>43483</v>
      </c>
      <c r="L721" s="4">
        <v>0.62777777777777777</v>
      </c>
      <c r="M721" s="3" t="s">
        <v>59</v>
      </c>
      <c r="N721" s="2">
        <v>104.88</v>
      </c>
      <c r="O721" s="2">
        <v>4.7619047620000003</v>
      </c>
      <c r="P721" s="2">
        <v>5.2439999999999998</v>
      </c>
      <c r="Q721" s="2">
        <v>6.1</v>
      </c>
      <c r="R721" s="3"/>
      <c r="S721" s="1"/>
      <c r="T721" s="1"/>
      <c r="U721" s="1" t="s">
        <v>37</v>
      </c>
      <c r="V721" s="1" t="s">
        <v>37</v>
      </c>
      <c r="W721" s="1" t="s">
        <v>37</v>
      </c>
    </row>
    <row r="722" spans="1:23">
      <c r="A722" s="3" t="s">
        <v>4087</v>
      </c>
      <c r="B722" s="3" t="s">
        <v>115</v>
      </c>
      <c r="C722" s="3" t="s">
        <v>116</v>
      </c>
      <c r="D722" s="3" t="s">
        <v>41</v>
      </c>
      <c r="E722" s="3" t="s">
        <v>25</v>
      </c>
      <c r="F722" s="3" t="s">
        <v>127</v>
      </c>
      <c r="G722" s="2">
        <v>25.56</v>
      </c>
      <c r="H722" s="2">
        <v>7</v>
      </c>
      <c r="I722" s="2">
        <v>8.9459999999999997</v>
      </c>
      <c r="J722" s="2">
        <v>187.86600000000001</v>
      </c>
      <c r="K722" s="5">
        <v>43498</v>
      </c>
      <c r="L722" s="4">
        <v>0.86250000000000004</v>
      </c>
      <c r="M722" s="3" t="s">
        <v>49</v>
      </c>
      <c r="N722" s="2">
        <v>178.92</v>
      </c>
      <c r="O722" s="2">
        <v>4.7619047620000003</v>
      </c>
      <c r="P722" s="2">
        <v>8.9459999999999997</v>
      </c>
      <c r="Q722" s="2">
        <v>7.1</v>
      </c>
      <c r="R722" s="3"/>
      <c r="S722" s="1"/>
      <c r="T722" s="1"/>
      <c r="U722" s="1" t="s">
        <v>37</v>
      </c>
      <c r="V722" s="1" t="s">
        <v>37</v>
      </c>
      <c r="W722" s="1" t="s">
        <v>37</v>
      </c>
    </row>
    <row r="723" spans="1:23">
      <c r="A723" s="3" t="s">
        <v>4093</v>
      </c>
      <c r="B723" s="3" t="s">
        <v>39</v>
      </c>
      <c r="C723" s="3" t="s">
        <v>40</v>
      </c>
      <c r="D723" s="3" t="s">
        <v>24</v>
      </c>
      <c r="E723" s="3" t="s">
        <v>25</v>
      </c>
      <c r="F723" s="3" t="s">
        <v>72</v>
      </c>
      <c r="G723" s="2">
        <v>90.63</v>
      </c>
      <c r="H723" s="2">
        <v>9</v>
      </c>
      <c r="I723" s="2">
        <v>40.783499999999997</v>
      </c>
      <c r="J723" s="2">
        <v>856.45349999999996</v>
      </c>
      <c r="K723" s="5">
        <v>43483</v>
      </c>
      <c r="L723" s="4">
        <v>0.64444444444444449</v>
      </c>
      <c r="M723" s="3" t="s">
        <v>49</v>
      </c>
      <c r="N723" s="2">
        <v>815.67</v>
      </c>
      <c r="O723" s="2">
        <v>4.7619047620000003</v>
      </c>
      <c r="P723" s="2">
        <v>40.783499999999997</v>
      </c>
      <c r="Q723" s="2">
        <v>5.0999999999999996</v>
      </c>
      <c r="R723" s="3"/>
      <c r="S723" s="1"/>
      <c r="T723" s="1"/>
      <c r="U723" s="1" t="s">
        <v>37</v>
      </c>
      <c r="V723" s="1" t="s">
        <v>37</v>
      </c>
      <c r="W723" s="1" t="s">
        <v>37</v>
      </c>
    </row>
    <row r="724" spans="1:23">
      <c r="A724" s="3" t="s">
        <v>4098</v>
      </c>
      <c r="B724" s="3" t="s">
        <v>115</v>
      </c>
      <c r="C724" s="3" t="s">
        <v>116</v>
      </c>
      <c r="D724" s="3" t="s">
        <v>41</v>
      </c>
      <c r="E724" s="3" t="s">
        <v>992</v>
      </c>
      <c r="F724" s="3" t="s">
        <v>53</v>
      </c>
      <c r="G724" s="2">
        <v>44.12</v>
      </c>
      <c r="H724" s="2">
        <v>3</v>
      </c>
      <c r="I724" s="2">
        <v>6.6180000000000003</v>
      </c>
      <c r="J724" s="2">
        <v>138.97800000000001</v>
      </c>
      <c r="K724" s="5">
        <v>43542</v>
      </c>
      <c r="L724" s="4">
        <v>0.57291666666666663</v>
      </c>
      <c r="M724" s="3" t="s">
        <v>59</v>
      </c>
      <c r="N724" s="2">
        <v>132.36000000000001</v>
      </c>
      <c r="O724" s="2">
        <v>4.7619047620000003</v>
      </c>
      <c r="P724" s="2">
        <v>6.6180000000000003</v>
      </c>
      <c r="Q724" s="2">
        <v>7.9</v>
      </c>
      <c r="R724" s="3"/>
      <c r="S724" s="1"/>
      <c r="T724" s="1"/>
      <c r="U724" s="1" t="s">
        <v>37</v>
      </c>
      <c r="V724" s="1" t="s">
        <v>37</v>
      </c>
      <c r="W724" s="1" t="s">
        <v>37</v>
      </c>
    </row>
    <row r="725" spans="1:23">
      <c r="A725" s="3" t="s">
        <v>4103</v>
      </c>
      <c r="B725" s="3" t="s">
        <v>39</v>
      </c>
      <c r="C725" s="3" t="s">
        <v>40</v>
      </c>
      <c r="D725" s="3" t="s">
        <v>24</v>
      </c>
      <c r="E725" s="3" t="s">
        <v>25</v>
      </c>
      <c r="F725" s="3" t="s">
        <v>117</v>
      </c>
      <c r="G725" s="2">
        <v>36.770000000000003</v>
      </c>
      <c r="H725" s="2">
        <v>7</v>
      </c>
      <c r="I725" s="2">
        <v>12.8695</v>
      </c>
      <c r="J725" s="2">
        <v>270.2595</v>
      </c>
      <c r="K725" s="5">
        <v>43476</v>
      </c>
      <c r="L725" s="4">
        <v>0.84027777777777779</v>
      </c>
      <c r="M725" s="3" t="s">
        <v>49</v>
      </c>
      <c r="N725" s="2">
        <v>257.39</v>
      </c>
      <c r="O725" s="2">
        <v>4.7619047620000003</v>
      </c>
      <c r="P725" s="2">
        <v>12.8695</v>
      </c>
      <c r="Q725" s="2">
        <v>7.4</v>
      </c>
      <c r="R725" s="3"/>
      <c r="S725" s="1"/>
      <c r="T725" s="1"/>
      <c r="U725" s="1" t="s">
        <v>37</v>
      </c>
      <c r="V725" s="1" t="s">
        <v>37</v>
      </c>
      <c r="W725" s="1" t="s">
        <v>37</v>
      </c>
    </row>
    <row r="726" spans="1:23">
      <c r="A726" s="3" t="s">
        <v>4109</v>
      </c>
      <c r="B726" s="3" t="s">
        <v>115</v>
      </c>
      <c r="C726" s="3" t="s">
        <v>116</v>
      </c>
      <c r="D726" s="3" t="s">
        <v>24</v>
      </c>
      <c r="E726" s="3" t="s">
        <v>992</v>
      </c>
      <c r="F726" s="3" t="s">
        <v>117</v>
      </c>
      <c r="G726" s="2">
        <v>23.34</v>
      </c>
      <c r="H726" s="2">
        <v>4</v>
      </c>
      <c r="I726" s="2">
        <v>4.6680000000000001</v>
      </c>
      <c r="J726" s="2">
        <v>98.028000000000006</v>
      </c>
      <c r="K726" s="5">
        <v>43500</v>
      </c>
      <c r="L726" s="4">
        <v>0.78680555555555554</v>
      </c>
      <c r="M726" s="3" t="s">
        <v>33</v>
      </c>
      <c r="N726" s="2">
        <v>93.36</v>
      </c>
      <c r="O726" s="2">
        <v>4.7619047620000003</v>
      </c>
      <c r="P726" s="2">
        <v>4.6680000000000001</v>
      </c>
      <c r="Q726" s="2">
        <v>7.4</v>
      </c>
      <c r="R726" s="3"/>
      <c r="S726" s="1"/>
      <c r="T726" s="1"/>
      <c r="U726" s="1" t="s">
        <v>37</v>
      </c>
      <c r="V726" s="1" t="s">
        <v>37</v>
      </c>
      <c r="W726" s="1" t="s">
        <v>37</v>
      </c>
    </row>
    <row r="727" spans="1:23">
      <c r="A727" s="3" t="s">
        <v>4114</v>
      </c>
      <c r="B727" s="3" t="s">
        <v>39</v>
      </c>
      <c r="C727" s="3" t="s">
        <v>40</v>
      </c>
      <c r="D727" s="3" t="s">
        <v>24</v>
      </c>
      <c r="E727" s="3" t="s">
        <v>25</v>
      </c>
      <c r="F727" s="3" t="s">
        <v>26</v>
      </c>
      <c r="G727" s="2">
        <v>28.5</v>
      </c>
      <c r="H727" s="2">
        <v>8</v>
      </c>
      <c r="I727" s="2">
        <v>11.4</v>
      </c>
      <c r="J727" s="2">
        <v>239.4</v>
      </c>
      <c r="K727" s="5">
        <v>43502</v>
      </c>
      <c r="L727" s="4">
        <v>0.6</v>
      </c>
      <c r="M727" s="3" t="s">
        <v>49</v>
      </c>
      <c r="N727" s="2">
        <v>228</v>
      </c>
      <c r="O727" s="2">
        <v>4.7619047620000003</v>
      </c>
      <c r="P727" s="2">
        <v>11.4</v>
      </c>
      <c r="Q727" s="2">
        <v>6.6</v>
      </c>
      <c r="R727" s="3"/>
      <c r="S727" s="1"/>
      <c r="T727" s="1"/>
      <c r="U727" s="1" t="s">
        <v>37</v>
      </c>
      <c r="V727" s="1" t="s">
        <v>37</v>
      </c>
      <c r="W727" s="1" t="s">
        <v>37</v>
      </c>
    </row>
    <row r="728" spans="1:23">
      <c r="A728" s="3" t="s">
        <v>4120</v>
      </c>
      <c r="B728" s="3" t="s">
        <v>39</v>
      </c>
      <c r="C728" s="3" t="s">
        <v>40</v>
      </c>
      <c r="D728" s="3" t="s">
        <v>24</v>
      </c>
      <c r="E728" s="3" t="s">
        <v>992</v>
      </c>
      <c r="F728" s="3" t="s">
        <v>53</v>
      </c>
      <c r="G728" s="2">
        <v>55.57</v>
      </c>
      <c r="H728" s="2">
        <v>3</v>
      </c>
      <c r="I728" s="2">
        <v>8.3354999999999997</v>
      </c>
      <c r="J728" s="2">
        <v>175.0455</v>
      </c>
      <c r="K728" s="5">
        <v>43473</v>
      </c>
      <c r="L728" s="4">
        <v>0.48749999999999999</v>
      </c>
      <c r="M728" s="3" t="s">
        <v>59</v>
      </c>
      <c r="N728" s="2">
        <v>166.71</v>
      </c>
      <c r="O728" s="2">
        <v>4.7619047620000003</v>
      </c>
      <c r="P728" s="2">
        <v>8.3354999999999997</v>
      </c>
      <c r="Q728" s="2">
        <v>5.9</v>
      </c>
      <c r="R728" s="3"/>
      <c r="S728" s="1"/>
      <c r="T728" s="1"/>
      <c r="U728" s="1" t="s">
        <v>37</v>
      </c>
      <c r="V728" s="1" t="s">
        <v>37</v>
      </c>
      <c r="W728" s="1" t="s">
        <v>37</v>
      </c>
    </row>
    <row r="729" spans="1:23">
      <c r="A729" s="3" t="s">
        <v>4126</v>
      </c>
      <c r="B729" s="3" t="s">
        <v>115</v>
      </c>
      <c r="C729" s="3" t="s">
        <v>116</v>
      </c>
      <c r="D729" s="3" t="s">
        <v>41</v>
      </c>
      <c r="E729" s="3" t="s">
        <v>992</v>
      </c>
      <c r="F729" s="3" t="s">
        <v>72</v>
      </c>
      <c r="G729" s="2">
        <v>69.739999999999995</v>
      </c>
      <c r="H729" s="2">
        <v>10</v>
      </c>
      <c r="I729" s="2">
        <v>34.869999999999997</v>
      </c>
      <c r="J729" s="2">
        <v>732.27</v>
      </c>
      <c r="K729" s="5">
        <v>43529</v>
      </c>
      <c r="L729" s="4">
        <v>0.74236111111111114</v>
      </c>
      <c r="M729" s="3" t="s">
        <v>59</v>
      </c>
      <c r="N729" s="2">
        <v>697.4</v>
      </c>
      <c r="O729" s="2">
        <v>4.7619047620000003</v>
      </c>
      <c r="P729" s="2">
        <v>34.869999999999997</v>
      </c>
      <c r="Q729" s="2">
        <v>8.9</v>
      </c>
      <c r="R729" s="3"/>
      <c r="S729" s="1"/>
      <c r="T729" s="1"/>
      <c r="U729" s="1" t="s">
        <v>37</v>
      </c>
      <c r="V729" s="1" t="s">
        <v>37</v>
      </c>
      <c r="W729" s="1" t="s">
        <v>37</v>
      </c>
    </row>
    <row r="730" spans="1:23">
      <c r="A730" s="3" t="s">
        <v>4132</v>
      </c>
      <c r="B730" s="3" t="s">
        <v>39</v>
      </c>
      <c r="C730" s="3" t="s">
        <v>40</v>
      </c>
      <c r="D730" s="3" t="s">
        <v>41</v>
      </c>
      <c r="E730" s="3" t="s">
        <v>992</v>
      </c>
      <c r="F730" s="3" t="s">
        <v>127</v>
      </c>
      <c r="G730" s="2">
        <v>97.26</v>
      </c>
      <c r="H730" s="2">
        <v>4</v>
      </c>
      <c r="I730" s="2">
        <v>19.452000000000002</v>
      </c>
      <c r="J730" s="2">
        <v>408.49200000000002</v>
      </c>
      <c r="K730" s="5">
        <v>43540</v>
      </c>
      <c r="L730" s="4">
        <v>0.6479166666666667</v>
      </c>
      <c r="M730" s="3" t="s">
        <v>33</v>
      </c>
      <c r="N730" s="2">
        <v>389.04</v>
      </c>
      <c r="O730" s="2">
        <v>4.7619047620000003</v>
      </c>
      <c r="P730" s="2">
        <v>19.452000000000002</v>
      </c>
      <c r="Q730" s="2">
        <v>6.8</v>
      </c>
      <c r="R730" s="3"/>
      <c r="S730" s="1"/>
      <c r="T730" s="1"/>
      <c r="U730" s="1" t="s">
        <v>37</v>
      </c>
      <c r="V730" s="1" t="s">
        <v>37</v>
      </c>
      <c r="W730" s="1" t="s">
        <v>37</v>
      </c>
    </row>
    <row r="731" spans="1:23">
      <c r="A731" s="3" t="s">
        <v>4138</v>
      </c>
      <c r="B731" s="3" t="s">
        <v>115</v>
      </c>
      <c r="C731" s="3" t="s">
        <v>116</v>
      </c>
      <c r="D731" s="3" t="s">
        <v>24</v>
      </c>
      <c r="E731" s="3" t="s">
        <v>25</v>
      </c>
      <c r="F731" s="3" t="s">
        <v>53</v>
      </c>
      <c r="G731" s="2">
        <v>52.18</v>
      </c>
      <c r="H731" s="2">
        <v>7</v>
      </c>
      <c r="I731" s="2">
        <v>18.263000000000002</v>
      </c>
      <c r="J731" s="2">
        <v>383.52300000000002</v>
      </c>
      <c r="K731" s="5">
        <v>43533</v>
      </c>
      <c r="L731" s="4">
        <v>0.45416666666666666</v>
      </c>
      <c r="M731" s="3" t="s">
        <v>49</v>
      </c>
      <c r="N731" s="2">
        <v>365.26</v>
      </c>
      <c r="O731" s="2">
        <v>4.7619047620000003</v>
      </c>
      <c r="P731" s="2">
        <v>18.263000000000002</v>
      </c>
      <c r="Q731" s="2">
        <v>9.3000000000000007</v>
      </c>
      <c r="R731" s="3"/>
      <c r="S731" s="1"/>
      <c r="T731" s="1"/>
      <c r="U731" s="1" t="s">
        <v>37</v>
      </c>
      <c r="V731" s="1" t="s">
        <v>37</v>
      </c>
      <c r="W731" s="1" t="s">
        <v>37</v>
      </c>
    </row>
    <row r="732" spans="1:23">
      <c r="A732" s="3" t="s">
        <v>4143</v>
      </c>
      <c r="B732" s="3" t="s">
        <v>22</v>
      </c>
      <c r="C732" s="3" t="s">
        <v>23</v>
      </c>
      <c r="D732" s="3" t="s">
        <v>24</v>
      </c>
      <c r="E732" s="3" t="s">
        <v>25</v>
      </c>
      <c r="F732" s="3" t="s">
        <v>127</v>
      </c>
      <c r="G732" s="2">
        <v>22.32</v>
      </c>
      <c r="H732" s="2">
        <v>4</v>
      </c>
      <c r="I732" s="2">
        <v>4.4640000000000004</v>
      </c>
      <c r="J732" s="2">
        <v>93.744</v>
      </c>
      <c r="K732" s="5">
        <v>43525</v>
      </c>
      <c r="L732" s="4">
        <v>0.68263888888888891</v>
      </c>
      <c r="M732" s="3" t="s">
        <v>59</v>
      </c>
      <c r="N732" s="2">
        <v>89.28</v>
      </c>
      <c r="O732" s="2">
        <v>4.7619047620000003</v>
      </c>
      <c r="P732" s="2">
        <v>4.4640000000000004</v>
      </c>
      <c r="Q732" s="2">
        <v>4.4000000000000004</v>
      </c>
      <c r="R732" s="3"/>
      <c r="S732" s="1"/>
      <c r="T732" s="1"/>
      <c r="U732" s="1" t="s">
        <v>37</v>
      </c>
      <c r="V732" s="1" t="s">
        <v>37</v>
      </c>
      <c r="W732" s="1" t="s">
        <v>37</v>
      </c>
    </row>
    <row r="733" spans="1:23">
      <c r="A733" s="3" t="s">
        <v>4148</v>
      </c>
      <c r="B733" s="3" t="s">
        <v>22</v>
      </c>
      <c r="C733" s="3" t="s">
        <v>23</v>
      </c>
      <c r="D733" s="3" t="s">
        <v>41</v>
      </c>
      <c r="E733" s="3" t="s">
        <v>992</v>
      </c>
      <c r="F733" s="3" t="s">
        <v>26</v>
      </c>
      <c r="G733" s="2">
        <v>56</v>
      </c>
      <c r="H733" s="2">
        <v>3</v>
      </c>
      <c r="I733" s="2">
        <v>8.4</v>
      </c>
      <c r="J733" s="2">
        <v>176.4</v>
      </c>
      <c r="K733" s="5">
        <v>43524</v>
      </c>
      <c r="L733" s="4">
        <v>0.81458333333333333</v>
      </c>
      <c r="M733" s="3" t="s">
        <v>33</v>
      </c>
      <c r="N733" s="2">
        <v>168</v>
      </c>
      <c r="O733" s="2">
        <v>4.7619047620000003</v>
      </c>
      <c r="P733" s="2">
        <v>8.4</v>
      </c>
      <c r="Q733" s="2">
        <v>4.8</v>
      </c>
      <c r="R733" s="3"/>
      <c r="S733" s="1"/>
      <c r="T733" s="1"/>
      <c r="U733" s="1" t="s">
        <v>37</v>
      </c>
      <c r="V733" s="1" t="s">
        <v>37</v>
      </c>
      <c r="W733" s="1" t="s">
        <v>37</v>
      </c>
    </row>
    <row r="734" spans="1:23">
      <c r="A734" s="3" t="s">
        <v>4152</v>
      </c>
      <c r="B734" s="3" t="s">
        <v>22</v>
      </c>
      <c r="C734" s="3" t="s">
        <v>23</v>
      </c>
      <c r="D734" s="3" t="s">
        <v>24</v>
      </c>
      <c r="E734" s="3" t="s">
        <v>992</v>
      </c>
      <c r="F734" s="3" t="s">
        <v>127</v>
      </c>
      <c r="G734" s="2">
        <v>19.7</v>
      </c>
      <c r="H734" s="2">
        <v>1</v>
      </c>
      <c r="I734" s="2">
        <v>0.98499999999999999</v>
      </c>
      <c r="J734" s="2">
        <v>20.684999999999999</v>
      </c>
      <c r="K734" s="5">
        <v>43504</v>
      </c>
      <c r="L734" s="4">
        <v>0.48541666666666666</v>
      </c>
      <c r="M734" s="3" t="s">
        <v>33</v>
      </c>
      <c r="N734" s="2">
        <v>19.7</v>
      </c>
      <c r="O734" s="2">
        <v>4.7619047620000003</v>
      </c>
      <c r="P734" s="2">
        <v>0.98499999999999999</v>
      </c>
      <c r="Q734" s="2">
        <v>9.5</v>
      </c>
      <c r="R734" s="3"/>
      <c r="S734" s="1"/>
      <c r="T734" s="1"/>
      <c r="U734" s="1" t="s">
        <v>37</v>
      </c>
      <c r="V734" s="1" t="s">
        <v>37</v>
      </c>
      <c r="W734" s="1" t="s">
        <v>37</v>
      </c>
    </row>
    <row r="735" spans="1:23">
      <c r="A735" s="3" t="s">
        <v>4156</v>
      </c>
      <c r="B735" s="3" t="s">
        <v>115</v>
      </c>
      <c r="C735" s="3" t="s">
        <v>116</v>
      </c>
      <c r="D735" s="3" t="s">
        <v>41</v>
      </c>
      <c r="E735" s="3" t="s">
        <v>992</v>
      </c>
      <c r="F735" s="3" t="s">
        <v>42</v>
      </c>
      <c r="G735" s="2">
        <v>75.88</v>
      </c>
      <c r="H735" s="2">
        <v>7</v>
      </c>
      <c r="I735" s="2">
        <v>26.558</v>
      </c>
      <c r="J735" s="2">
        <v>557.71799999999996</v>
      </c>
      <c r="K735" s="5">
        <v>43489</v>
      </c>
      <c r="L735" s="4">
        <v>0.44305555555555554</v>
      </c>
      <c r="M735" s="3" t="s">
        <v>33</v>
      </c>
      <c r="N735" s="2">
        <v>531.16</v>
      </c>
      <c r="O735" s="2">
        <v>4.7619047620000003</v>
      </c>
      <c r="P735" s="2">
        <v>26.558</v>
      </c>
      <c r="Q735" s="2">
        <v>8.9</v>
      </c>
      <c r="R735" s="3"/>
      <c r="S735" s="1"/>
      <c r="T735" s="1"/>
      <c r="U735" s="1" t="s">
        <v>37</v>
      </c>
      <c r="V735" s="1" t="s">
        <v>37</v>
      </c>
      <c r="W735" s="1" t="s">
        <v>37</v>
      </c>
    </row>
    <row r="736" spans="1:23">
      <c r="A736" s="3" t="s">
        <v>4161</v>
      </c>
      <c r="B736" s="3" t="s">
        <v>115</v>
      </c>
      <c r="C736" s="3" t="s">
        <v>116</v>
      </c>
      <c r="D736" s="3" t="s">
        <v>24</v>
      </c>
      <c r="E736" s="3" t="s">
        <v>992</v>
      </c>
      <c r="F736" s="3" t="s">
        <v>117</v>
      </c>
      <c r="G736" s="2">
        <v>53.72</v>
      </c>
      <c r="H736" s="2">
        <v>1</v>
      </c>
      <c r="I736" s="2">
        <v>2.6859999999999999</v>
      </c>
      <c r="J736" s="2">
        <v>56.405999999999999</v>
      </c>
      <c r="K736" s="5">
        <v>43525</v>
      </c>
      <c r="L736" s="4">
        <v>0.8354166666666667</v>
      </c>
      <c r="M736" s="3" t="s">
        <v>33</v>
      </c>
      <c r="N736" s="2">
        <v>53.72</v>
      </c>
      <c r="O736" s="2">
        <v>4.7619047620000003</v>
      </c>
      <c r="P736" s="2">
        <v>2.6859999999999999</v>
      </c>
      <c r="Q736" s="2">
        <v>6.4</v>
      </c>
      <c r="R736" s="3"/>
      <c r="S736" s="1"/>
      <c r="T736" s="1"/>
      <c r="U736" s="1" t="s">
        <v>37</v>
      </c>
      <c r="V736" s="1" t="s">
        <v>37</v>
      </c>
      <c r="W736" s="1" t="s">
        <v>37</v>
      </c>
    </row>
    <row r="737" spans="1:23">
      <c r="A737" s="3" t="s">
        <v>4165</v>
      </c>
      <c r="B737" s="3" t="s">
        <v>39</v>
      </c>
      <c r="C737" s="3" t="s">
        <v>40</v>
      </c>
      <c r="D737" s="3" t="s">
        <v>24</v>
      </c>
      <c r="E737" s="3" t="s">
        <v>992</v>
      </c>
      <c r="F737" s="3" t="s">
        <v>26</v>
      </c>
      <c r="G737" s="2">
        <v>81.95</v>
      </c>
      <c r="H737" s="2">
        <v>10</v>
      </c>
      <c r="I737" s="2">
        <v>40.975000000000001</v>
      </c>
      <c r="J737" s="2">
        <v>860.47500000000002</v>
      </c>
      <c r="K737" s="5">
        <v>43534</v>
      </c>
      <c r="L737" s="4">
        <v>0.52708333333333335</v>
      </c>
      <c r="M737" s="3" t="s">
        <v>59</v>
      </c>
      <c r="N737" s="2">
        <v>819.5</v>
      </c>
      <c r="O737" s="2">
        <v>4.7619047620000003</v>
      </c>
      <c r="P737" s="2">
        <v>40.975000000000001</v>
      </c>
      <c r="Q737" s="2">
        <v>6</v>
      </c>
      <c r="R737" s="3"/>
      <c r="S737" s="1"/>
      <c r="T737" s="1"/>
      <c r="U737" s="1" t="s">
        <v>37</v>
      </c>
      <c r="V737" s="1" t="s">
        <v>37</v>
      </c>
      <c r="W737" s="1" t="s">
        <v>37</v>
      </c>
    </row>
    <row r="738" spans="1:23">
      <c r="A738" s="3" t="s">
        <v>4171</v>
      </c>
      <c r="B738" s="3" t="s">
        <v>39</v>
      </c>
      <c r="C738" s="3" t="s">
        <v>40</v>
      </c>
      <c r="D738" s="3" t="s">
        <v>24</v>
      </c>
      <c r="E738" s="3" t="s">
        <v>25</v>
      </c>
      <c r="F738" s="3" t="s">
        <v>53</v>
      </c>
      <c r="G738" s="2">
        <v>81.2</v>
      </c>
      <c r="H738" s="2">
        <v>7</v>
      </c>
      <c r="I738" s="2">
        <v>28.42</v>
      </c>
      <c r="J738" s="2">
        <v>596.82000000000005</v>
      </c>
      <c r="K738" s="5">
        <v>43547</v>
      </c>
      <c r="L738" s="4">
        <v>0.66597222222222219</v>
      </c>
      <c r="M738" s="3" t="s">
        <v>59</v>
      </c>
      <c r="N738" s="2">
        <v>568.4</v>
      </c>
      <c r="O738" s="2">
        <v>4.7619047620000003</v>
      </c>
      <c r="P738" s="2">
        <v>28.42</v>
      </c>
      <c r="Q738" s="2">
        <v>8.1</v>
      </c>
      <c r="R738" s="3"/>
      <c r="S738" s="1"/>
      <c r="T738" s="1"/>
      <c r="U738" s="1" t="s">
        <v>37</v>
      </c>
      <c r="V738" s="1" t="s">
        <v>37</v>
      </c>
      <c r="W738" s="1" t="s">
        <v>37</v>
      </c>
    </row>
    <row r="739" spans="1:23">
      <c r="A739" s="3" t="s">
        <v>4176</v>
      </c>
      <c r="B739" s="3" t="s">
        <v>39</v>
      </c>
      <c r="C739" s="3" t="s">
        <v>40</v>
      </c>
      <c r="D739" s="3" t="s">
        <v>41</v>
      </c>
      <c r="E739" s="3" t="s">
        <v>992</v>
      </c>
      <c r="F739" s="3" t="s">
        <v>42</v>
      </c>
      <c r="G739" s="2">
        <v>58.76</v>
      </c>
      <c r="H739" s="2">
        <v>10</v>
      </c>
      <c r="I739" s="2">
        <v>29.38</v>
      </c>
      <c r="J739" s="2">
        <v>616.98</v>
      </c>
      <c r="K739" s="5">
        <v>43494</v>
      </c>
      <c r="L739" s="4">
        <v>0.60138888888888886</v>
      </c>
      <c r="M739" s="3" t="s">
        <v>33</v>
      </c>
      <c r="N739" s="2">
        <v>587.6</v>
      </c>
      <c r="O739" s="2">
        <v>4.7619047620000003</v>
      </c>
      <c r="P739" s="2">
        <v>29.38</v>
      </c>
      <c r="Q739" s="2">
        <v>9</v>
      </c>
      <c r="R739" s="3"/>
      <c r="S739" s="1"/>
      <c r="T739" s="1"/>
      <c r="U739" s="1" t="s">
        <v>37</v>
      </c>
      <c r="V739" s="1" t="s">
        <v>37</v>
      </c>
      <c r="W739" s="1" t="s">
        <v>37</v>
      </c>
    </row>
    <row r="740" spans="1:23">
      <c r="A740" s="3" t="s">
        <v>4182</v>
      </c>
      <c r="B740" s="3" t="s">
        <v>115</v>
      </c>
      <c r="C740" s="3" t="s">
        <v>116</v>
      </c>
      <c r="D740" s="3" t="s">
        <v>24</v>
      </c>
      <c r="E740" s="3" t="s">
        <v>992</v>
      </c>
      <c r="F740" s="3" t="s">
        <v>42</v>
      </c>
      <c r="G740" s="2">
        <v>91.56</v>
      </c>
      <c r="H740" s="2">
        <v>8</v>
      </c>
      <c r="I740" s="2">
        <v>36.624000000000002</v>
      </c>
      <c r="J740" s="2">
        <v>769.10400000000004</v>
      </c>
      <c r="K740" s="5">
        <v>43477</v>
      </c>
      <c r="L740" s="4">
        <v>0.76527777777777772</v>
      </c>
      <c r="M740" s="3" t="s">
        <v>33</v>
      </c>
      <c r="N740" s="2">
        <v>732.48</v>
      </c>
      <c r="O740" s="2">
        <v>4.7619047620000003</v>
      </c>
      <c r="P740" s="2">
        <v>36.624000000000002</v>
      </c>
      <c r="Q740" s="2">
        <v>6</v>
      </c>
      <c r="R740" s="3"/>
      <c r="S740" s="1"/>
      <c r="T740" s="1"/>
      <c r="U740" s="1" t="s">
        <v>37</v>
      </c>
      <c r="V740" s="1" t="s">
        <v>37</v>
      </c>
      <c r="W740" s="1" t="s">
        <v>37</v>
      </c>
    </row>
    <row r="741" spans="1:23">
      <c r="A741" s="3" t="s">
        <v>4186</v>
      </c>
      <c r="B741" s="3" t="s">
        <v>22</v>
      </c>
      <c r="C741" s="3" t="s">
        <v>23</v>
      </c>
      <c r="D741" s="3" t="s">
        <v>41</v>
      </c>
      <c r="E741" s="3" t="s">
        <v>992</v>
      </c>
      <c r="F741" s="3" t="s">
        <v>53</v>
      </c>
      <c r="G741" s="2">
        <v>93.96</v>
      </c>
      <c r="H741" s="2">
        <v>9</v>
      </c>
      <c r="I741" s="2">
        <v>42.281999999999996</v>
      </c>
      <c r="J741" s="2">
        <v>887.92200000000003</v>
      </c>
      <c r="K741" s="5">
        <v>43544</v>
      </c>
      <c r="L741" s="4">
        <v>0.48055555555555557</v>
      </c>
      <c r="M741" s="3" t="s">
        <v>49</v>
      </c>
      <c r="N741" s="2">
        <v>845.64</v>
      </c>
      <c r="O741" s="2">
        <v>4.7619047620000003</v>
      </c>
      <c r="P741" s="2">
        <v>42.281999999999996</v>
      </c>
      <c r="Q741" s="2">
        <v>9.8000000000000007</v>
      </c>
      <c r="R741" s="3"/>
      <c r="S741" s="1"/>
      <c r="T741" s="1"/>
      <c r="U741" s="1" t="s">
        <v>37</v>
      </c>
      <c r="V741" s="1" t="s">
        <v>37</v>
      </c>
      <c r="W741" s="1" t="s">
        <v>37</v>
      </c>
    </row>
    <row r="742" spans="1:23">
      <c r="A742" s="3" t="s">
        <v>4190</v>
      </c>
      <c r="B742" s="3" t="s">
        <v>39</v>
      </c>
      <c r="C742" s="3" t="s">
        <v>40</v>
      </c>
      <c r="D742" s="3" t="s">
        <v>41</v>
      </c>
      <c r="E742" s="3" t="s">
        <v>992</v>
      </c>
      <c r="F742" s="3" t="s">
        <v>53</v>
      </c>
      <c r="G742" s="2">
        <v>55.61</v>
      </c>
      <c r="H742" s="2">
        <v>7</v>
      </c>
      <c r="I742" s="2">
        <v>19.4635</v>
      </c>
      <c r="J742" s="2">
        <v>408.73349999999999</v>
      </c>
      <c r="K742" s="5">
        <v>43547</v>
      </c>
      <c r="L742" s="4">
        <v>0.52847222222222223</v>
      </c>
      <c r="M742" s="3" t="s">
        <v>49</v>
      </c>
      <c r="N742" s="2">
        <v>389.27</v>
      </c>
      <c r="O742" s="2">
        <v>4.7619047620000003</v>
      </c>
      <c r="P742" s="2">
        <v>19.4635</v>
      </c>
      <c r="Q742" s="2">
        <v>8.5</v>
      </c>
      <c r="R742" s="3"/>
      <c r="S742" s="1"/>
      <c r="T742" s="1"/>
      <c r="U742" s="1" t="s">
        <v>37</v>
      </c>
      <c r="V742" s="1" t="s">
        <v>37</v>
      </c>
      <c r="W742" s="1" t="s">
        <v>37</v>
      </c>
    </row>
    <row r="743" spans="1:23">
      <c r="A743" s="3" t="s">
        <v>4196</v>
      </c>
      <c r="B743" s="3" t="s">
        <v>39</v>
      </c>
      <c r="C743" s="3" t="s">
        <v>40</v>
      </c>
      <c r="D743" s="3" t="s">
        <v>41</v>
      </c>
      <c r="E743" s="3" t="s">
        <v>992</v>
      </c>
      <c r="F743" s="3" t="s">
        <v>117</v>
      </c>
      <c r="G743" s="2">
        <v>84.83</v>
      </c>
      <c r="H743" s="2">
        <v>1</v>
      </c>
      <c r="I743" s="2">
        <v>4.2415000000000003</v>
      </c>
      <c r="J743" s="2">
        <v>89.0715</v>
      </c>
      <c r="K743" s="5">
        <v>43479</v>
      </c>
      <c r="L743" s="4">
        <v>0.63888888888888884</v>
      </c>
      <c r="M743" s="3" t="s">
        <v>33</v>
      </c>
      <c r="N743" s="2">
        <v>84.83</v>
      </c>
      <c r="O743" s="2">
        <v>4.7619047620000003</v>
      </c>
      <c r="P743" s="2">
        <v>4.2415000000000003</v>
      </c>
      <c r="Q743" s="2">
        <v>8.8000000000000007</v>
      </c>
      <c r="R743" s="3"/>
      <c r="S743" s="1"/>
      <c r="T743" s="1"/>
      <c r="U743" s="1" t="s">
        <v>37</v>
      </c>
      <c r="V743" s="1" t="s">
        <v>37</v>
      </c>
      <c r="W743" s="1" t="s">
        <v>37</v>
      </c>
    </row>
    <row r="744" spans="1:23">
      <c r="A744" s="3" t="s">
        <v>4201</v>
      </c>
      <c r="B744" s="3" t="s">
        <v>22</v>
      </c>
      <c r="C744" s="3" t="s">
        <v>23</v>
      </c>
      <c r="D744" s="3" t="s">
        <v>24</v>
      </c>
      <c r="E744" s="3" t="s">
        <v>25</v>
      </c>
      <c r="F744" s="3" t="s">
        <v>72</v>
      </c>
      <c r="G744" s="2">
        <v>71.63</v>
      </c>
      <c r="H744" s="2">
        <v>2</v>
      </c>
      <c r="I744" s="2">
        <v>7.1630000000000003</v>
      </c>
      <c r="J744" s="2">
        <v>150.423</v>
      </c>
      <c r="K744" s="5">
        <v>43508</v>
      </c>
      <c r="L744" s="4">
        <v>0.60624999999999996</v>
      </c>
      <c r="M744" s="3" t="s">
        <v>33</v>
      </c>
      <c r="N744" s="2">
        <v>143.26</v>
      </c>
      <c r="O744" s="2">
        <v>4.7619047620000003</v>
      </c>
      <c r="P744" s="2">
        <v>7.1630000000000003</v>
      </c>
      <c r="Q744" s="2">
        <v>8.8000000000000007</v>
      </c>
      <c r="R744" s="3"/>
      <c r="S744" s="1"/>
      <c r="T744" s="1"/>
      <c r="U744" s="1" t="s">
        <v>37</v>
      </c>
      <c r="V744" s="1" t="s">
        <v>37</v>
      </c>
      <c r="W744" s="1" t="s">
        <v>37</v>
      </c>
    </row>
    <row r="745" spans="1:23">
      <c r="A745" s="3" t="s">
        <v>4206</v>
      </c>
      <c r="B745" s="3" t="s">
        <v>22</v>
      </c>
      <c r="C745" s="3" t="s">
        <v>23</v>
      </c>
      <c r="D745" s="3" t="s">
        <v>24</v>
      </c>
      <c r="E745" s="3" t="s">
        <v>992</v>
      </c>
      <c r="F745" s="3" t="s">
        <v>53</v>
      </c>
      <c r="G745" s="2">
        <v>37.69</v>
      </c>
      <c r="H745" s="2">
        <v>2</v>
      </c>
      <c r="I745" s="2">
        <v>3.7690000000000001</v>
      </c>
      <c r="J745" s="2">
        <v>79.149000000000001</v>
      </c>
      <c r="K745" s="5">
        <v>43516</v>
      </c>
      <c r="L745" s="4">
        <v>0.64513888888888893</v>
      </c>
      <c r="M745" s="3" t="s">
        <v>33</v>
      </c>
      <c r="N745" s="2">
        <v>75.38</v>
      </c>
      <c r="O745" s="2">
        <v>4.7619047620000003</v>
      </c>
      <c r="P745" s="2">
        <v>3.7690000000000001</v>
      </c>
      <c r="Q745" s="2">
        <v>9.5</v>
      </c>
      <c r="R745" s="3"/>
      <c r="S745" s="1"/>
      <c r="T745" s="1"/>
      <c r="U745" s="1" t="s">
        <v>37</v>
      </c>
      <c r="V745" s="1" t="s">
        <v>37</v>
      </c>
      <c r="W745" s="1" t="s">
        <v>37</v>
      </c>
    </row>
    <row r="746" spans="1:23">
      <c r="A746" s="3" t="s">
        <v>4211</v>
      </c>
      <c r="B746" s="3" t="s">
        <v>39</v>
      </c>
      <c r="C746" s="3" t="s">
        <v>40</v>
      </c>
      <c r="D746" s="3" t="s">
        <v>24</v>
      </c>
      <c r="E746" s="3" t="s">
        <v>25</v>
      </c>
      <c r="F746" s="3" t="s">
        <v>72</v>
      </c>
      <c r="G746" s="2">
        <v>31.67</v>
      </c>
      <c r="H746" s="2">
        <v>8</v>
      </c>
      <c r="I746" s="2">
        <v>12.667999999999999</v>
      </c>
      <c r="J746" s="2">
        <v>266.02800000000002</v>
      </c>
      <c r="K746" s="5">
        <v>43467</v>
      </c>
      <c r="L746" s="4">
        <v>0.67986111111111114</v>
      </c>
      <c r="M746" s="3" t="s">
        <v>59</v>
      </c>
      <c r="N746" s="2">
        <v>253.36</v>
      </c>
      <c r="O746" s="2">
        <v>4.7619047620000003</v>
      </c>
      <c r="P746" s="2">
        <v>12.667999999999999</v>
      </c>
      <c r="Q746" s="2">
        <v>5.6</v>
      </c>
      <c r="R746" s="3"/>
      <c r="S746" s="1"/>
      <c r="T746" s="1"/>
      <c r="U746" s="1" t="s">
        <v>37</v>
      </c>
      <c r="V746" s="1" t="s">
        <v>37</v>
      </c>
      <c r="W746" s="1" t="s">
        <v>37</v>
      </c>
    </row>
    <row r="747" spans="1:23">
      <c r="A747" s="3" t="s">
        <v>4216</v>
      </c>
      <c r="B747" s="3" t="s">
        <v>39</v>
      </c>
      <c r="C747" s="3" t="s">
        <v>40</v>
      </c>
      <c r="D747" s="3" t="s">
        <v>24</v>
      </c>
      <c r="E747" s="3" t="s">
        <v>25</v>
      </c>
      <c r="F747" s="3" t="s">
        <v>117</v>
      </c>
      <c r="G747" s="2">
        <v>38.42</v>
      </c>
      <c r="H747" s="2">
        <v>1</v>
      </c>
      <c r="I747" s="2">
        <v>1.921</v>
      </c>
      <c r="J747" s="2">
        <v>40.341000000000001</v>
      </c>
      <c r="K747" s="5">
        <v>43498</v>
      </c>
      <c r="L747" s="4">
        <v>0.68958333333333333</v>
      </c>
      <c r="M747" s="3" t="s">
        <v>49</v>
      </c>
      <c r="N747" s="2">
        <v>38.42</v>
      </c>
      <c r="O747" s="2">
        <v>4.7619047620000003</v>
      </c>
      <c r="P747" s="2">
        <v>1.921</v>
      </c>
      <c r="Q747" s="2">
        <v>8.6</v>
      </c>
      <c r="R747" s="3"/>
      <c r="S747" s="1"/>
      <c r="T747" s="1"/>
      <c r="U747" s="1" t="s">
        <v>37</v>
      </c>
      <c r="V747" s="1" t="s">
        <v>37</v>
      </c>
      <c r="W747" s="1" t="s">
        <v>37</v>
      </c>
    </row>
    <row r="748" spans="1:23">
      <c r="A748" s="3" t="s">
        <v>4221</v>
      </c>
      <c r="B748" s="3" t="s">
        <v>115</v>
      </c>
      <c r="C748" s="3" t="s">
        <v>116</v>
      </c>
      <c r="D748" s="3" t="s">
        <v>24</v>
      </c>
      <c r="E748" s="3" t="s">
        <v>992</v>
      </c>
      <c r="F748" s="3" t="s">
        <v>127</v>
      </c>
      <c r="G748" s="2">
        <v>65.23</v>
      </c>
      <c r="H748" s="2">
        <v>10</v>
      </c>
      <c r="I748" s="2">
        <v>32.615000000000002</v>
      </c>
      <c r="J748" s="2">
        <v>684.91499999999996</v>
      </c>
      <c r="K748" s="5">
        <v>43473</v>
      </c>
      <c r="L748" s="4">
        <v>0.79652777777777772</v>
      </c>
      <c r="M748" s="3" t="s">
        <v>59</v>
      </c>
      <c r="N748" s="2">
        <v>652.29999999999995</v>
      </c>
      <c r="O748" s="2">
        <v>4.7619047620000003</v>
      </c>
      <c r="P748" s="2">
        <v>32.615000000000002</v>
      </c>
      <c r="Q748" s="2">
        <v>5.2</v>
      </c>
      <c r="R748" s="3"/>
      <c r="S748" s="1"/>
      <c r="T748" s="1"/>
      <c r="U748" s="1" t="s">
        <v>37</v>
      </c>
      <c r="V748" s="1" t="s">
        <v>37</v>
      </c>
      <c r="W748" s="1" t="s">
        <v>37</v>
      </c>
    </row>
    <row r="749" spans="1:23">
      <c r="A749" s="3" t="s">
        <v>4226</v>
      </c>
      <c r="B749" s="3" t="s">
        <v>39</v>
      </c>
      <c r="C749" s="3" t="s">
        <v>40</v>
      </c>
      <c r="D749" s="3" t="s">
        <v>24</v>
      </c>
      <c r="E749" s="3" t="s">
        <v>25</v>
      </c>
      <c r="F749" s="3" t="s">
        <v>53</v>
      </c>
      <c r="G749" s="2">
        <v>10.53</v>
      </c>
      <c r="H749" s="2">
        <v>5</v>
      </c>
      <c r="I749" s="2">
        <v>2.6324999999999998</v>
      </c>
      <c r="J749" s="2">
        <v>55.282499999999999</v>
      </c>
      <c r="K749" s="5">
        <v>43495</v>
      </c>
      <c r="L749" s="4">
        <v>0.61319444444444449</v>
      </c>
      <c r="M749" s="3" t="s">
        <v>59</v>
      </c>
      <c r="N749" s="2">
        <v>52.65</v>
      </c>
      <c r="O749" s="2">
        <v>4.7619047620000003</v>
      </c>
      <c r="P749" s="2">
        <v>2.6324999999999998</v>
      </c>
      <c r="Q749" s="2">
        <v>5.8</v>
      </c>
      <c r="R749" s="3"/>
      <c r="S749" s="1"/>
      <c r="T749" s="1"/>
      <c r="U749" s="1" t="s">
        <v>37</v>
      </c>
      <c r="V749" s="1" t="s">
        <v>37</v>
      </c>
      <c r="W749" s="1" t="s">
        <v>37</v>
      </c>
    </row>
    <row r="750" spans="1:23">
      <c r="A750" s="3" t="s">
        <v>4231</v>
      </c>
      <c r="B750" s="3" t="s">
        <v>115</v>
      </c>
      <c r="C750" s="3" t="s">
        <v>116</v>
      </c>
      <c r="D750" s="3" t="s">
        <v>24</v>
      </c>
      <c r="E750" s="3" t="s">
        <v>25</v>
      </c>
      <c r="F750" s="3" t="s">
        <v>53</v>
      </c>
      <c r="G750" s="2">
        <v>12.29</v>
      </c>
      <c r="H750" s="2">
        <v>9</v>
      </c>
      <c r="I750" s="2">
        <v>5.5305</v>
      </c>
      <c r="J750" s="2">
        <v>116.1405</v>
      </c>
      <c r="K750" s="5">
        <v>43550</v>
      </c>
      <c r="L750" s="4">
        <v>0.81111111111111112</v>
      </c>
      <c r="M750" s="3" t="s">
        <v>59</v>
      </c>
      <c r="N750" s="2">
        <v>110.61</v>
      </c>
      <c r="O750" s="2">
        <v>4.7619047620000003</v>
      </c>
      <c r="P750" s="2">
        <v>5.5305</v>
      </c>
      <c r="Q750" s="2">
        <v>8</v>
      </c>
      <c r="R750" s="3"/>
      <c r="S750" s="1"/>
      <c r="T750" s="1"/>
      <c r="U750" s="1" t="s">
        <v>37</v>
      </c>
      <c r="V750" s="1" t="s">
        <v>37</v>
      </c>
      <c r="W750" s="1" t="s">
        <v>37</v>
      </c>
    </row>
    <row r="751" spans="1:23">
      <c r="A751" s="3" t="s">
        <v>4236</v>
      </c>
      <c r="B751" s="3" t="s">
        <v>39</v>
      </c>
      <c r="C751" s="3" t="s">
        <v>40</v>
      </c>
      <c r="D751" s="3" t="s">
        <v>24</v>
      </c>
      <c r="E751" s="3" t="s">
        <v>992</v>
      </c>
      <c r="F751" s="3" t="s">
        <v>26</v>
      </c>
      <c r="G751" s="2">
        <v>81.23</v>
      </c>
      <c r="H751" s="2">
        <v>7</v>
      </c>
      <c r="I751" s="2">
        <v>28.430499999999999</v>
      </c>
      <c r="J751" s="2">
        <v>597.04049999999995</v>
      </c>
      <c r="K751" s="5">
        <v>43480</v>
      </c>
      <c r="L751" s="4">
        <v>0.86388888888888893</v>
      </c>
      <c r="M751" s="3" t="s">
        <v>49</v>
      </c>
      <c r="N751" s="2">
        <v>568.61</v>
      </c>
      <c r="O751" s="2">
        <v>4.7619047620000003</v>
      </c>
      <c r="P751" s="2">
        <v>28.430499999999999</v>
      </c>
      <c r="Q751" s="2">
        <v>9</v>
      </c>
      <c r="R751" s="3"/>
      <c r="S751" s="1"/>
      <c r="T751" s="1"/>
      <c r="U751" s="1" t="s">
        <v>37</v>
      </c>
      <c r="V751" s="1" t="s">
        <v>37</v>
      </c>
      <c r="W751" s="1" t="s">
        <v>37</v>
      </c>
    </row>
    <row r="752" spans="1:23">
      <c r="A752" s="3" t="s">
        <v>4242</v>
      </c>
      <c r="B752" s="3" t="s">
        <v>115</v>
      </c>
      <c r="C752" s="3" t="s">
        <v>116</v>
      </c>
      <c r="D752" s="3" t="s">
        <v>24</v>
      </c>
      <c r="E752" s="3" t="s">
        <v>25</v>
      </c>
      <c r="F752" s="3" t="s">
        <v>127</v>
      </c>
      <c r="G752" s="2">
        <v>22.32</v>
      </c>
      <c r="H752" s="2">
        <v>4</v>
      </c>
      <c r="I752" s="2">
        <v>4.4640000000000004</v>
      </c>
      <c r="J752" s="2">
        <v>93.744</v>
      </c>
      <c r="K752" s="5">
        <v>43538</v>
      </c>
      <c r="L752" s="4">
        <v>0.46944444444444444</v>
      </c>
      <c r="M752" s="3" t="s">
        <v>33</v>
      </c>
      <c r="N752" s="2">
        <v>89.28</v>
      </c>
      <c r="O752" s="2">
        <v>4.7619047620000003</v>
      </c>
      <c r="P752" s="2">
        <v>4.4640000000000004</v>
      </c>
      <c r="Q752" s="2">
        <v>4.0999999999999996</v>
      </c>
      <c r="R752" s="3"/>
      <c r="S752" s="1"/>
      <c r="T752" s="1"/>
      <c r="U752" s="1" t="s">
        <v>37</v>
      </c>
      <c r="V752" s="1" t="s">
        <v>37</v>
      </c>
      <c r="W752" s="1" t="s">
        <v>37</v>
      </c>
    </row>
    <row r="753" spans="1:23">
      <c r="A753" s="3" t="s">
        <v>4244</v>
      </c>
      <c r="B753" s="3" t="s">
        <v>22</v>
      </c>
      <c r="C753" s="3" t="s">
        <v>23</v>
      </c>
      <c r="D753" s="3" t="s">
        <v>41</v>
      </c>
      <c r="E753" s="3" t="s">
        <v>25</v>
      </c>
      <c r="F753" s="3" t="s">
        <v>117</v>
      </c>
      <c r="G753" s="2">
        <v>27.28</v>
      </c>
      <c r="H753" s="2">
        <v>5</v>
      </c>
      <c r="I753" s="2">
        <v>6.82</v>
      </c>
      <c r="J753" s="2">
        <v>143.22</v>
      </c>
      <c r="K753" s="5">
        <v>43499</v>
      </c>
      <c r="L753" s="4">
        <v>0.43819444444444444</v>
      </c>
      <c r="M753" s="3" t="s">
        <v>59</v>
      </c>
      <c r="N753" s="2">
        <v>136.4</v>
      </c>
      <c r="O753" s="2">
        <v>4.7619047620000003</v>
      </c>
      <c r="P753" s="2">
        <v>6.82</v>
      </c>
      <c r="Q753" s="2">
        <v>8.6</v>
      </c>
      <c r="R753" s="3"/>
      <c r="S753" s="1"/>
      <c r="T753" s="1"/>
      <c r="U753" s="1" t="s">
        <v>37</v>
      </c>
      <c r="V753" s="1" t="s">
        <v>37</v>
      </c>
      <c r="W753" s="1" t="s">
        <v>37</v>
      </c>
    </row>
    <row r="754" spans="1:23">
      <c r="A754" s="3" t="s">
        <v>4249</v>
      </c>
      <c r="B754" s="3" t="s">
        <v>22</v>
      </c>
      <c r="C754" s="3" t="s">
        <v>23</v>
      </c>
      <c r="D754" s="3" t="s">
        <v>24</v>
      </c>
      <c r="E754" s="3" t="s">
        <v>25</v>
      </c>
      <c r="F754" s="3" t="s">
        <v>42</v>
      </c>
      <c r="G754" s="2">
        <v>17.420000000000002</v>
      </c>
      <c r="H754" s="2">
        <v>10</v>
      </c>
      <c r="I754" s="2">
        <v>8.7100000000000009</v>
      </c>
      <c r="J754" s="2">
        <v>182.91</v>
      </c>
      <c r="K754" s="5">
        <v>43518</v>
      </c>
      <c r="L754" s="4">
        <v>0.52083333333333337</v>
      </c>
      <c r="M754" s="3" t="s">
        <v>33</v>
      </c>
      <c r="N754" s="2">
        <v>174.2</v>
      </c>
      <c r="O754" s="2">
        <v>4.7619047620000003</v>
      </c>
      <c r="P754" s="2">
        <v>8.7100000000000009</v>
      </c>
      <c r="Q754" s="2">
        <v>7</v>
      </c>
      <c r="R754" s="3"/>
      <c r="S754" s="1"/>
      <c r="T754" s="1"/>
      <c r="U754" s="1" t="s">
        <v>37</v>
      </c>
      <c r="V754" s="1" t="s">
        <v>37</v>
      </c>
      <c r="W754" s="1" t="s">
        <v>37</v>
      </c>
    </row>
    <row r="755" spans="1:23">
      <c r="A755" s="3" t="s">
        <v>4255</v>
      </c>
      <c r="B755" s="3" t="s">
        <v>115</v>
      </c>
      <c r="C755" s="3" t="s">
        <v>116</v>
      </c>
      <c r="D755" s="3" t="s">
        <v>41</v>
      </c>
      <c r="E755" s="3" t="s">
        <v>992</v>
      </c>
      <c r="F755" s="3" t="s">
        <v>53</v>
      </c>
      <c r="G755" s="2">
        <v>73.28</v>
      </c>
      <c r="H755" s="2">
        <v>5</v>
      </c>
      <c r="I755" s="2">
        <v>18.32</v>
      </c>
      <c r="J755" s="2">
        <v>384.72</v>
      </c>
      <c r="K755" s="5">
        <v>43489</v>
      </c>
      <c r="L755" s="4">
        <v>0.62847222222222221</v>
      </c>
      <c r="M755" s="3" t="s">
        <v>33</v>
      </c>
      <c r="N755" s="2">
        <v>366.4</v>
      </c>
      <c r="O755" s="2">
        <v>4.7619047620000003</v>
      </c>
      <c r="P755" s="2">
        <v>18.32</v>
      </c>
      <c r="Q755" s="2">
        <v>8.4</v>
      </c>
      <c r="R755" s="3"/>
      <c r="S755" s="1"/>
      <c r="T755" s="1"/>
      <c r="U755" s="1" t="s">
        <v>37</v>
      </c>
      <c r="V755" s="1" t="s">
        <v>37</v>
      </c>
      <c r="W755" s="1" t="s">
        <v>37</v>
      </c>
    </row>
    <row r="756" spans="1:23">
      <c r="A756" s="3" t="s">
        <v>4260</v>
      </c>
      <c r="B756" s="3" t="s">
        <v>39</v>
      </c>
      <c r="C756" s="3" t="s">
        <v>40</v>
      </c>
      <c r="D756" s="3" t="s">
        <v>24</v>
      </c>
      <c r="E756" s="3" t="s">
        <v>25</v>
      </c>
      <c r="F756" s="3" t="s">
        <v>127</v>
      </c>
      <c r="G756" s="2">
        <v>84.87</v>
      </c>
      <c r="H756" s="2">
        <v>3</v>
      </c>
      <c r="I756" s="2">
        <v>12.730499999999999</v>
      </c>
      <c r="J756" s="2">
        <v>267.34050000000002</v>
      </c>
      <c r="K756" s="5">
        <v>43490</v>
      </c>
      <c r="L756" s="4">
        <v>0.77083333333333337</v>
      </c>
      <c r="M756" s="3" t="s">
        <v>33</v>
      </c>
      <c r="N756" s="2">
        <v>254.61</v>
      </c>
      <c r="O756" s="2">
        <v>4.7619047620000003</v>
      </c>
      <c r="P756" s="2">
        <v>12.730499999999999</v>
      </c>
      <c r="Q756" s="2">
        <v>7.4</v>
      </c>
      <c r="R756" s="3"/>
      <c r="S756" s="1"/>
      <c r="T756" s="1"/>
      <c r="U756" s="1" t="s">
        <v>37</v>
      </c>
      <c r="V756" s="1" t="s">
        <v>37</v>
      </c>
      <c r="W756" s="1" t="s">
        <v>37</v>
      </c>
    </row>
    <row r="757" spans="1:23">
      <c r="A757" s="3" t="s">
        <v>4265</v>
      </c>
      <c r="B757" s="3" t="s">
        <v>22</v>
      </c>
      <c r="C757" s="3" t="s">
        <v>23</v>
      </c>
      <c r="D757" s="3" t="s">
        <v>41</v>
      </c>
      <c r="E757" s="3" t="s">
        <v>25</v>
      </c>
      <c r="F757" s="3" t="s">
        <v>127</v>
      </c>
      <c r="G757" s="2">
        <v>97.29</v>
      </c>
      <c r="H757" s="2">
        <v>8</v>
      </c>
      <c r="I757" s="2">
        <v>38.915999999999997</v>
      </c>
      <c r="J757" s="2">
        <v>817.23599999999999</v>
      </c>
      <c r="K757" s="5">
        <v>43533</v>
      </c>
      <c r="L757" s="4">
        <v>0.5541666666666667</v>
      </c>
      <c r="M757" s="3" t="s">
        <v>59</v>
      </c>
      <c r="N757" s="2">
        <v>778.32</v>
      </c>
      <c r="O757" s="2">
        <v>4.7619047620000003</v>
      </c>
      <c r="P757" s="2">
        <v>38.915999999999997</v>
      </c>
      <c r="Q757" s="2">
        <v>6.2</v>
      </c>
      <c r="R757" s="3"/>
      <c r="S757" s="1"/>
      <c r="T757" s="1"/>
      <c r="U757" s="1" t="s">
        <v>37</v>
      </c>
      <c r="V757" s="1" t="s">
        <v>37</v>
      </c>
      <c r="W757" s="1" t="s">
        <v>37</v>
      </c>
    </row>
    <row r="758" spans="1:23">
      <c r="A758" s="3" t="s">
        <v>4270</v>
      </c>
      <c r="B758" s="3" t="s">
        <v>115</v>
      </c>
      <c r="C758" s="3" t="s">
        <v>116</v>
      </c>
      <c r="D758" s="3" t="s">
        <v>24</v>
      </c>
      <c r="E758" s="3" t="s">
        <v>25</v>
      </c>
      <c r="F758" s="3" t="s">
        <v>42</v>
      </c>
      <c r="G758" s="2">
        <v>35.74</v>
      </c>
      <c r="H758" s="2">
        <v>8</v>
      </c>
      <c r="I758" s="2">
        <v>14.295999999999999</v>
      </c>
      <c r="J758" s="2">
        <v>300.21600000000001</v>
      </c>
      <c r="K758" s="5">
        <v>43513</v>
      </c>
      <c r="L758" s="4">
        <v>0.64444444444444449</v>
      </c>
      <c r="M758" s="3" t="s">
        <v>33</v>
      </c>
      <c r="N758" s="2">
        <v>285.92</v>
      </c>
      <c r="O758" s="2">
        <v>4.7619047620000003</v>
      </c>
      <c r="P758" s="2">
        <v>14.295999999999999</v>
      </c>
      <c r="Q758" s="2">
        <v>4.9000000000000004</v>
      </c>
      <c r="R758" s="3"/>
      <c r="S758" s="1"/>
      <c r="T758" s="1"/>
      <c r="U758" s="1" t="s">
        <v>37</v>
      </c>
      <c r="V758" s="1" t="s">
        <v>37</v>
      </c>
      <c r="W758" s="1" t="s">
        <v>37</v>
      </c>
    </row>
    <row r="759" spans="1:23">
      <c r="A759" s="3" t="s">
        <v>4275</v>
      </c>
      <c r="B759" s="3" t="s">
        <v>22</v>
      </c>
      <c r="C759" s="3" t="s">
        <v>23</v>
      </c>
      <c r="D759" s="3" t="s">
        <v>41</v>
      </c>
      <c r="E759" s="3" t="s">
        <v>25</v>
      </c>
      <c r="F759" s="3" t="s">
        <v>53</v>
      </c>
      <c r="G759" s="2">
        <v>96.52</v>
      </c>
      <c r="H759" s="2">
        <v>6</v>
      </c>
      <c r="I759" s="2">
        <v>28.956</v>
      </c>
      <c r="J759" s="2">
        <v>608.07600000000002</v>
      </c>
      <c r="K759" s="5">
        <v>43476</v>
      </c>
      <c r="L759" s="4">
        <v>0.49444444444444446</v>
      </c>
      <c r="M759" s="3" t="s">
        <v>49</v>
      </c>
      <c r="N759" s="2">
        <v>579.12</v>
      </c>
      <c r="O759" s="2">
        <v>4.7619047620000003</v>
      </c>
      <c r="P759" s="2">
        <v>28.956</v>
      </c>
      <c r="Q759" s="2">
        <v>4.5</v>
      </c>
      <c r="R759" s="3"/>
      <c r="S759" s="1"/>
      <c r="T759" s="1"/>
      <c r="U759" s="1" t="s">
        <v>37</v>
      </c>
      <c r="V759" s="1" t="s">
        <v>37</v>
      </c>
      <c r="W759" s="1" t="s">
        <v>37</v>
      </c>
    </row>
    <row r="760" spans="1:23">
      <c r="A760" s="3" t="s">
        <v>4280</v>
      </c>
      <c r="B760" s="3" t="s">
        <v>22</v>
      </c>
      <c r="C760" s="3" t="s">
        <v>23</v>
      </c>
      <c r="D760" s="3" t="s">
        <v>24</v>
      </c>
      <c r="E760" s="3" t="s">
        <v>992</v>
      </c>
      <c r="F760" s="3" t="s">
        <v>117</v>
      </c>
      <c r="G760" s="2">
        <v>18.850000000000001</v>
      </c>
      <c r="H760" s="2">
        <v>10</v>
      </c>
      <c r="I760" s="2">
        <v>9.4250000000000007</v>
      </c>
      <c r="J760" s="2">
        <v>197.92500000000001</v>
      </c>
      <c r="K760" s="5">
        <v>43523</v>
      </c>
      <c r="L760" s="4">
        <v>0.76666666666666672</v>
      </c>
      <c r="M760" s="3" t="s">
        <v>33</v>
      </c>
      <c r="N760" s="2">
        <v>188.5</v>
      </c>
      <c r="O760" s="2">
        <v>4.7619047620000003</v>
      </c>
      <c r="P760" s="2">
        <v>9.4250000000000007</v>
      </c>
      <c r="Q760" s="2">
        <v>5.6</v>
      </c>
      <c r="R760" s="3"/>
      <c r="S760" s="1"/>
      <c r="T760" s="1"/>
      <c r="U760" s="1" t="s">
        <v>37</v>
      </c>
      <c r="V760" s="1" t="s">
        <v>37</v>
      </c>
      <c r="W760" s="1" t="s">
        <v>37</v>
      </c>
    </row>
    <row r="761" spans="1:23">
      <c r="A761" s="3" t="s">
        <v>4285</v>
      </c>
      <c r="B761" s="3" t="s">
        <v>22</v>
      </c>
      <c r="C761" s="3" t="s">
        <v>23</v>
      </c>
      <c r="D761" s="3" t="s">
        <v>41</v>
      </c>
      <c r="E761" s="3" t="s">
        <v>25</v>
      </c>
      <c r="F761" s="3" t="s">
        <v>117</v>
      </c>
      <c r="G761" s="2">
        <v>55.39</v>
      </c>
      <c r="H761" s="2">
        <v>4</v>
      </c>
      <c r="I761" s="2">
        <v>11.077999999999999</v>
      </c>
      <c r="J761" s="2">
        <v>232.63800000000001</v>
      </c>
      <c r="K761" s="5">
        <v>43549</v>
      </c>
      <c r="L761" s="4">
        <v>0.6381944444444444</v>
      </c>
      <c r="M761" s="3" t="s">
        <v>33</v>
      </c>
      <c r="N761" s="2">
        <v>221.56</v>
      </c>
      <c r="O761" s="2">
        <v>4.7619047620000003</v>
      </c>
      <c r="P761" s="2">
        <v>11.077999999999999</v>
      </c>
      <c r="Q761" s="2">
        <v>8</v>
      </c>
      <c r="R761" s="3"/>
      <c r="S761" s="1"/>
      <c r="T761" s="1"/>
      <c r="U761" s="1" t="s">
        <v>37</v>
      </c>
      <c r="V761" s="1" t="s">
        <v>37</v>
      </c>
      <c r="W761" s="1" t="s">
        <v>37</v>
      </c>
    </row>
    <row r="762" spans="1:23">
      <c r="A762" s="3" t="s">
        <v>4290</v>
      </c>
      <c r="B762" s="3" t="s">
        <v>115</v>
      </c>
      <c r="C762" s="3" t="s">
        <v>116</v>
      </c>
      <c r="D762" s="3" t="s">
        <v>24</v>
      </c>
      <c r="E762" s="3" t="s">
        <v>25</v>
      </c>
      <c r="F762" s="3" t="s">
        <v>117</v>
      </c>
      <c r="G762" s="2">
        <v>77.2</v>
      </c>
      <c r="H762" s="2">
        <v>10</v>
      </c>
      <c r="I762" s="2">
        <v>38.6</v>
      </c>
      <c r="J762" s="2">
        <v>810.6</v>
      </c>
      <c r="K762" s="5">
        <v>43507</v>
      </c>
      <c r="L762" s="4">
        <v>0.44305555555555554</v>
      </c>
      <c r="M762" s="3" t="s">
        <v>59</v>
      </c>
      <c r="N762" s="2">
        <v>772</v>
      </c>
      <c r="O762" s="2">
        <v>4.7619047620000003</v>
      </c>
      <c r="P762" s="2">
        <v>38.6</v>
      </c>
      <c r="Q762" s="2">
        <v>5.6</v>
      </c>
      <c r="R762" s="3"/>
      <c r="S762" s="1"/>
      <c r="T762" s="1"/>
      <c r="U762" s="1" t="s">
        <v>37</v>
      </c>
      <c r="V762" s="1" t="s">
        <v>37</v>
      </c>
      <c r="W762" s="1" t="s">
        <v>37</v>
      </c>
    </row>
    <row r="763" spans="1:23">
      <c r="A763" s="3" t="s">
        <v>4294</v>
      </c>
      <c r="B763" s="3" t="s">
        <v>115</v>
      </c>
      <c r="C763" s="3" t="s">
        <v>116</v>
      </c>
      <c r="D763" s="3" t="s">
        <v>41</v>
      </c>
      <c r="E763" s="3" t="s">
        <v>992</v>
      </c>
      <c r="F763" s="3" t="s">
        <v>42</v>
      </c>
      <c r="G763" s="2">
        <v>72.13</v>
      </c>
      <c r="H763" s="2">
        <v>10</v>
      </c>
      <c r="I763" s="2">
        <v>36.064999999999998</v>
      </c>
      <c r="J763" s="2">
        <v>757.36500000000001</v>
      </c>
      <c r="K763" s="5">
        <v>43496</v>
      </c>
      <c r="L763" s="4">
        <v>0.6333333333333333</v>
      </c>
      <c r="M763" s="3" t="s">
        <v>59</v>
      </c>
      <c r="N763" s="2">
        <v>721.3</v>
      </c>
      <c r="O763" s="2">
        <v>4.7619047620000003</v>
      </c>
      <c r="P763" s="2">
        <v>36.064999999999998</v>
      </c>
      <c r="Q763" s="2">
        <v>4.2</v>
      </c>
      <c r="R763" s="3"/>
      <c r="S763" s="1"/>
      <c r="T763" s="1"/>
      <c r="U763" s="1" t="s">
        <v>37</v>
      </c>
      <c r="V763" s="1" t="s">
        <v>37</v>
      </c>
      <c r="W763" s="1" t="s">
        <v>37</v>
      </c>
    </row>
    <row r="764" spans="1:23">
      <c r="A764" s="3" t="s">
        <v>4299</v>
      </c>
      <c r="B764" s="3" t="s">
        <v>22</v>
      </c>
      <c r="C764" s="3" t="s">
        <v>23</v>
      </c>
      <c r="D764" s="3" t="s">
        <v>24</v>
      </c>
      <c r="E764" s="3" t="s">
        <v>25</v>
      </c>
      <c r="F764" s="3" t="s">
        <v>127</v>
      </c>
      <c r="G764" s="2">
        <v>63.88</v>
      </c>
      <c r="H764" s="2">
        <v>8</v>
      </c>
      <c r="I764" s="2">
        <v>25.552</v>
      </c>
      <c r="J764" s="2">
        <v>536.59199999999998</v>
      </c>
      <c r="K764" s="5">
        <v>43485</v>
      </c>
      <c r="L764" s="4">
        <v>0.7416666666666667</v>
      </c>
      <c r="M764" s="3" t="s">
        <v>33</v>
      </c>
      <c r="N764" s="2">
        <v>511.04</v>
      </c>
      <c r="O764" s="2">
        <v>4.7619047620000003</v>
      </c>
      <c r="P764" s="2">
        <v>25.552</v>
      </c>
      <c r="Q764" s="2">
        <v>9.9</v>
      </c>
      <c r="R764" s="3"/>
      <c r="S764" s="1"/>
      <c r="T764" s="1"/>
      <c r="U764" s="1" t="s">
        <v>37</v>
      </c>
      <c r="V764" s="1" t="s">
        <v>37</v>
      </c>
      <c r="W764" s="1" t="s">
        <v>37</v>
      </c>
    </row>
    <row r="765" spans="1:23">
      <c r="A765" s="3" t="s">
        <v>4305</v>
      </c>
      <c r="B765" s="3" t="s">
        <v>22</v>
      </c>
      <c r="C765" s="3" t="s">
        <v>23</v>
      </c>
      <c r="D765" s="3" t="s">
        <v>24</v>
      </c>
      <c r="E765" s="3" t="s">
        <v>25</v>
      </c>
      <c r="F765" s="3" t="s">
        <v>26</v>
      </c>
      <c r="G765" s="2">
        <v>10.69</v>
      </c>
      <c r="H765" s="2">
        <v>5</v>
      </c>
      <c r="I765" s="2">
        <v>2.6724999999999999</v>
      </c>
      <c r="J765" s="2">
        <v>56.122500000000002</v>
      </c>
      <c r="K765" s="5">
        <v>43550</v>
      </c>
      <c r="L765" s="4">
        <v>0.46319444444444446</v>
      </c>
      <c r="M765" s="3" t="s">
        <v>33</v>
      </c>
      <c r="N765" s="2">
        <v>53.45</v>
      </c>
      <c r="O765" s="2">
        <v>4.7619047620000003</v>
      </c>
      <c r="P765" s="2">
        <v>2.6724999999999999</v>
      </c>
      <c r="Q765" s="2">
        <v>7.6</v>
      </c>
      <c r="R765" s="3"/>
      <c r="S765" s="1"/>
      <c r="T765" s="1"/>
      <c r="U765" s="1" t="s">
        <v>37</v>
      </c>
      <c r="V765" s="1" t="s">
        <v>37</v>
      </c>
      <c r="W765" s="1" t="s">
        <v>37</v>
      </c>
    </row>
    <row r="766" spans="1:23">
      <c r="A766" s="3" t="s">
        <v>4310</v>
      </c>
      <c r="B766" s="3" t="s">
        <v>22</v>
      </c>
      <c r="C766" s="3" t="s">
        <v>23</v>
      </c>
      <c r="D766" s="3" t="s">
        <v>24</v>
      </c>
      <c r="E766" s="3" t="s">
        <v>992</v>
      </c>
      <c r="F766" s="3" t="s">
        <v>26</v>
      </c>
      <c r="G766" s="2">
        <v>55.5</v>
      </c>
      <c r="H766" s="2">
        <v>4</v>
      </c>
      <c r="I766" s="2">
        <v>11.1</v>
      </c>
      <c r="J766" s="2">
        <v>233.1</v>
      </c>
      <c r="K766" s="5">
        <v>43485</v>
      </c>
      <c r="L766" s="4">
        <v>0.65833333333333333</v>
      </c>
      <c r="M766" s="3" t="s">
        <v>59</v>
      </c>
      <c r="N766" s="2">
        <v>222</v>
      </c>
      <c r="O766" s="2">
        <v>4.7619047620000003</v>
      </c>
      <c r="P766" s="2">
        <v>11.1</v>
      </c>
      <c r="Q766" s="2">
        <v>6.6</v>
      </c>
      <c r="R766" s="3"/>
      <c r="S766" s="1"/>
      <c r="T766" s="1"/>
      <c r="U766" s="1" t="s">
        <v>37</v>
      </c>
      <c r="V766" s="1" t="s">
        <v>37</v>
      </c>
      <c r="W766" s="1" t="s">
        <v>37</v>
      </c>
    </row>
    <row r="767" spans="1:23">
      <c r="A767" s="3" t="s">
        <v>4315</v>
      </c>
      <c r="B767" s="3" t="s">
        <v>115</v>
      </c>
      <c r="C767" s="3" t="s">
        <v>116</v>
      </c>
      <c r="D767" s="3" t="s">
        <v>41</v>
      </c>
      <c r="E767" s="3" t="s">
        <v>25</v>
      </c>
      <c r="F767" s="3" t="s">
        <v>53</v>
      </c>
      <c r="G767" s="2">
        <v>95.46</v>
      </c>
      <c r="H767" s="2">
        <v>8</v>
      </c>
      <c r="I767" s="2">
        <v>38.183999999999997</v>
      </c>
      <c r="J767" s="2">
        <v>801.86400000000003</v>
      </c>
      <c r="K767" s="5">
        <v>43529</v>
      </c>
      <c r="L767" s="4">
        <v>0.81944444444444442</v>
      </c>
      <c r="M767" s="3" t="s">
        <v>33</v>
      </c>
      <c r="N767" s="2">
        <v>763.68</v>
      </c>
      <c r="O767" s="2">
        <v>4.7619047620000003</v>
      </c>
      <c r="P767" s="2">
        <v>38.183999999999997</v>
      </c>
      <c r="Q767" s="2">
        <v>4.7</v>
      </c>
      <c r="R767" s="3"/>
      <c r="S767" s="1"/>
      <c r="T767" s="1"/>
      <c r="U767" s="1" t="s">
        <v>37</v>
      </c>
      <c r="V767" s="1" t="s">
        <v>37</v>
      </c>
      <c r="W767" s="1" t="s">
        <v>37</v>
      </c>
    </row>
    <row r="768" spans="1:23">
      <c r="A768" s="3" t="s">
        <v>4320</v>
      </c>
      <c r="B768" s="3" t="s">
        <v>39</v>
      </c>
      <c r="C768" s="3" t="s">
        <v>40</v>
      </c>
      <c r="D768" s="3" t="s">
        <v>41</v>
      </c>
      <c r="E768" s="3" t="s">
        <v>25</v>
      </c>
      <c r="F768" s="3" t="s">
        <v>127</v>
      </c>
      <c r="G768" s="2">
        <v>76.06</v>
      </c>
      <c r="H768" s="2">
        <v>3</v>
      </c>
      <c r="I768" s="2">
        <v>11.409000000000001</v>
      </c>
      <c r="J768" s="2">
        <v>239.589</v>
      </c>
      <c r="K768" s="5">
        <v>43470</v>
      </c>
      <c r="L768" s="4">
        <v>0.85416666666666663</v>
      </c>
      <c r="M768" s="3" t="s">
        <v>59</v>
      </c>
      <c r="N768" s="2">
        <v>228.18</v>
      </c>
      <c r="O768" s="2">
        <v>4.7619047620000003</v>
      </c>
      <c r="P768" s="2">
        <v>11.409000000000001</v>
      </c>
      <c r="Q768" s="2">
        <v>9.8000000000000007</v>
      </c>
      <c r="R768" s="3"/>
      <c r="S768" s="1"/>
      <c r="T768" s="1"/>
      <c r="U768" s="1" t="s">
        <v>37</v>
      </c>
      <c r="V768" s="1" t="s">
        <v>37</v>
      </c>
      <c r="W768" s="1" t="s">
        <v>37</v>
      </c>
    </row>
    <row r="769" spans="1:23">
      <c r="A769" s="3" t="s">
        <v>4326</v>
      </c>
      <c r="B769" s="3" t="s">
        <v>115</v>
      </c>
      <c r="C769" s="3" t="s">
        <v>116</v>
      </c>
      <c r="D769" s="3" t="s">
        <v>41</v>
      </c>
      <c r="E769" s="3" t="s">
        <v>992</v>
      </c>
      <c r="F769" s="3" t="s">
        <v>72</v>
      </c>
      <c r="G769" s="2">
        <v>13.69</v>
      </c>
      <c r="H769" s="2">
        <v>6</v>
      </c>
      <c r="I769" s="2">
        <v>4.1070000000000002</v>
      </c>
      <c r="J769" s="2">
        <v>86.247</v>
      </c>
      <c r="K769" s="5">
        <v>43509</v>
      </c>
      <c r="L769" s="4">
        <v>0.58263888888888893</v>
      </c>
      <c r="M769" s="3" t="s">
        <v>49</v>
      </c>
      <c r="N769" s="2">
        <v>82.14</v>
      </c>
      <c r="O769" s="2">
        <v>4.7619047620000003</v>
      </c>
      <c r="P769" s="2">
        <v>4.1070000000000002</v>
      </c>
      <c r="Q769" s="2">
        <v>6.3</v>
      </c>
      <c r="R769" s="3"/>
      <c r="S769" s="1"/>
      <c r="T769" s="1"/>
      <c r="U769" s="1" t="s">
        <v>37</v>
      </c>
      <c r="V769" s="1" t="s">
        <v>37</v>
      </c>
      <c r="W769" s="1" t="s">
        <v>37</v>
      </c>
    </row>
    <row r="770" spans="1:23">
      <c r="A770" s="3" t="s">
        <v>4332</v>
      </c>
      <c r="B770" s="3" t="s">
        <v>115</v>
      </c>
      <c r="C770" s="3" t="s">
        <v>116</v>
      </c>
      <c r="D770" s="3" t="s">
        <v>41</v>
      </c>
      <c r="E770" s="3" t="s">
        <v>25</v>
      </c>
      <c r="F770" s="3" t="s">
        <v>42</v>
      </c>
      <c r="G770" s="2">
        <v>95.64</v>
      </c>
      <c r="H770" s="2">
        <v>4</v>
      </c>
      <c r="I770" s="2">
        <v>19.128</v>
      </c>
      <c r="J770" s="2">
        <v>401.68799999999999</v>
      </c>
      <c r="K770" s="5">
        <v>43540</v>
      </c>
      <c r="L770" s="4">
        <v>0.78541666666666665</v>
      </c>
      <c r="M770" s="3" t="s">
        <v>49</v>
      </c>
      <c r="N770" s="2">
        <v>382.56</v>
      </c>
      <c r="O770" s="2">
        <v>4.7619047620000003</v>
      </c>
      <c r="P770" s="2">
        <v>19.128</v>
      </c>
      <c r="Q770" s="2">
        <v>7.9</v>
      </c>
      <c r="R770" s="3"/>
      <c r="S770" s="1"/>
      <c r="T770" s="1"/>
      <c r="U770" s="1" t="s">
        <v>37</v>
      </c>
      <c r="V770" s="1" t="s">
        <v>37</v>
      </c>
      <c r="W770" s="1" t="s">
        <v>37</v>
      </c>
    </row>
    <row r="771" spans="1:23">
      <c r="A771" s="3" t="s">
        <v>4337</v>
      </c>
      <c r="B771" s="3" t="s">
        <v>22</v>
      </c>
      <c r="C771" s="3" t="s">
        <v>23</v>
      </c>
      <c r="D771" s="3" t="s">
        <v>41</v>
      </c>
      <c r="E771" s="3" t="s">
        <v>25</v>
      </c>
      <c r="F771" s="3" t="s">
        <v>53</v>
      </c>
      <c r="G771" s="2">
        <v>11.43</v>
      </c>
      <c r="H771" s="2">
        <v>6</v>
      </c>
      <c r="I771" s="2">
        <v>3.4289999999999998</v>
      </c>
      <c r="J771" s="2">
        <v>72.009</v>
      </c>
      <c r="K771" s="5">
        <v>43480</v>
      </c>
      <c r="L771" s="4">
        <v>0.72499999999999998</v>
      </c>
      <c r="M771" s="3" t="s">
        <v>49</v>
      </c>
      <c r="N771" s="2">
        <v>68.58</v>
      </c>
      <c r="O771" s="2">
        <v>4.7619047620000003</v>
      </c>
      <c r="P771" s="2">
        <v>3.4289999999999998</v>
      </c>
      <c r="Q771" s="2">
        <v>7.7</v>
      </c>
      <c r="R771" s="3"/>
      <c r="S771" s="1"/>
      <c r="T771" s="1"/>
      <c r="U771" s="1" t="s">
        <v>37</v>
      </c>
      <c r="V771" s="1" t="s">
        <v>37</v>
      </c>
      <c r="W771" s="1" t="s">
        <v>37</v>
      </c>
    </row>
    <row r="772" spans="1:23">
      <c r="A772" s="3" t="s">
        <v>4342</v>
      </c>
      <c r="B772" s="3" t="s">
        <v>115</v>
      </c>
      <c r="C772" s="3" t="s">
        <v>116</v>
      </c>
      <c r="D772" s="3" t="s">
        <v>24</v>
      </c>
      <c r="E772" s="3" t="s">
        <v>25</v>
      </c>
      <c r="F772" s="3" t="s">
        <v>72</v>
      </c>
      <c r="G772" s="2">
        <v>95.54</v>
      </c>
      <c r="H772" s="2">
        <v>4</v>
      </c>
      <c r="I772" s="2">
        <v>19.108000000000001</v>
      </c>
      <c r="J772" s="2">
        <v>401.26799999999997</v>
      </c>
      <c r="K772" s="5">
        <v>43522</v>
      </c>
      <c r="L772" s="4">
        <v>0.49861111111111112</v>
      </c>
      <c r="M772" s="3" t="s">
        <v>33</v>
      </c>
      <c r="N772" s="2">
        <v>382.16</v>
      </c>
      <c r="O772" s="2">
        <v>4.7619047620000003</v>
      </c>
      <c r="P772" s="2">
        <v>19.108000000000001</v>
      </c>
      <c r="Q772" s="2">
        <v>4.5</v>
      </c>
      <c r="R772" s="3"/>
      <c r="S772" s="1"/>
      <c r="T772" s="1"/>
      <c r="U772" s="1" t="s">
        <v>37</v>
      </c>
      <c r="V772" s="1" t="s">
        <v>37</v>
      </c>
      <c r="W772" s="1" t="s">
        <v>37</v>
      </c>
    </row>
    <row r="773" spans="1:23">
      <c r="A773" s="3" t="s">
        <v>4347</v>
      </c>
      <c r="B773" s="3" t="s">
        <v>39</v>
      </c>
      <c r="C773" s="3" t="s">
        <v>40</v>
      </c>
      <c r="D773" s="3" t="s">
        <v>24</v>
      </c>
      <c r="E773" s="3" t="s">
        <v>25</v>
      </c>
      <c r="F773" s="3" t="s">
        <v>26</v>
      </c>
      <c r="G773" s="2">
        <v>85.87</v>
      </c>
      <c r="H773" s="2">
        <v>7</v>
      </c>
      <c r="I773" s="2">
        <v>30.054500000000001</v>
      </c>
      <c r="J773" s="2">
        <v>631.14449999999999</v>
      </c>
      <c r="K773" s="5">
        <v>43523</v>
      </c>
      <c r="L773" s="4">
        <v>0.79236111111111107</v>
      </c>
      <c r="M773" s="3" t="s">
        <v>59</v>
      </c>
      <c r="N773" s="2">
        <v>601.09</v>
      </c>
      <c r="O773" s="2">
        <v>4.7619047620000003</v>
      </c>
      <c r="P773" s="2">
        <v>30.054500000000001</v>
      </c>
      <c r="Q773" s="2">
        <v>8</v>
      </c>
      <c r="R773" s="3"/>
      <c r="S773" s="1"/>
      <c r="T773" s="1"/>
      <c r="U773" s="1" t="s">
        <v>37</v>
      </c>
      <c r="V773" s="1" t="s">
        <v>37</v>
      </c>
      <c r="W773" s="1" t="s">
        <v>37</v>
      </c>
    </row>
    <row r="774" spans="1:23">
      <c r="A774" s="3" t="s">
        <v>4352</v>
      </c>
      <c r="B774" s="3" t="s">
        <v>39</v>
      </c>
      <c r="C774" s="3" t="s">
        <v>40</v>
      </c>
      <c r="D774" s="3" t="s">
        <v>24</v>
      </c>
      <c r="E774" s="3" t="s">
        <v>25</v>
      </c>
      <c r="F774" s="3" t="s">
        <v>72</v>
      </c>
      <c r="G774" s="2">
        <v>67.989999999999995</v>
      </c>
      <c r="H774" s="2">
        <v>7</v>
      </c>
      <c r="I774" s="2">
        <v>23.796500000000002</v>
      </c>
      <c r="J774" s="2">
        <v>499.72649999999999</v>
      </c>
      <c r="K774" s="5">
        <v>43513</v>
      </c>
      <c r="L774" s="4">
        <v>0.70138888888888884</v>
      </c>
      <c r="M774" s="3" t="s">
        <v>33</v>
      </c>
      <c r="N774" s="2">
        <v>475.93</v>
      </c>
      <c r="O774" s="2">
        <v>4.7619047620000003</v>
      </c>
      <c r="P774" s="2">
        <v>23.796500000000002</v>
      </c>
      <c r="Q774" s="2">
        <v>5.7</v>
      </c>
      <c r="R774" s="3"/>
      <c r="S774" s="1"/>
      <c r="T774" s="1"/>
      <c r="U774" s="1" t="s">
        <v>37</v>
      </c>
      <c r="V774" s="1" t="s">
        <v>37</v>
      </c>
      <c r="W774" s="1" t="s">
        <v>37</v>
      </c>
    </row>
    <row r="775" spans="1:23">
      <c r="A775" s="3" t="s">
        <v>4358</v>
      </c>
      <c r="B775" s="3" t="s">
        <v>39</v>
      </c>
      <c r="C775" s="3" t="s">
        <v>40</v>
      </c>
      <c r="D775" s="3" t="s">
        <v>41</v>
      </c>
      <c r="E775" s="3" t="s">
        <v>25</v>
      </c>
      <c r="F775" s="3" t="s">
        <v>117</v>
      </c>
      <c r="G775" s="2">
        <v>52.42</v>
      </c>
      <c r="H775" s="2">
        <v>1</v>
      </c>
      <c r="I775" s="2">
        <v>2.621</v>
      </c>
      <c r="J775" s="2">
        <v>55.040999999999997</v>
      </c>
      <c r="K775" s="5">
        <v>43502</v>
      </c>
      <c r="L775" s="4">
        <v>0.43194444444444446</v>
      </c>
      <c r="M775" s="3" t="s">
        <v>59</v>
      </c>
      <c r="N775" s="2">
        <v>52.42</v>
      </c>
      <c r="O775" s="2">
        <v>4.7619047620000003</v>
      </c>
      <c r="P775" s="2">
        <v>2.621</v>
      </c>
      <c r="Q775" s="2">
        <v>6.3</v>
      </c>
      <c r="R775" s="3"/>
      <c r="S775" s="1"/>
      <c r="T775" s="1"/>
      <c r="U775" s="1" t="s">
        <v>37</v>
      </c>
      <c r="V775" s="1" t="s">
        <v>37</v>
      </c>
      <c r="W775" s="1" t="s">
        <v>37</v>
      </c>
    </row>
    <row r="776" spans="1:23">
      <c r="A776" s="3" t="s">
        <v>4361</v>
      </c>
      <c r="B776" s="3" t="s">
        <v>39</v>
      </c>
      <c r="C776" s="3" t="s">
        <v>40</v>
      </c>
      <c r="D776" s="3" t="s">
        <v>24</v>
      </c>
      <c r="E776" s="3" t="s">
        <v>992</v>
      </c>
      <c r="F776" s="3" t="s">
        <v>117</v>
      </c>
      <c r="G776" s="2">
        <v>65.650000000000006</v>
      </c>
      <c r="H776" s="2">
        <v>2</v>
      </c>
      <c r="I776" s="2">
        <v>6.5650000000000004</v>
      </c>
      <c r="J776" s="2">
        <v>137.86500000000001</v>
      </c>
      <c r="K776" s="5">
        <v>43482</v>
      </c>
      <c r="L776" s="4">
        <v>0.69861111111111107</v>
      </c>
      <c r="M776" s="3" t="s">
        <v>49</v>
      </c>
      <c r="N776" s="2">
        <v>131.30000000000001</v>
      </c>
      <c r="O776" s="2">
        <v>4.7619047620000003</v>
      </c>
      <c r="P776" s="2">
        <v>6.5650000000000004</v>
      </c>
      <c r="Q776" s="2">
        <v>6</v>
      </c>
      <c r="R776" s="3"/>
      <c r="S776" s="1"/>
      <c r="T776" s="1"/>
      <c r="U776" s="1" t="s">
        <v>37</v>
      </c>
      <c r="V776" s="1" t="s">
        <v>37</v>
      </c>
      <c r="W776" s="1" t="s">
        <v>37</v>
      </c>
    </row>
    <row r="777" spans="1:23">
      <c r="A777" s="3" t="s">
        <v>4366</v>
      </c>
      <c r="B777" s="3" t="s">
        <v>115</v>
      </c>
      <c r="C777" s="3" t="s">
        <v>116</v>
      </c>
      <c r="D777" s="3" t="s">
        <v>41</v>
      </c>
      <c r="E777" s="3" t="s">
        <v>25</v>
      </c>
      <c r="F777" s="3" t="s">
        <v>117</v>
      </c>
      <c r="G777" s="2">
        <v>28.86</v>
      </c>
      <c r="H777" s="2">
        <v>5</v>
      </c>
      <c r="I777" s="2">
        <v>7.2149999999999999</v>
      </c>
      <c r="J777" s="2">
        <v>151.51499999999999</v>
      </c>
      <c r="K777" s="5">
        <v>43487</v>
      </c>
      <c r="L777" s="4">
        <v>0.75555555555555554</v>
      </c>
      <c r="M777" s="3" t="s">
        <v>59</v>
      </c>
      <c r="N777" s="2">
        <v>144.30000000000001</v>
      </c>
      <c r="O777" s="2">
        <v>4.7619047620000003</v>
      </c>
      <c r="P777" s="2">
        <v>7.2149999999999999</v>
      </c>
      <c r="Q777" s="2">
        <v>8</v>
      </c>
      <c r="R777" s="3"/>
      <c r="S777" s="1"/>
      <c r="T777" s="1"/>
      <c r="U777" s="1" t="s">
        <v>37</v>
      </c>
      <c r="V777" s="1" t="s">
        <v>37</v>
      </c>
      <c r="W777" s="1" t="s">
        <v>37</v>
      </c>
    </row>
    <row r="778" spans="1:23">
      <c r="A778" s="3" t="s">
        <v>4371</v>
      </c>
      <c r="B778" s="3" t="s">
        <v>39</v>
      </c>
      <c r="C778" s="3" t="s">
        <v>40</v>
      </c>
      <c r="D778" s="3" t="s">
        <v>24</v>
      </c>
      <c r="E778" s="3" t="s">
        <v>992</v>
      </c>
      <c r="F778" s="3" t="s">
        <v>26</v>
      </c>
      <c r="G778" s="2">
        <v>65.31</v>
      </c>
      <c r="H778" s="2">
        <v>7</v>
      </c>
      <c r="I778" s="2">
        <v>22.858499999999999</v>
      </c>
      <c r="J778" s="2">
        <v>480.02850000000001</v>
      </c>
      <c r="K778" s="5">
        <v>43529</v>
      </c>
      <c r="L778" s="4">
        <v>0.75138888888888888</v>
      </c>
      <c r="M778" s="3" t="s">
        <v>59</v>
      </c>
      <c r="N778" s="2">
        <v>457.17</v>
      </c>
      <c r="O778" s="2">
        <v>4.7619047620000003</v>
      </c>
      <c r="P778" s="2">
        <v>22.858499999999999</v>
      </c>
      <c r="Q778" s="2">
        <v>4.2</v>
      </c>
      <c r="R778" s="3"/>
      <c r="S778" s="1"/>
      <c r="T778" s="1"/>
      <c r="U778" s="1" t="s">
        <v>37</v>
      </c>
      <c r="V778" s="1" t="s">
        <v>37</v>
      </c>
      <c r="W778" s="1" t="s">
        <v>37</v>
      </c>
    </row>
    <row r="779" spans="1:23">
      <c r="A779" s="3" t="s">
        <v>4377</v>
      </c>
      <c r="B779" s="3" t="s">
        <v>115</v>
      </c>
      <c r="C779" s="3" t="s">
        <v>116</v>
      </c>
      <c r="D779" s="3" t="s">
        <v>41</v>
      </c>
      <c r="E779" s="3" t="s">
        <v>992</v>
      </c>
      <c r="F779" s="3" t="s">
        <v>72</v>
      </c>
      <c r="G779" s="2">
        <v>93.38</v>
      </c>
      <c r="H779" s="2">
        <v>1</v>
      </c>
      <c r="I779" s="2">
        <v>4.6689999999999996</v>
      </c>
      <c r="J779" s="2">
        <v>98.049000000000007</v>
      </c>
      <c r="K779" s="5">
        <v>43468</v>
      </c>
      <c r="L779" s="4">
        <v>0.54652777777777772</v>
      </c>
      <c r="M779" s="3" t="s">
        <v>49</v>
      </c>
      <c r="N779" s="2">
        <v>93.38</v>
      </c>
      <c r="O779" s="2">
        <v>4.7619047620000003</v>
      </c>
      <c r="P779" s="2">
        <v>4.6689999999999996</v>
      </c>
      <c r="Q779" s="2">
        <v>9.6</v>
      </c>
      <c r="R779" s="3"/>
      <c r="S779" s="1"/>
      <c r="T779" s="1"/>
      <c r="U779" s="1" t="s">
        <v>37</v>
      </c>
      <c r="V779" s="1" t="s">
        <v>37</v>
      </c>
      <c r="W779" s="1" t="s">
        <v>37</v>
      </c>
    </row>
    <row r="780" spans="1:23">
      <c r="A780" s="3" t="s">
        <v>4381</v>
      </c>
      <c r="B780" s="3" t="s">
        <v>39</v>
      </c>
      <c r="C780" s="3" t="s">
        <v>40</v>
      </c>
      <c r="D780" s="3" t="s">
        <v>24</v>
      </c>
      <c r="E780" s="3" t="s">
        <v>992</v>
      </c>
      <c r="F780" s="3" t="s">
        <v>72</v>
      </c>
      <c r="G780" s="2">
        <v>25.25</v>
      </c>
      <c r="H780" s="2">
        <v>5</v>
      </c>
      <c r="I780" s="2">
        <v>6.3125</v>
      </c>
      <c r="J780" s="2">
        <v>132.5625</v>
      </c>
      <c r="K780" s="5">
        <v>43544</v>
      </c>
      <c r="L780" s="4">
        <v>0.74444444444444446</v>
      </c>
      <c r="M780" s="3" t="s">
        <v>49</v>
      </c>
      <c r="N780" s="2">
        <v>126.25</v>
      </c>
      <c r="O780" s="2">
        <v>4.7619047620000003</v>
      </c>
      <c r="P780" s="2">
        <v>6.3125</v>
      </c>
      <c r="Q780" s="2">
        <v>6.1</v>
      </c>
      <c r="R780" s="3"/>
      <c r="S780" s="1"/>
      <c r="T780" s="1"/>
      <c r="U780" s="1" t="s">
        <v>37</v>
      </c>
      <c r="V780" s="1" t="s">
        <v>37</v>
      </c>
      <c r="W780" s="1" t="s">
        <v>37</v>
      </c>
    </row>
    <row r="781" spans="1:23">
      <c r="A781" s="3" t="s">
        <v>4387</v>
      </c>
      <c r="B781" s="3" t="s">
        <v>115</v>
      </c>
      <c r="C781" s="3" t="s">
        <v>116</v>
      </c>
      <c r="D781" s="3" t="s">
        <v>24</v>
      </c>
      <c r="E781" s="3" t="s">
        <v>992</v>
      </c>
      <c r="F781" s="3" t="s">
        <v>42</v>
      </c>
      <c r="G781" s="2">
        <v>87.87</v>
      </c>
      <c r="H781" s="2">
        <v>9</v>
      </c>
      <c r="I781" s="2">
        <v>39.541499999999999</v>
      </c>
      <c r="J781" s="2">
        <v>830.37149999999997</v>
      </c>
      <c r="K781" s="5">
        <v>43496</v>
      </c>
      <c r="L781" s="4">
        <v>0.85555555555555551</v>
      </c>
      <c r="M781" s="3" t="s">
        <v>33</v>
      </c>
      <c r="N781" s="2">
        <v>790.83</v>
      </c>
      <c r="O781" s="2">
        <v>4.7619047620000003</v>
      </c>
      <c r="P781" s="2">
        <v>39.541499999999999</v>
      </c>
      <c r="Q781" s="2">
        <v>5.6</v>
      </c>
      <c r="R781" s="3"/>
      <c r="S781" s="1"/>
      <c r="T781" s="1"/>
      <c r="U781" s="1" t="s">
        <v>37</v>
      </c>
      <c r="V781" s="1" t="s">
        <v>37</v>
      </c>
      <c r="W781" s="1" t="s">
        <v>37</v>
      </c>
    </row>
    <row r="782" spans="1:23">
      <c r="A782" s="3" t="s">
        <v>4392</v>
      </c>
      <c r="B782" s="3" t="s">
        <v>39</v>
      </c>
      <c r="C782" s="3" t="s">
        <v>40</v>
      </c>
      <c r="D782" s="3" t="s">
        <v>41</v>
      </c>
      <c r="E782" s="3" t="s">
        <v>992</v>
      </c>
      <c r="F782" s="3" t="s">
        <v>26</v>
      </c>
      <c r="G782" s="2">
        <v>21.8</v>
      </c>
      <c r="H782" s="2">
        <v>8</v>
      </c>
      <c r="I782" s="2">
        <v>8.7200000000000006</v>
      </c>
      <c r="J782" s="2">
        <v>183.12</v>
      </c>
      <c r="K782" s="5">
        <v>43515</v>
      </c>
      <c r="L782" s="4">
        <v>0.80833333333333335</v>
      </c>
      <c r="M782" s="3" t="s">
        <v>49</v>
      </c>
      <c r="N782" s="2">
        <v>174.4</v>
      </c>
      <c r="O782" s="2">
        <v>4.7619047620000003</v>
      </c>
      <c r="P782" s="2">
        <v>8.7200000000000006</v>
      </c>
      <c r="Q782" s="2">
        <v>8.3000000000000007</v>
      </c>
      <c r="R782" s="3"/>
      <c r="S782" s="1"/>
      <c r="T782" s="1"/>
      <c r="U782" s="1" t="s">
        <v>37</v>
      </c>
      <c r="V782" s="1" t="s">
        <v>37</v>
      </c>
      <c r="W782" s="1" t="s">
        <v>37</v>
      </c>
    </row>
    <row r="783" spans="1:23">
      <c r="A783" s="3" t="s">
        <v>4397</v>
      </c>
      <c r="B783" s="3" t="s">
        <v>22</v>
      </c>
      <c r="C783" s="3" t="s">
        <v>23</v>
      </c>
      <c r="D783" s="3" t="s">
        <v>41</v>
      </c>
      <c r="E783" s="3" t="s">
        <v>25</v>
      </c>
      <c r="F783" s="3" t="s">
        <v>72</v>
      </c>
      <c r="G783" s="2">
        <v>94.76</v>
      </c>
      <c r="H783" s="2">
        <v>4</v>
      </c>
      <c r="I783" s="2">
        <v>18.952000000000002</v>
      </c>
      <c r="J783" s="2">
        <v>397.99200000000002</v>
      </c>
      <c r="K783" s="5">
        <v>43507</v>
      </c>
      <c r="L783" s="4">
        <v>0.67083333333333328</v>
      </c>
      <c r="M783" s="3" t="s">
        <v>33</v>
      </c>
      <c r="N783" s="2">
        <v>379.04</v>
      </c>
      <c r="O783" s="2">
        <v>4.7619047620000003</v>
      </c>
      <c r="P783" s="2">
        <v>18.952000000000002</v>
      </c>
      <c r="Q783" s="2">
        <v>7.8</v>
      </c>
      <c r="R783" s="3"/>
      <c r="S783" s="1"/>
      <c r="T783" s="1"/>
      <c r="U783" s="1" t="s">
        <v>37</v>
      </c>
      <c r="V783" s="1" t="s">
        <v>37</v>
      </c>
      <c r="W783" s="1" t="s">
        <v>37</v>
      </c>
    </row>
    <row r="784" spans="1:23">
      <c r="A784" s="3" t="s">
        <v>4402</v>
      </c>
      <c r="B784" s="3" t="s">
        <v>22</v>
      </c>
      <c r="C784" s="3" t="s">
        <v>23</v>
      </c>
      <c r="D784" s="3" t="s">
        <v>24</v>
      </c>
      <c r="E784" s="3" t="s">
        <v>25</v>
      </c>
      <c r="F784" s="3" t="s">
        <v>127</v>
      </c>
      <c r="G784" s="2">
        <v>30.62</v>
      </c>
      <c r="H784" s="2">
        <v>1</v>
      </c>
      <c r="I784" s="2">
        <v>1.5309999999999999</v>
      </c>
      <c r="J784" s="2">
        <v>32.151000000000003</v>
      </c>
      <c r="K784" s="5">
        <v>43501</v>
      </c>
      <c r="L784" s="4">
        <v>0.59305555555555556</v>
      </c>
      <c r="M784" s="3" t="s">
        <v>59</v>
      </c>
      <c r="N784" s="2">
        <v>30.62</v>
      </c>
      <c r="O784" s="2">
        <v>4.7619047620000003</v>
      </c>
      <c r="P784" s="2">
        <v>1.5309999999999999</v>
      </c>
      <c r="Q784" s="2">
        <v>4.0999999999999996</v>
      </c>
      <c r="R784" s="3"/>
      <c r="S784" s="1"/>
      <c r="T784" s="1"/>
      <c r="U784" s="1" t="s">
        <v>37</v>
      </c>
      <c r="V784" s="1" t="s">
        <v>37</v>
      </c>
      <c r="W784" s="1" t="s">
        <v>37</v>
      </c>
    </row>
    <row r="785" spans="1:23">
      <c r="A785" s="3" t="s">
        <v>4406</v>
      </c>
      <c r="B785" s="3" t="s">
        <v>39</v>
      </c>
      <c r="C785" s="3" t="s">
        <v>40</v>
      </c>
      <c r="D785" s="3" t="s">
        <v>41</v>
      </c>
      <c r="E785" s="3" t="s">
        <v>25</v>
      </c>
      <c r="F785" s="3" t="s">
        <v>53</v>
      </c>
      <c r="G785" s="2">
        <v>44.01</v>
      </c>
      <c r="H785" s="2">
        <v>8</v>
      </c>
      <c r="I785" s="2">
        <v>17.603999999999999</v>
      </c>
      <c r="J785" s="2">
        <v>369.68400000000003</v>
      </c>
      <c r="K785" s="5">
        <v>43527</v>
      </c>
      <c r="L785" s="4">
        <v>0.73333333333333328</v>
      </c>
      <c r="M785" s="3" t="s">
        <v>49</v>
      </c>
      <c r="N785" s="2">
        <v>352.08</v>
      </c>
      <c r="O785" s="2">
        <v>4.7619047620000003</v>
      </c>
      <c r="P785" s="2">
        <v>17.603999999999999</v>
      </c>
      <c r="Q785" s="2">
        <v>8.8000000000000007</v>
      </c>
      <c r="R785" s="3"/>
      <c r="S785" s="1"/>
      <c r="T785" s="1"/>
      <c r="U785" s="1" t="s">
        <v>37</v>
      </c>
      <c r="V785" s="1" t="s">
        <v>37</v>
      </c>
      <c r="W785" s="1" t="s">
        <v>37</v>
      </c>
    </row>
    <row r="786" spans="1:23">
      <c r="A786" s="3" t="s">
        <v>4411</v>
      </c>
      <c r="B786" s="3" t="s">
        <v>39</v>
      </c>
      <c r="C786" s="3" t="s">
        <v>40</v>
      </c>
      <c r="D786" s="3" t="s">
        <v>24</v>
      </c>
      <c r="E786" s="3" t="s">
        <v>25</v>
      </c>
      <c r="F786" s="3" t="s">
        <v>26</v>
      </c>
      <c r="G786" s="2">
        <v>10.16</v>
      </c>
      <c r="H786" s="2">
        <v>5</v>
      </c>
      <c r="I786" s="2">
        <v>2.54</v>
      </c>
      <c r="J786" s="2">
        <v>53.34</v>
      </c>
      <c r="K786" s="5">
        <v>43520</v>
      </c>
      <c r="L786" s="4">
        <v>0.54722222222222228</v>
      </c>
      <c r="M786" s="3" t="s">
        <v>33</v>
      </c>
      <c r="N786" s="2">
        <v>50.8</v>
      </c>
      <c r="O786" s="2">
        <v>4.7619047620000003</v>
      </c>
      <c r="P786" s="2">
        <v>2.54</v>
      </c>
      <c r="Q786" s="2">
        <v>4.0999999999999996</v>
      </c>
      <c r="R786" s="3"/>
      <c r="S786" s="1"/>
      <c r="T786" s="1"/>
      <c r="U786" s="1" t="s">
        <v>37</v>
      </c>
      <c r="V786" s="1" t="s">
        <v>37</v>
      </c>
      <c r="W786" s="1" t="s">
        <v>37</v>
      </c>
    </row>
    <row r="787" spans="1:23">
      <c r="A787" s="3" t="s">
        <v>4416</v>
      </c>
      <c r="B787" s="3" t="s">
        <v>22</v>
      </c>
      <c r="C787" s="3" t="s">
        <v>23</v>
      </c>
      <c r="D787" s="3" t="s">
        <v>41</v>
      </c>
      <c r="E787" s="3" t="s">
        <v>992</v>
      </c>
      <c r="F787" s="3" t="s">
        <v>42</v>
      </c>
      <c r="G787" s="2">
        <v>74.58</v>
      </c>
      <c r="H787" s="2">
        <v>7</v>
      </c>
      <c r="I787" s="2">
        <v>26.103000000000002</v>
      </c>
      <c r="J787" s="2">
        <v>548.16300000000001</v>
      </c>
      <c r="K787" s="5">
        <v>43500</v>
      </c>
      <c r="L787" s="4">
        <v>0.67291666666666672</v>
      </c>
      <c r="M787" s="3" t="s">
        <v>59</v>
      </c>
      <c r="N787" s="2">
        <v>522.05999999999995</v>
      </c>
      <c r="O787" s="2">
        <v>4.7619047620000003</v>
      </c>
      <c r="P787" s="2">
        <v>26.103000000000002</v>
      </c>
      <c r="Q787" s="2">
        <v>9</v>
      </c>
      <c r="R787" s="3"/>
      <c r="S787" s="1"/>
      <c r="T787" s="1"/>
      <c r="U787" s="1" t="s">
        <v>37</v>
      </c>
      <c r="V787" s="1" t="s">
        <v>37</v>
      </c>
      <c r="W787" s="1" t="s">
        <v>37</v>
      </c>
    </row>
    <row r="788" spans="1:23">
      <c r="A788" s="3" t="s">
        <v>4422</v>
      </c>
      <c r="B788" s="3" t="s">
        <v>39</v>
      </c>
      <c r="C788" s="3" t="s">
        <v>40</v>
      </c>
      <c r="D788" s="3" t="s">
        <v>41</v>
      </c>
      <c r="E788" s="3" t="s">
        <v>992</v>
      </c>
      <c r="F788" s="3" t="s">
        <v>42</v>
      </c>
      <c r="G788" s="2">
        <v>71.89</v>
      </c>
      <c r="H788" s="2">
        <v>8</v>
      </c>
      <c r="I788" s="2">
        <v>28.756</v>
      </c>
      <c r="J788" s="2">
        <v>603.87599999999998</v>
      </c>
      <c r="K788" s="5">
        <v>43515</v>
      </c>
      <c r="L788" s="4">
        <v>0.48125000000000001</v>
      </c>
      <c r="M788" s="3" t="s">
        <v>33</v>
      </c>
      <c r="N788" s="2">
        <v>575.12</v>
      </c>
      <c r="O788" s="2">
        <v>4.7619047620000003</v>
      </c>
      <c r="P788" s="2">
        <v>28.756</v>
      </c>
      <c r="Q788" s="2">
        <v>5.5</v>
      </c>
      <c r="R788" s="3"/>
      <c r="S788" s="1"/>
      <c r="T788" s="1"/>
      <c r="U788" s="1" t="s">
        <v>37</v>
      </c>
      <c r="V788" s="1" t="s">
        <v>37</v>
      </c>
      <c r="W788" s="1" t="s">
        <v>37</v>
      </c>
    </row>
    <row r="789" spans="1:23">
      <c r="A789" s="3" t="s">
        <v>4428</v>
      </c>
      <c r="B789" s="3" t="s">
        <v>39</v>
      </c>
      <c r="C789" s="3" t="s">
        <v>40</v>
      </c>
      <c r="D789" s="3" t="s">
        <v>41</v>
      </c>
      <c r="E789" s="3" t="s">
        <v>25</v>
      </c>
      <c r="F789" s="3" t="s">
        <v>26</v>
      </c>
      <c r="G789" s="2">
        <v>10.99</v>
      </c>
      <c r="H789" s="2">
        <v>5</v>
      </c>
      <c r="I789" s="2">
        <v>2.7475000000000001</v>
      </c>
      <c r="J789" s="2">
        <v>57.697499999999998</v>
      </c>
      <c r="K789" s="5">
        <v>43488</v>
      </c>
      <c r="L789" s="4">
        <v>0.42916666666666664</v>
      </c>
      <c r="M789" s="3" t="s">
        <v>59</v>
      </c>
      <c r="N789" s="2">
        <v>54.95</v>
      </c>
      <c r="O789" s="2">
        <v>4.7619047620000003</v>
      </c>
      <c r="P789" s="2">
        <v>2.7475000000000001</v>
      </c>
      <c r="Q789" s="2">
        <v>9.3000000000000007</v>
      </c>
      <c r="R789" s="3"/>
      <c r="S789" s="1"/>
      <c r="T789" s="1"/>
      <c r="U789" s="1" t="s">
        <v>37</v>
      </c>
      <c r="V789" s="1" t="s">
        <v>37</v>
      </c>
      <c r="W789" s="1" t="s">
        <v>37</v>
      </c>
    </row>
    <row r="790" spans="1:23">
      <c r="A790" s="3" t="s">
        <v>4433</v>
      </c>
      <c r="B790" s="3" t="s">
        <v>39</v>
      </c>
      <c r="C790" s="3" t="s">
        <v>40</v>
      </c>
      <c r="D790" s="3" t="s">
        <v>24</v>
      </c>
      <c r="E790" s="3" t="s">
        <v>992</v>
      </c>
      <c r="F790" s="3" t="s">
        <v>26</v>
      </c>
      <c r="G790" s="2">
        <v>60.47</v>
      </c>
      <c r="H790" s="2">
        <v>3</v>
      </c>
      <c r="I790" s="2">
        <v>9.0704999999999991</v>
      </c>
      <c r="J790" s="2">
        <v>190.48050000000001</v>
      </c>
      <c r="K790" s="5">
        <v>43479</v>
      </c>
      <c r="L790" s="4">
        <v>0.4548611111111111</v>
      </c>
      <c r="M790" s="3" t="s">
        <v>59</v>
      </c>
      <c r="N790" s="2">
        <v>181.41</v>
      </c>
      <c r="O790" s="2">
        <v>4.7619047620000003</v>
      </c>
      <c r="P790" s="2">
        <v>9.0704999999999991</v>
      </c>
      <c r="Q790" s="2">
        <v>5.6</v>
      </c>
      <c r="R790" s="3"/>
      <c r="S790" s="1"/>
      <c r="T790" s="1"/>
      <c r="U790" s="1" t="s">
        <v>37</v>
      </c>
      <c r="V790" s="1" t="s">
        <v>37</v>
      </c>
      <c r="W790" s="1" t="s">
        <v>37</v>
      </c>
    </row>
    <row r="791" spans="1:23">
      <c r="A791" s="3" t="s">
        <v>4438</v>
      </c>
      <c r="B791" s="3" t="s">
        <v>22</v>
      </c>
      <c r="C791" s="3" t="s">
        <v>23</v>
      </c>
      <c r="D791" s="3" t="s">
        <v>41</v>
      </c>
      <c r="E791" s="3" t="s">
        <v>992</v>
      </c>
      <c r="F791" s="3" t="s">
        <v>72</v>
      </c>
      <c r="G791" s="2">
        <v>58.91</v>
      </c>
      <c r="H791" s="2">
        <v>7</v>
      </c>
      <c r="I791" s="2">
        <v>20.618500000000001</v>
      </c>
      <c r="J791" s="2">
        <v>432.98849999999999</v>
      </c>
      <c r="K791" s="5">
        <v>43482</v>
      </c>
      <c r="L791" s="4">
        <v>0.63541666666666663</v>
      </c>
      <c r="M791" s="3" t="s">
        <v>33</v>
      </c>
      <c r="N791" s="2">
        <v>412.37</v>
      </c>
      <c r="O791" s="2">
        <v>4.7619047620000003</v>
      </c>
      <c r="P791" s="2">
        <v>20.618500000000001</v>
      </c>
      <c r="Q791" s="2">
        <v>9.6999999999999993</v>
      </c>
      <c r="R791" s="3"/>
      <c r="S791" s="1"/>
      <c r="T791" s="1"/>
      <c r="U791" s="1" t="s">
        <v>37</v>
      </c>
      <c r="V791" s="1" t="s">
        <v>37</v>
      </c>
      <c r="W791" s="1" t="s">
        <v>37</v>
      </c>
    </row>
    <row r="792" spans="1:23">
      <c r="A792" s="3" t="s">
        <v>4444</v>
      </c>
      <c r="B792" s="3" t="s">
        <v>22</v>
      </c>
      <c r="C792" s="3" t="s">
        <v>23</v>
      </c>
      <c r="D792" s="3" t="s">
        <v>41</v>
      </c>
      <c r="E792" s="3" t="s">
        <v>992</v>
      </c>
      <c r="F792" s="3" t="s">
        <v>127</v>
      </c>
      <c r="G792" s="2">
        <v>46.41</v>
      </c>
      <c r="H792" s="2">
        <v>1</v>
      </c>
      <c r="I792" s="2">
        <v>2.3205</v>
      </c>
      <c r="J792" s="2">
        <v>48.730499999999999</v>
      </c>
      <c r="K792" s="5">
        <v>43527</v>
      </c>
      <c r="L792" s="4">
        <v>0.83750000000000002</v>
      </c>
      <c r="M792" s="3" t="s">
        <v>59</v>
      </c>
      <c r="N792" s="2">
        <v>46.41</v>
      </c>
      <c r="O792" s="2">
        <v>4.7619047620000003</v>
      </c>
      <c r="P792" s="2">
        <v>2.3205</v>
      </c>
      <c r="Q792" s="2">
        <v>4</v>
      </c>
      <c r="R792" s="3"/>
      <c r="S792" s="1"/>
      <c r="T792" s="1"/>
      <c r="U792" s="1" t="s">
        <v>37</v>
      </c>
      <c r="V792" s="1" t="s">
        <v>37</v>
      </c>
      <c r="W792" s="1" t="s">
        <v>37</v>
      </c>
    </row>
    <row r="793" spans="1:23">
      <c r="A793" s="3" t="s">
        <v>4449</v>
      </c>
      <c r="B793" s="3" t="s">
        <v>39</v>
      </c>
      <c r="C793" s="3" t="s">
        <v>40</v>
      </c>
      <c r="D793" s="3" t="s">
        <v>24</v>
      </c>
      <c r="E793" s="3" t="s">
        <v>992</v>
      </c>
      <c r="F793" s="3" t="s">
        <v>26</v>
      </c>
      <c r="G793" s="2">
        <v>68.55</v>
      </c>
      <c r="H793" s="2">
        <v>4</v>
      </c>
      <c r="I793" s="2">
        <v>13.71</v>
      </c>
      <c r="J793" s="2">
        <v>287.91000000000003</v>
      </c>
      <c r="K793" s="5">
        <v>43511</v>
      </c>
      <c r="L793" s="4">
        <v>0.84791666666666665</v>
      </c>
      <c r="M793" s="3" t="s">
        <v>59</v>
      </c>
      <c r="N793" s="2">
        <v>274.2</v>
      </c>
      <c r="O793" s="2">
        <v>4.7619047620000003</v>
      </c>
      <c r="P793" s="2">
        <v>13.71</v>
      </c>
      <c r="Q793" s="2">
        <v>9.1999999999999993</v>
      </c>
      <c r="R793" s="3"/>
      <c r="S793" s="1"/>
      <c r="T793" s="1"/>
      <c r="U793" s="1" t="s">
        <v>37</v>
      </c>
      <c r="V793" s="1" t="s">
        <v>37</v>
      </c>
      <c r="W793" s="1" t="s">
        <v>37</v>
      </c>
    </row>
    <row r="794" spans="1:23">
      <c r="A794" s="3" t="s">
        <v>4454</v>
      </c>
      <c r="B794" s="3" t="s">
        <v>115</v>
      </c>
      <c r="C794" s="3" t="s">
        <v>116</v>
      </c>
      <c r="D794" s="3" t="s">
        <v>41</v>
      </c>
      <c r="E794" s="3" t="s">
        <v>25</v>
      </c>
      <c r="F794" s="3" t="s">
        <v>53</v>
      </c>
      <c r="G794" s="2">
        <v>97.37</v>
      </c>
      <c r="H794" s="2">
        <v>10</v>
      </c>
      <c r="I794" s="2">
        <v>48.685000000000002</v>
      </c>
      <c r="J794" s="2">
        <v>1022.385</v>
      </c>
      <c r="K794" s="5">
        <v>43480</v>
      </c>
      <c r="L794" s="4">
        <v>0.57499999999999996</v>
      </c>
      <c r="M794" s="3" t="s">
        <v>59</v>
      </c>
      <c r="N794" s="2">
        <v>973.7</v>
      </c>
      <c r="O794" s="2">
        <v>4.7619047620000003</v>
      </c>
      <c r="P794" s="2">
        <v>48.685000000000002</v>
      </c>
      <c r="Q794" s="2">
        <v>4.9000000000000004</v>
      </c>
      <c r="R794" s="3"/>
      <c r="S794" s="1"/>
      <c r="T794" s="1"/>
      <c r="U794" s="1" t="s">
        <v>37</v>
      </c>
      <c r="V794" s="1" t="s">
        <v>37</v>
      </c>
      <c r="W794" s="1" t="s">
        <v>37</v>
      </c>
    </row>
    <row r="795" spans="1:23">
      <c r="A795" s="3" t="s">
        <v>4459</v>
      </c>
      <c r="B795" s="3" t="s">
        <v>22</v>
      </c>
      <c r="C795" s="3" t="s">
        <v>23</v>
      </c>
      <c r="D795" s="3" t="s">
        <v>24</v>
      </c>
      <c r="E795" s="3" t="s">
        <v>992</v>
      </c>
      <c r="F795" s="3" t="s">
        <v>42</v>
      </c>
      <c r="G795" s="2">
        <v>92.6</v>
      </c>
      <c r="H795" s="2">
        <v>7</v>
      </c>
      <c r="I795" s="2">
        <v>32.409999999999997</v>
      </c>
      <c r="J795" s="2">
        <v>680.61</v>
      </c>
      <c r="K795" s="5">
        <v>43523</v>
      </c>
      <c r="L795" s="4">
        <v>0.53611111111111109</v>
      </c>
      <c r="M795" s="3" t="s">
        <v>59</v>
      </c>
      <c r="N795" s="2">
        <v>648.20000000000005</v>
      </c>
      <c r="O795" s="2">
        <v>4.7619047620000003</v>
      </c>
      <c r="P795" s="2">
        <v>32.409999999999997</v>
      </c>
      <c r="Q795" s="2">
        <v>9.3000000000000007</v>
      </c>
      <c r="R795" s="3"/>
      <c r="S795" s="1"/>
      <c r="T795" s="1"/>
      <c r="U795" s="1" t="s">
        <v>37</v>
      </c>
      <c r="V795" s="1" t="s">
        <v>37</v>
      </c>
      <c r="W795" s="1" t="s">
        <v>37</v>
      </c>
    </row>
    <row r="796" spans="1:23">
      <c r="A796" s="3" t="s">
        <v>4464</v>
      </c>
      <c r="B796" s="3" t="s">
        <v>22</v>
      </c>
      <c r="C796" s="3" t="s">
        <v>23</v>
      </c>
      <c r="D796" s="3" t="s">
        <v>41</v>
      </c>
      <c r="E796" s="3" t="s">
        <v>25</v>
      </c>
      <c r="F796" s="3" t="s">
        <v>42</v>
      </c>
      <c r="G796" s="2">
        <v>46.61</v>
      </c>
      <c r="H796" s="2">
        <v>2</v>
      </c>
      <c r="I796" s="2">
        <v>4.6609999999999996</v>
      </c>
      <c r="J796" s="2">
        <v>97.881</v>
      </c>
      <c r="K796" s="5">
        <v>43522</v>
      </c>
      <c r="L796" s="4">
        <v>0.51944444444444449</v>
      </c>
      <c r="M796" s="3" t="s">
        <v>59</v>
      </c>
      <c r="N796" s="2">
        <v>93.22</v>
      </c>
      <c r="O796" s="2">
        <v>4.7619047620000003</v>
      </c>
      <c r="P796" s="2">
        <v>4.6609999999999996</v>
      </c>
      <c r="Q796" s="2">
        <v>6.6</v>
      </c>
      <c r="R796" s="3"/>
      <c r="S796" s="1"/>
      <c r="T796" s="1"/>
      <c r="U796" s="1" t="s">
        <v>37</v>
      </c>
      <c r="V796" s="1" t="s">
        <v>37</v>
      </c>
      <c r="W796" s="1" t="s">
        <v>37</v>
      </c>
    </row>
    <row r="797" spans="1:23">
      <c r="A797" s="3" t="s">
        <v>4468</v>
      </c>
      <c r="B797" s="3" t="s">
        <v>115</v>
      </c>
      <c r="C797" s="3" t="s">
        <v>116</v>
      </c>
      <c r="D797" s="3" t="s">
        <v>41</v>
      </c>
      <c r="E797" s="3" t="s">
        <v>992</v>
      </c>
      <c r="F797" s="3" t="s">
        <v>127</v>
      </c>
      <c r="G797" s="2">
        <v>27.18</v>
      </c>
      <c r="H797" s="2">
        <v>2</v>
      </c>
      <c r="I797" s="2">
        <v>2.718</v>
      </c>
      <c r="J797" s="2">
        <v>57.078000000000003</v>
      </c>
      <c r="K797" s="5">
        <v>43539</v>
      </c>
      <c r="L797" s="4">
        <v>0.68472222222222223</v>
      </c>
      <c r="M797" s="3" t="s">
        <v>33</v>
      </c>
      <c r="N797" s="2">
        <v>54.36</v>
      </c>
      <c r="O797" s="2">
        <v>4.7619047620000003</v>
      </c>
      <c r="P797" s="2">
        <v>2.718</v>
      </c>
      <c r="Q797" s="2">
        <v>4.3</v>
      </c>
      <c r="R797" s="3"/>
      <c r="S797" s="1"/>
      <c r="T797" s="1"/>
      <c r="U797" s="1" t="s">
        <v>37</v>
      </c>
      <c r="V797" s="1" t="s">
        <v>37</v>
      </c>
      <c r="W797" s="1" t="s">
        <v>37</v>
      </c>
    </row>
    <row r="798" spans="1:23">
      <c r="A798" s="3" t="s">
        <v>4472</v>
      </c>
      <c r="B798" s="3" t="s">
        <v>39</v>
      </c>
      <c r="C798" s="3" t="s">
        <v>40</v>
      </c>
      <c r="D798" s="3" t="s">
        <v>24</v>
      </c>
      <c r="E798" s="3" t="s">
        <v>25</v>
      </c>
      <c r="F798" s="3" t="s">
        <v>53</v>
      </c>
      <c r="G798" s="2">
        <v>60.87</v>
      </c>
      <c r="H798" s="2">
        <v>1</v>
      </c>
      <c r="I798" s="2">
        <v>3.0434999999999999</v>
      </c>
      <c r="J798" s="2">
        <v>63.913499999999999</v>
      </c>
      <c r="K798" s="5">
        <v>43489</v>
      </c>
      <c r="L798" s="4">
        <v>0.55833333333333335</v>
      </c>
      <c r="M798" s="3" t="s">
        <v>49</v>
      </c>
      <c r="N798" s="2">
        <v>60.87</v>
      </c>
      <c r="O798" s="2">
        <v>4.7619047620000003</v>
      </c>
      <c r="P798" s="2">
        <v>3.0434999999999999</v>
      </c>
      <c r="Q798" s="2">
        <v>5.5</v>
      </c>
      <c r="R798" s="3"/>
      <c r="S798" s="1"/>
      <c r="T798" s="1"/>
      <c r="U798" s="1" t="s">
        <v>37</v>
      </c>
      <c r="V798" s="1" t="s">
        <v>37</v>
      </c>
      <c r="W798" s="1" t="s">
        <v>37</v>
      </c>
    </row>
    <row r="799" spans="1:23">
      <c r="A799" s="3" t="s">
        <v>4475</v>
      </c>
      <c r="B799" s="3" t="s">
        <v>22</v>
      </c>
      <c r="C799" s="3" t="s">
        <v>23</v>
      </c>
      <c r="D799" s="3" t="s">
        <v>24</v>
      </c>
      <c r="E799" s="3" t="s">
        <v>25</v>
      </c>
      <c r="F799" s="3" t="s">
        <v>72</v>
      </c>
      <c r="G799" s="2">
        <v>24.49</v>
      </c>
      <c r="H799" s="2">
        <v>10</v>
      </c>
      <c r="I799" s="2">
        <v>12.244999999999999</v>
      </c>
      <c r="J799" s="2">
        <v>257.14499999999998</v>
      </c>
      <c r="K799" s="5">
        <v>43518</v>
      </c>
      <c r="L799" s="4">
        <v>0.63541666666666663</v>
      </c>
      <c r="M799" s="3" t="s">
        <v>49</v>
      </c>
      <c r="N799" s="2">
        <v>244.9</v>
      </c>
      <c r="O799" s="2">
        <v>4.7619047620000003</v>
      </c>
      <c r="P799" s="2">
        <v>12.244999999999999</v>
      </c>
      <c r="Q799" s="2">
        <v>8.1</v>
      </c>
      <c r="R799" s="3"/>
      <c r="S799" s="1"/>
      <c r="T799" s="1"/>
      <c r="U799" s="1" t="s">
        <v>37</v>
      </c>
      <c r="V799" s="1" t="s">
        <v>37</v>
      </c>
      <c r="W799" s="1" t="s">
        <v>37</v>
      </c>
    </row>
    <row r="800" spans="1:23">
      <c r="A800" s="3" t="s">
        <v>4480</v>
      </c>
      <c r="B800" s="3" t="s">
        <v>115</v>
      </c>
      <c r="C800" s="3" t="s">
        <v>116</v>
      </c>
      <c r="D800" s="3" t="s">
        <v>41</v>
      </c>
      <c r="E800" s="3" t="s">
        <v>992</v>
      </c>
      <c r="F800" s="3" t="s">
        <v>26</v>
      </c>
      <c r="G800" s="2">
        <v>92.78</v>
      </c>
      <c r="H800" s="2">
        <v>1</v>
      </c>
      <c r="I800" s="2">
        <v>4.6390000000000002</v>
      </c>
      <c r="J800" s="2">
        <v>97.418999999999997</v>
      </c>
      <c r="K800" s="5">
        <v>43539</v>
      </c>
      <c r="L800" s="4">
        <v>0.4513888888888889</v>
      </c>
      <c r="M800" s="3" t="s">
        <v>59</v>
      </c>
      <c r="N800" s="2">
        <v>92.78</v>
      </c>
      <c r="O800" s="2">
        <v>4.7619047620000003</v>
      </c>
      <c r="P800" s="2">
        <v>4.6390000000000002</v>
      </c>
      <c r="Q800" s="2">
        <v>9.8000000000000007</v>
      </c>
      <c r="R800" s="3"/>
      <c r="S800" s="1"/>
      <c r="T800" s="1"/>
      <c r="U800" s="1" t="s">
        <v>37</v>
      </c>
      <c r="V800" s="1" t="s">
        <v>37</v>
      </c>
      <c r="W800" s="1" t="s">
        <v>37</v>
      </c>
    </row>
    <row r="801" spans="1:23">
      <c r="A801" s="3" t="s">
        <v>4484</v>
      </c>
      <c r="B801" s="3" t="s">
        <v>39</v>
      </c>
      <c r="C801" s="3" t="s">
        <v>40</v>
      </c>
      <c r="D801" s="3" t="s">
        <v>24</v>
      </c>
      <c r="E801" s="3" t="s">
        <v>992</v>
      </c>
      <c r="F801" s="3" t="s">
        <v>53</v>
      </c>
      <c r="G801" s="2">
        <v>86.69</v>
      </c>
      <c r="H801" s="2">
        <v>5</v>
      </c>
      <c r="I801" s="2">
        <v>21.672499999999999</v>
      </c>
      <c r="J801" s="2">
        <v>455.1225</v>
      </c>
      <c r="K801" s="5">
        <v>43507</v>
      </c>
      <c r="L801" s="4">
        <v>0.77638888888888891</v>
      </c>
      <c r="M801" s="3" t="s">
        <v>33</v>
      </c>
      <c r="N801" s="2">
        <v>433.45</v>
      </c>
      <c r="O801" s="2">
        <v>4.7619047620000003</v>
      </c>
      <c r="P801" s="2">
        <v>21.672499999999999</v>
      </c>
      <c r="Q801" s="2">
        <v>9.4</v>
      </c>
      <c r="R801" s="3"/>
      <c r="S801" s="1"/>
      <c r="T801" s="1"/>
      <c r="U801" s="1" t="s">
        <v>37</v>
      </c>
      <c r="V801" s="1" t="s">
        <v>37</v>
      </c>
      <c r="W801" s="1" t="s">
        <v>37</v>
      </c>
    </row>
    <row r="802" spans="1:23">
      <c r="A802" s="3" t="s">
        <v>4490</v>
      </c>
      <c r="B802" s="3" t="s">
        <v>115</v>
      </c>
      <c r="C802" s="3" t="s">
        <v>116</v>
      </c>
      <c r="D802" s="3" t="s">
        <v>41</v>
      </c>
      <c r="E802" s="3" t="s">
        <v>992</v>
      </c>
      <c r="F802" s="3" t="s">
        <v>72</v>
      </c>
      <c r="G802" s="2">
        <v>23.01</v>
      </c>
      <c r="H802" s="2">
        <v>6</v>
      </c>
      <c r="I802" s="2">
        <v>6.9029999999999996</v>
      </c>
      <c r="J802" s="2">
        <v>144.96299999999999</v>
      </c>
      <c r="K802" s="5">
        <v>43477</v>
      </c>
      <c r="L802" s="4">
        <v>0.69791666666666663</v>
      </c>
      <c r="M802" s="3" t="s">
        <v>33</v>
      </c>
      <c r="N802" s="2">
        <v>138.06</v>
      </c>
      <c r="O802" s="2">
        <v>4.7619047620000003</v>
      </c>
      <c r="P802" s="2">
        <v>6.9029999999999996</v>
      </c>
      <c r="Q802" s="2">
        <v>7.9</v>
      </c>
      <c r="R802" s="3"/>
      <c r="S802" s="1"/>
      <c r="T802" s="1"/>
      <c r="U802" s="1" t="s">
        <v>37</v>
      </c>
      <c r="V802" s="1" t="s">
        <v>37</v>
      </c>
      <c r="W802" s="1" t="s">
        <v>37</v>
      </c>
    </row>
    <row r="803" spans="1:23">
      <c r="A803" s="3" t="s">
        <v>4496</v>
      </c>
      <c r="B803" s="3" t="s">
        <v>39</v>
      </c>
      <c r="C803" s="3" t="s">
        <v>40</v>
      </c>
      <c r="D803" s="3" t="s">
        <v>24</v>
      </c>
      <c r="E803" s="3" t="s">
        <v>25</v>
      </c>
      <c r="F803" s="3" t="s">
        <v>42</v>
      </c>
      <c r="G803" s="2">
        <v>30.2</v>
      </c>
      <c r="H803" s="2">
        <v>8</v>
      </c>
      <c r="I803" s="2">
        <v>12.08</v>
      </c>
      <c r="J803" s="2">
        <v>253.68</v>
      </c>
      <c r="K803" s="5">
        <v>43527</v>
      </c>
      <c r="L803" s="4">
        <v>0.8125</v>
      </c>
      <c r="M803" s="3" t="s">
        <v>33</v>
      </c>
      <c r="N803" s="2">
        <v>241.6</v>
      </c>
      <c r="O803" s="2">
        <v>4.7619047620000003</v>
      </c>
      <c r="P803" s="2">
        <v>12.08</v>
      </c>
      <c r="Q803" s="2">
        <v>5.0999999999999996</v>
      </c>
      <c r="R803" s="3"/>
      <c r="S803" s="1"/>
      <c r="T803" s="1"/>
      <c r="U803" s="1" t="s">
        <v>37</v>
      </c>
      <c r="V803" s="1" t="s">
        <v>37</v>
      </c>
      <c r="W803" s="1" t="s">
        <v>37</v>
      </c>
    </row>
    <row r="804" spans="1:23">
      <c r="A804" s="3" t="s">
        <v>4501</v>
      </c>
      <c r="B804" s="3" t="s">
        <v>39</v>
      </c>
      <c r="C804" s="3" t="s">
        <v>40</v>
      </c>
      <c r="D804" s="3" t="s">
        <v>24</v>
      </c>
      <c r="E804" s="3" t="s">
        <v>992</v>
      </c>
      <c r="F804" s="3" t="s">
        <v>127</v>
      </c>
      <c r="G804" s="2">
        <v>67.39</v>
      </c>
      <c r="H804" s="2">
        <v>7</v>
      </c>
      <c r="I804" s="2">
        <v>23.586500000000001</v>
      </c>
      <c r="J804" s="2">
        <v>495.31650000000002</v>
      </c>
      <c r="K804" s="5">
        <v>43547</v>
      </c>
      <c r="L804" s="4">
        <v>0.55763888888888891</v>
      </c>
      <c r="M804" s="3" t="s">
        <v>33</v>
      </c>
      <c r="N804" s="2">
        <v>471.73</v>
      </c>
      <c r="O804" s="2">
        <v>4.7619047620000003</v>
      </c>
      <c r="P804" s="2">
        <v>23.586500000000001</v>
      </c>
      <c r="Q804" s="2">
        <v>6.9</v>
      </c>
      <c r="R804" s="3"/>
      <c r="S804" s="1"/>
      <c r="T804" s="1"/>
      <c r="U804" s="1" t="s">
        <v>37</v>
      </c>
      <c r="V804" s="1" t="s">
        <v>37</v>
      </c>
      <c r="W804" s="1" t="s">
        <v>37</v>
      </c>
    </row>
    <row r="805" spans="1:23">
      <c r="A805" s="3" t="s">
        <v>4506</v>
      </c>
      <c r="B805" s="3" t="s">
        <v>22</v>
      </c>
      <c r="C805" s="3" t="s">
        <v>23</v>
      </c>
      <c r="D805" s="3" t="s">
        <v>24</v>
      </c>
      <c r="E805" s="3" t="s">
        <v>25</v>
      </c>
      <c r="F805" s="3" t="s">
        <v>127</v>
      </c>
      <c r="G805" s="2">
        <v>48.96</v>
      </c>
      <c r="H805" s="2">
        <v>9</v>
      </c>
      <c r="I805" s="2">
        <v>22.032</v>
      </c>
      <c r="J805" s="2">
        <v>462.67200000000003</v>
      </c>
      <c r="K805" s="5">
        <v>43528</v>
      </c>
      <c r="L805" s="4">
        <v>0.47708333333333336</v>
      </c>
      <c r="M805" s="3" t="s">
        <v>49</v>
      </c>
      <c r="N805" s="2">
        <v>440.64</v>
      </c>
      <c r="O805" s="2">
        <v>4.7619047620000003</v>
      </c>
      <c r="P805" s="2">
        <v>22.032</v>
      </c>
      <c r="Q805" s="2">
        <v>8</v>
      </c>
      <c r="R805" s="3"/>
      <c r="S805" s="1"/>
      <c r="T805" s="1"/>
      <c r="U805" s="1" t="s">
        <v>37</v>
      </c>
      <c r="V805" s="1" t="s">
        <v>37</v>
      </c>
      <c r="W805" s="1" t="s">
        <v>37</v>
      </c>
    </row>
    <row r="806" spans="1:23">
      <c r="A806" s="3" t="s">
        <v>4511</v>
      </c>
      <c r="B806" s="3" t="s">
        <v>115</v>
      </c>
      <c r="C806" s="3" t="s">
        <v>116</v>
      </c>
      <c r="D806" s="3" t="s">
        <v>24</v>
      </c>
      <c r="E806" s="3" t="s">
        <v>25</v>
      </c>
      <c r="F806" s="3" t="s">
        <v>42</v>
      </c>
      <c r="G806" s="2">
        <v>75.59</v>
      </c>
      <c r="H806" s="2">
        <v>9</v>
      </c>
      <c r="I806" s="2">
        <v>34.015500000000003</v>
      </c>
      <c r="J806" s="2">
        <v>714.32550000000003</v>
      </c>
      <c r="K806" s="5">
        <v>43519</v>
      </c>
      <c r="L806" s="4">
        <v>0.46666666666666667</v>
      </c>
      <c r="M806" s="3" t="s">
        <v>49</v>
      </c>
      <c r="N806" s="2">
        <v>680.31</v>
      </c>
      <c r="O806" s="2">
        <v>4.7619047620000003</v>
      </c>
      <c r="P806" s="2">
        <v>34.015500000000003</v>
      </c>
      <c r="Q806" s="2">
        <v>8</v>
      </c>
      <c r="R806" s="3"/>
      <c r="S806" s="1"/>
      <c r="T806" s="1"/>
      <c r="U806" s="1" t="s">
        <v>37</v>
      </c>
      <c r="V806" s="1" t="s">
        <v>37</v>
      </c>
      <c r="W806" s="1" t="s">
        <v>37</v>
      </c>
    </row>
    <row r="807" spans="1:23">
      <c r="A807" s="3" t="s">
        <v>4516</v>
      </c>
      <c r="B807" s="3" t="s">
        <v>22</v>
      </c>
      <c r="C807" s="3" t="s">
        <v>23</v>
      </c>
      <c r="D807" s="3" t="s">
        <v>41</v>
      </c>
      <c r="E807" s="3" t="s">
        <v>25</v>
      </c>
      <c r="F807" s="3" t="s">
        <v>53</v>
      </c>
      <c r="G807" s="2">
        <v>77.47</v>
      </c>
      <c r="H807" s="2">
        <v>4</v>
      </c>
      <c r="I807" s="2">
        <v>15.494</v>
      </c>
      <c r="J807" s="2">
        <v>325.37400000000002</v>
      </c>
      <c r="K807" s="5">
        <v>43541</v>
      </c>
      <c r="L807" s="4">
        <v>0.69166666666666665</v>
      </c>
      <c r="M807" s="3" t="s">
        <v>49</v>
      </c>
      <c r="N807" s="2">
        <v>309.88</v>
      </c>
      <c r="O807" s="2">
        <v>4.7619047620000003</v>
      </c>
      <c r="P807" s="2">
        <v>15.494</v>
      </c>
      <c r="Q807" s="2">
        <v>4.2</v>
      </c>
      <c r="R807" s="3"/>
      <c r="S807" s="1"/>
      <c r="T807" s="1"/>
      <c r="U807" s="1" t="s">
        <v>37</v>
      </c>
      <c r="V807" s="1" t="s">
        <v>37</v>
      </c>
      <c r="W807" s="1" t="s">
        <v>37</v>
      </c>
    </row>
    <row r="808" spans="1:23">
      <c r="A808" s="3" t="s">
        <v>4521</v>
      </c>
      <c r="B808" s="3" t="s">
        <v>22</v>
      </c>
      <c r="C808" s="3" t="s">
        <v>23</v>
      </c>
      <c r="D808" s="3" t="s">
        <v>41</v>
      </c>
      <c r="E808" s="3" t="s">
        <v>25</v>
      </c>
      <c r="F808" s="3" t="s">
        <v>72</v>
      </c>
      <c r="G808" s="2">
        <v>93.18</v>
      </c>
      <c r="H808" s="2">
        <v>2</v>
      </c>
      <c r="I808" s="2">
        <v>9.3179999999999996</v>
      </c>
      <c r="J808" s="2">
        <v>195.678</v>
      </c>
      <c r="K808" s="5">
        <v>43481</v>
      </c>
      <c r="L808" s="4">
        <v>0.77847222222222223</v>
      </c>
      <c r="M808" s="3" t="s">
        <v>59</v>
      </c>
      <c r="N808" s="2">
        <v>186.36</v>
      </c>
      <c r="O808" s="2">
        <v>4.7619047620000003</v>
      </c>
      <c r="P808" s="2">
        <v>9.3179999999999996</v>
      </c>
      <c r="Q808" s="2">
        <v>8.5</v>
      </c>
      <c r="R808" s="3"/>
      <c r="S808" s="1"/>
      <c r="T808" s="1"/>
      <c r="U808" s="1" t="s">
        <v>37</v>
      </c>
      <c r="V808" s="1" t="s">
        <v>37</v>
      </c>
      <c r="W808" s="1" t="s">
        <v>37</v>
      </c>
    </row>
    <row r="809" spans="1:23">
      <c r="A809" s="3" t="s">
        <v>4527</v>
      </c>
      <c r="B809" s="3" t="s">
        <v>22</v>
      </c>
      <c r="C809" s="3" t="s">
        <v>23</v>
      </c>
      <c r="D809" s="3" t="s">
        <v>41</v>
      </c>
      <c r="E809" s="3" t="s">
        <v>25</v>
      </c>
      <c r="F809" s="3" t="s">
        <v>42</v>
      </c>
      <c r="G809" s="2">
        <v>50.23</v>
      </c>
      <c r="H809" s="2">
        <v>4</v>
      </c>
      <c r="I809" s="2">
        <v>10.045999999999999</v>
      </c>
      <c r="J809" s="2">
        <v>210.96600000000001</v>
      </c>
      <c r="K809" s="5">
        <v>43473</v>
      </c>
      <c r="L809" s="4">
        <v>0.71666666666666667</v>
      </c>
      <c r="M809" s="3" t="s">
        <v>49</v>
      </c>
      <c r="N809" s="2">
        <v>200.92</v>
      </c>
      <c r="O809" s="2">
        <v>4.7619047620000003</v>
      </c>
      <c r="P809" s="2">
        <v>10.045999999999999</v>
      </c>
      <c r="Q809" s="2">
        <v>9</v>
      </c>
      <c r="R809" s="3"/>
      <c r="S809" s="1"/>
      <c r="T809" s="1"/>
      <c r="U809" s="1" t="s">
        <v>37</v>
      </c>
      <c r="V809" s="1" t="s">
        <v>37</v>
      </c>
      <c r="W809" s="1" t="s">
        <v>37</v>
      </c>
    </row>
    <row r="810" spans="1:23">
      <c r="A810" s="3" t="s">
        <v>4533</v>
      </c>
      <c r="B810" s="3" t="s">
        <v>115</v>
      </c>
      <c r="C810" s="3" t="s">
        <v>116</v>
      </c>
      <c r="D810" s="3" t="s">
        <v>41</v>
      </c>
      <c r="E810" s="3" t="s">
        <v>25</v>
      </c>
      <c r="F810" s="3" t="s">
        <v>26</v>
      </c>
      <c r="G810" s="2">
        <v>17.75</v>
      </c>
      <c r="H810" s="2">
        <v>1</v>
      </c>
      <c r="I810" s="2">
        <v>0.88749999999999996</v>
      </c>
      <c r="J810" s="2">
        <v>18.637499999999999</v>
      </c>
      <c r="K810" s="5">
        <v>43479</v>
      </c>
      <c r="L810" s="4">
        <v>0.44305555555555554</v>
      </c>
      <c r="M810" s="3" t="s">
        <v>49</v>
      </c>
      <c r="N810" s="2">
        <v>17.75</v>
      </c>
      <c r="O810" s="2">
        <v>4.7619047620000003</v>
      </c>
      <c r="P810" s="2">
        <v>0.88749999999999996</v>
      </c>
      <c r="Q810" s="2">
        <v>8.6</v>
      </c>
      <c r="R810" s="3"/>
      <c r="S810" s="1"/>
      <c r="T810" s="1"/>
      <c r="U810" s="1" t="s">
        <v>37</v>
      </c>
      <c r="V810" s="1" t="s">
        <v>37</v>
      </c>
      <c r="W810" s="1" t="s">
        <v>37</v>
      </c>
    </row>
    <row r="811" spans="1:23">
      <c r="A811" s="3" t="s">
        <v>4537</v>
      </c>
      <c r="B811" s="3" t="s">
        <v>39</v>
      </c>
      <c r="C811" s="3" t="s">
        <v>40</v>
      </c>
      <c r="D811" s="3" t="s">
        <v>41</v>
      </c>
      <c r="E811" s="3" t="s">
        <v>25</v>
      </c>
      <c r="F811" s="3" t="s">
        <v>127</v>
      </c>
      <c r="G811" s="2">
        <v>62.18</v>
      </c>
      <c r="H811" s="2">
        <v>10</v>
      </c>
      <c r="I811" s="2">
        <v>31.09</v>
      </c>
      <c r="J811" s="2">
        <v>652.89</v>
      </c>
      <c r="K811" s="5">
        <v>43496</v>
      </c>
      <c r="L811" s="4">
        <v>0.43958333333333333</v>
      </c>
      <c r="M811" s="3" t="s">
        <v>33</v>
      </c>
      <c r="N811" s="2">
        <v>621.79999999999995</v>
      </c>
      <c r="O811" s="2">
        <v>4.7619047620000003</v>
      </c>
      <c r="P811" s="2">
        <v>31.09</v>
      </c>
      <c r="Q811" s="2">
        <v>6</v>
      </c>
      <c r="R811" s="3"/>
      <c r="S811" s="1"/>
      <c r="T811" s="1"/>
      <c r="U811" s="1" t="s">
        <v>37</v>
      </c>
      <c r="V811" s="1" t="s">
        <v>37</v>
      </c>
      <c r="W811" s="1" t="s">
        <v>37</v>
      </c>
    </row>
    <row r="812" spans="1:23">
      <c r="A812" s="3" t="s">
        <v>4542</v>
      </c>
      <c r="B812" s="3" t="s">
        <v>115</v>
      </c>
      <c r="C812" s="3" t="s">
        <v>116</v>
      </c>
      <c r="D812" s="3" t="s">
        <v>41</v>
      </c>
      <c r="E812" s="3" t="s">
        <v>992</v>
      </c>
      <c r="F812" s="3" t="s">
        <v>26</v>
      </c>
      <c r="G812" s="2">
        <v>10.75</v>
      </c>
      <c r="H812" s="2">
        <v>8</v>
      </c>
      <c r="I812" s="2">
        <v>4.3</v>
      </c>
      <c r="J812" s="2">
        <v>90.3</v>
      </c>
      <c r="K812" s="5">
        <v>43539</v>
      </c>
      <c r="L812" s="4">
        <v>0.60972222222222228</v>
      </c>
      <c r="M812" s="3" t="s">
        <v>33</v>
      </c>
      <c r="N812" s="2">
        <v>86</v>
      </c>
      <c r="O812" s="2">
        <v>4.7619047620000003</v>
      </c>
      <c r="P812" s="2">
        <v>4.3</v>
      </c>
      <c r="Q812" s="2">
        <v>6.2</v>
      </c>
      <c r="R812" s="3"/>
      <c r="S812" s="1"/>
      <c r="T812" s="1"/>
      <c r="U812" s="1" t="s">
        <v>37</v>
      </c>
      <c r="V812" s="1" t="s">
        <v>37</v>
      </c>
      <c r="W812" s="1" t="s">
        <v>37</v>
      </c>
    </row>
    <row r="813" spans="1:23">
      <c r="A813" s="3" t="s">
        <v>4546</v>
      </c>
      <c r="B813" s="3" t="s">
        <v>22</v>
      </c>
      <c r="C813" s="3" t="s">
        <v>23</v>
      </c>
      <c r="D813" s="3" t="s">
        <v>41</v>
      </c>
      <c r="E813" s="3" t="s">
        <v>25</v>
      </c>
      <c r="F813" s="3" t="s">
        <v>42</v>
      </c>
      <c r="G813" s="2">
        <v>40.26</v>
      </c>
      <c r="H813" s="2">
        <v>10</v>
      </c>
      <c r="I813" s="2">
        <v>20.13</v>
      </c>
      <c r="J813" s="2">
        <v>422.73</v>
      </c>
      <c r="K813" s="5">
        <v>43520</v>
      </c>
      <c r="L813" s="4">
        <v>0.75416666666666665</v>
      </c>
      <c r="M813" s="3" t="s">
        <v>59</v>
      </c>
      <c r="N813" s="2">
        <v>402.6</v>
      </c>
      <c r="O813" s="2">
        <v>4.7619047620000003</v>
      </c>
      <c r="P813" s="2">
        <v>20.13</v>
      </c>
      <c r="Q813" s="2">
        <v>5</v>
      </c>
      <c r="R813" s="3"/>
      <c r="S813" s="1"/>
      <c r="T813" s="1"/>
      <c r="U813" s="1" t="s">
        <v>37</v>
      </c>
      <c r="V813" s="1" t="s">
        <v>37</v>
      </c>
      <c r="W813" s="1" t="s">
        <v>37</v>
      </c>
    </row>
    <row r="814" spans="1:23">
      <c r="A814" s="3" t="s">
        <v>4551</v>
      </c>
      <c r="B814" s="3" t="s">
        <v>39</v>
      </c>
      <c r="C814" s="3" t="s">
        <v>40</v>
      </c>
      <c r="D814" s="3" t="s">
        <v>24</v>
      </c>
      <c r="E814" s="3" t="s">
        <v>25</v>
      </c>
      <c r="F814" s="3" t="s">
        <v>72</v>
      </c>
      <c r="G814" s="2">
        <v>64.97</v>
      </c>
      <c r="H814" s="2">
        <v>5</v>
      </c>
      <c r="I814" s="2">
        <v>16.2425</v>
      </c>
      <c r="J814" s="2">
        <v>341.09249999999997</v>
      </c>
      <c r="K814" s="5">
        <v>43504</v>
      </c>
      <c r="L814" s="4">
        <v>0.53611111111111109</v>
      </c>
      <c r="M814" s="3" t="s">
        <v>59</v>
      </c>
      <c r="N814" s="2">
        <v>324.85000000000002</v>
      </c>
      <c r="O814" s="2">
        <v>4.7619047620000003</v>
      </c>
      <c r="P814" s="2">
        <v>16.2425</v>
      </c>
      <c r="Q814" s="2">
        <v>6.5</v>
      </c>
      <c r="R814" s="3"/>
      <c r="S814" s="1"/>
      <c r="T814" s="1"/>
      <c r="U814" s="1" t="s">
        <v>37</v>
      </c>
      <c r="V814" s="1" t="s">
        <v>37</v>
      </c>
      <c r="W814" s="1" t="s">
        <v>37</v>
      </c>
    </row>
    <row r="815" spans="1:23">
      <c r="A815" s="3" t="s">
        <v>4556</v>
      </c>
      <c r="B815" s="3" t="s">
        <v>22</v>
      </c>
      <c r="C815" s="3" t="s">
        <v>23</v>
      </c>
      <c r="D815" s="3" t="s">
        <v>41</v>
      </c>
      <c r="E815" s="3" t="s">
        <v>992</v>
      </c>
      <c r="F815" s="3" t="s">
        <v>42</v>
      </c>
      <c r="G815" s="2">
        <v>95.15</v>
      </c>
      <c r="H815" s="2">
        <v>1</v>
      </c>
      <c r="I815" s="2">
        <v>4.7575000000000003</v>
      </c>
      <c r="J815" s="2">
        <v>99.907499999999999</v>
      </c>
      <c r="K815" s="5">
        <v>43546</v>
      </c>
      <c r="L815" s="4">
        <v>0.58333333333333337</v>
      </c>
      <c r="M815" s="3" t="s">
        <v>49</v>
      </c>
      <c r="N815" s="2">
        <v>95.15</v>
      </c>
      <c r="O815" s="2">
        <v>4.7619047620000003</v>
      </c>
      <c r="P815" s="2">
        <v>4.7575000000000003</v>
      </c>
      <c r="Q815" s="2">
        <v>6</v>
      </c>
      <c r="R815" s="3"/>
      <c r="S815" s="1"/>
      <c r="T815" s="1"/>
      <c r="U815" s="1" t="s">
        <v>37</v>
      </c>
      <c r="V815" s="1" t="s">
        <v>37</v>
      </c>
      <c r="W815" s="1" t="s">
        <v>37</v>
      </c>
    </row>
    <row r="816" spans="1:23">
      <c r="A816" s="3" t="s">
        <v>4561</v>
      </c>
      <c r="B816" s="3" t="s">
        <v>22</v>
      </c>
      <c r="C816" s="3" t="s">
        <v>23</v>
      </c>
      <c r="D816" s="3" t="s">
        <v>24</v>
      </c>
      <c r="E816" s="3" t="s">
        <v>25</v>
      </c>
      <c r="F816" s="3" t="s">
        <v>42</v>
      </c>
      <c r="G816" s="2">
        <v>48.62</v>
      </c>
      <c r="H816" s="2">
        <v>8</v>
      </c>
      <c r="I816" s="2">
        <v>19.448</v>
      </c>
      <c r="J816" s="2">
        <v>408.40800000000002</v>
      </c>
      <c r="K816" s="5">
        <v>43489</v>
      </c>
      <c r="L816" s="4">
        <v>0.45624999999999999</v>
      </c>
      <c r="M816" s="3" t="s">
        <v>49</v>
      </c>
      <c r="N816" s="2">
        <v>388.96</v>
      </c>
      <c r="O816" s="2">
        <v>4.7619047620000003</v>
      </c>
      <c r="P816" s="2">
        <v>19.448</v>
      </c>
      <c r="Q816" s="2">
        <v>5</v>
      </c>
      <c r="R816" s="3"/>
      <c r="S816" s="1"/>
      <c r="T816" s="1"/>
      <c r="U816" s="1" t="s">
        <v>37</v>
      </c>
      <c r="V816" s="1" t="s">
        <v>37</v>
      </c>
      <c r="W816" s="1" t="s">
        <v>37</v>
      </c>
    </row>
    <row r="817" spans="1:23">
      <c r="A817" s="3" t="s">
        <v>4566</v>
      </c>
      <c r="B817" s="3" t="s">
        <v>115</v>
      </c>
      <c r="C817" s="3" t="s">
        <v>116</v>
      </c>
      <c r="D817" s="3" t="s">
        <v>41</v>
      </c>
      <c r="E817" s="3" t="s">
        <v>25</v>
      </c>
      <c r="F817" s="3" t="s">
        <v>117</v>
      </c>
      <c r="G817" s="2">
        <v>53.21</v>
      </c>
      <c r="H817" s="2">
        <v>8</v>
      </c>
      <c r="I817" s="2">
        <v>21.283999999999999</v>
      </c>
      <c r="J817" s="2">
        <v>446.964</v>
      </c>
      <c r="K817" s="5">
        <v>43538</v>
      </c>
      <c r="L817" s="4">
        <v>0.69791666666666663</v>
      </c>
      <c r="M817" s="3" t="s">
        <v>33</v>
      </c>
      <c r="N817" s="2">
        <v>425.68</v>
      </c>
      <c r="O817" s="2">
        <v>4.7619047620000003</v>
      </c>
      <c r="P817" s="2">
        <v>21.283999999999999</v>
      </c>
      <c r="Q817" s="2">
        <v>5</v>
      </c>
      <c r="R817" s="3"/>
      <c r="S817" s="1"/>
      <c r="T817" s="1"/>
      <c r="U817" s="1" t="s">
        <v>37</v>
      </c>
      <c r="V817" s="1" t="s">
        <v>37</v>
      </c>
      <c r="W817" s="1" t="s">
        <v>37</v>
      </c>
    </row>
    <row r="818" spans="1:23">
      <c r="A818" s="3" t="s">
        <v>4571</v>
      </c>
      <c r="B818" s="3" t="s">
        <v>39</v>
      </c>
      <c r="C818" s="3" t="s">
        <v>40</v>
      </c>
      <c r="D818" s="3" t="s">
        <v>41</v>
      </c>
      <c r="E818" s="3" t="s">
        <v>25</v>
      </c>
      <c r="F818" s="3" t="s">
        <v>127</v>
      </c>
      <c r="G818" s="2">
        <v>45.44</v>
      </c>
      <c r="H818" s="2">
        <v>7</v>
      </c>
      <c r="I818" s="2">
        <v>15.904</v>
      </c>
      <c r="J818" s="2">
        <v>333.98399999999998</v>
      </c>
      <c r="K818" s="5">
        <v>43488</v>
      </c>
      <c r="L818" s="4">
        <v>0.46875</v>
      </c>
      <c r="M818" s="3" t="s">
        <v>49</v>
      </c>
      <c r="N818" s="2">
        <v>318.08</v>
      </c>
      <c r="O818" s="2">
        <v>4.7619047620000003</v>
      </c>
      <c r="P818" s="2">
        <v>15.904</v>
      </c>
      <c r="Q818" s="2">
        <v>9.1999999999999993</v>
      </c>
      <c r="R818" s="3"/>
      <c r="S818" s="1"/>
      <c r="T818" s="1"/>
      <c r="U818" s="1" t="s">
        <v>37</v>
      </c>
      <c r="V818" s="1" t="s">
        <v>37</v>
      </c>
      <c r="W818" s="1" t="s">
        <v>37</v>
      </c>
    </row>
    <row r="819" spans="1:23">
      <c r="A819" s="3" t="s">
        <v>4576</v>
      </c>
      <c r="B819" s="3" t="s">
        <v>22</v>
      </c>
      <c r="C819" s="3" t="s">
        <v>23</v>
      </c>
      <c r="D819" s="3" t="s">
        <v>41</v>
      </c>
      <c r="E819" s="3" t="s">
        <v>992</v>
      </c>
      <c r="F819" s="3" t="s">
        <v>117</v>
      </c>
      <c r="G819" s="2">
        <v>33.880000000000003</v>
      </c>
      <c r="H819" s="2">
        <v>8</v>
      </c>
      <c r="I819" s="2">
        <v>13.552</v>
      </c>
      <c r="J819" s="2">
        <v>284.59199999999998</v>
      </c>
      <c r="K819" s="5">
        <v>43484</v>
      </c>
      <c r="L819" s="4">
        <v>0.85347222222222219</v>
      </c>
      <c r="M819" s="3" t="s">
        <v>33</v>
      </c>
      <c r="N819" s="2">
        <v>271.04000000000002</v>
      </c>
      <c r="O819" s="2">
        <v>4.7619047620000003</v>
      </c>
      <c r="P819" s="2">
        <v>13.552</v>
      </c>
      <c r="Q819" s="2">
        <v>9.6</v>
      </c>
      <c r="R819" s="3"/>
      <c r="S819" s="1"/>
      <c r="T819" s="1"/>
      <c r="U819" s="1" t="s">
        <v>37</v>
      </c>
      <c r="V819" s="1" t="s">
        <v>37</v>
      </c>
      <c r="W819" s="1" t="s">
        <v>37</v>
      </c>
    </row>
    <row r="820" spans="1:23">
      <c r="A820" s="3" t="s">
        <v>4581</v>
      </c>
      <c r="B820" s="3" t="s">
        <v>115</v>
      </c>
      <c r="C820" s="3" t="s">
        <v>116</v>
      </c>
      <c r="D820" s="3" t="s">
        <v>24</v>
      </c>
      <c r="E820" s="3" t="s">
        <v>992</v>
      </c>
      <c r="F820" s="3" t="s">
        <v>26</v>
      </c>
      <c r="G820" s="2">
        <v>96.16</v>
      </c>
      <c r="H820" s="2">
        <v>4</v>
      </c>
      <c r="I820" s="2">
        <v>19.231999999999999</v>
      </c>
      <c r="J820" s="2">
        <v>403.87200000000001</v>
      </c>
      <c r="K820" s="5">
        <v>43492</v>
      </c>
      <c r="L820" s="4">
        <v>0.8354166666666667</v>
      </c>
      <c r="M820" s="3" t="s">
        <v>59</v>
      </c>
      <c r="N820" s="2">
        <v>384.64</v>
      </c>
      <c r="O820" s="2">
        <v>4.7619047620000003</v>
      </c>
      <c r="P820" s="2">
        <v>19.231999999999999</v>
      </c>
      <c r="Q820" s="2">
        <v>8.4</v>
      </c>
      <c r="R820" s="3"/>
      <c r="S820" s="1"/>
      <c r="T820" s="1"/>
      <c r="U820" s="1" t="s">
        <v>37</v>
      </c>
      <c r="V820" s="1" t="s">
        <v>37</v>
      </c>
      <c r="W820" s="1" t="s">
        <v>37</v>
      </c>
    </row>
    <row r="821" spans="1:23">
      <c r="A821" s="3" t="s">
        <v>4586</v>
      </c>
      <c r="B821" s="3" t="s">
        <v>115</v>
      </c>
      <c r="C821" s="3" t="s">
        <v>116</v>
      </c>
      <c r="D821" s="3" t="s">
        <v>24</v>
      </c>
      <c r="E821" s="3" t="s">
        <v>992</v>
      </c>
      <c r="F821" s="3" t="s">
        <v>117</v>
      </c>
      <c r="G821" s="2">
        <v>47.16</v>
      </c>
      <c r="H821" s="2">
        <v>5</v>
      </c>
      <c r="I821" s="2">
        <v>11.79</v>
      </c>
      <c r="J821" s="2">
        <v>247.59</v>
      </c>
      <c r="K821" s="5">
        <v>43499</v>
      </c>
      <c r="L821" s="4">
        <v>0.60763888888888884</v>
      </c>
      <c r="M821" s="3" t="s">
        <v>59</v>
      </c>
      <c r="N821" s="2">
        <v>235.8</v>
      </c>
      <c r="O821" s="2">
        <v>4.7619047620000003</v>
      </c>
      <c r="P821" s="2">
        <v>11.79</v>
      </c>
      <c r="Q821" s="2">
        <v>6</v>
      </c>
      <c r="R821" s="3"/>
      <c r="S821" s="1"/>
      <c r="T821" s="1"/>
      <c r="U821" s="1" t="s">
        <v>37</v>
      </c>
      <c r="V821" s="1" t="s">
        <v>37</v>
      </c>
      <c r="W821" s="1" t="s">
        <v>37</v>
      </c>
    </row>
    <row r="822" spans="1:23">
      <c r="A822" s="3" t="s">
        <v>4591</v>
      </c>
      <c r="B822" s="3" t="s">
        <v>115</v>
      </c>
      <c r="C822" s="3" t="s">
        <v>116</v>
      </c>
      <c r="D822" s="3" t="s">
        <v>41</v>
      </c>
      <c r="E822" s="3" t="s">
        <v>992</v>
      </c>
      <c r="F822" s="3" t="s">
        <v>42</v>
      </c>
      <c r="G822" s="2">
        <v>52.89</v>
      </c>
      <c r="H822" s="2">
        <v>4</v>
      </c>
      <c r="I822" s="2">
        <v>10.577999999999999</v>
      </c>
      <c r="J822" s="2">
        <v>222.13800000000001</v>
      </c>
      <c r="K822" s="5">
        <v>43549</v>
      </c>
      <c r="L822" s="4">
        <v>0.68888888888888888</v>
      </c>
      <c r="M822" s="3" t="s">
        <v>33</v>
      </c>
      <c r="N822" s="2">
        <v>211.56</v>
      </c>
      <c r="O822" s="2">
        <v>4.7619047620000003</v>
      </c>
      <c r="P822" s="2">
        <v>10.577999999999999</v>
      </c>
      <c r="Q822" s="2">
        <v>6.7</v>
      </c>
      <c r="R822" s="3"/>
      <c r="S822" s="1"/>
      <c r="T822" s="1"/>
      <c r="U822" s="1" t="s">
        <v>37</v>
      </c>
      <c r="V822" s="1" t="s">
        <v>37</v>
      </c>
      <c r="W822" s="1" t="s">
        <v>37</v>
      </c>
    </row>
    <row r="823" spans="1:23">
      <c r="A823" s="3" t="s">
        <v>4596</v>
      </c>
      <c r="B823" s="3" t="s">
        <v>22</v>
      </c>
      <c r="C823" s="3" t="s">
        <v>23</v>
      </c>
      <c r="D823" s="3" t="s">
        <v>24</v>
      </c>
      <c r="E823" s="3" t="s">
        <v>25</v>
      </c>
      <c r="F823" s="3" t="s">
        <v>53</v>
      </c>
      <c r="G823" s="2">
        <v>47.68</v>
      </c>
      <c r="H823" s="2">
        <v>2</v>
      </c>
      <c r="I823" s="2">
        <v>4.7679999999999998</v>
      </c>
      <c r="J823" s="2">
        <v>100.128</v>
      </c>
      <c r="K823" s="5">
        <v>43520</v>
      </c>
      <c r="L823" s="4">
        <v>0.4236111111111111</v>
      </c>
      <c r="M823" s="3" t="s">
        <v>59</v>
      </c>
      <c r="N823" s="2">
        <v>95.36</v>
      </c>
      <c r="O823" s="2">
        <v>4.7619047620000003</v>
      </c>
      <c r="P823" s="2">
        <v>4.7679999999999998</v>
      </c>
      <c r="Q823" s="2">
        <v>4.0999999999999996</v>
      </c>
      <c r="R823" s="3"/>
      <c r="S823" s="1"/>
      <c r="T823" s="1"/>
      <c r="U823" s="1" t="s">
        <v>37</v>
      </c>
      <c r="V823" s="1" t="s">
        <v>37</v>
      </c>
      <c r="W823" s="1" t="s">
        <v>37</v>
      </c>
    </row>
    <row r="824" spans="1:23">
      <c r="A824" s="3" t="s">
        <v>4602</v>
      </c>
      <c r="B824" s="3" t="s">
        <v>39</v>
      </c>
      <c r="C824" s="3" t="s">
        <v>40</v>
      </c>
      <c r="D824" s="3" t="s">
        <v>24</v>
      </c>
      <c r="E824" s="3" t="s">
        <v>992</v>
      </c>
      <c r="F824" s="3" t="s">
        <v>72</v>
      </c>
      <c r="G824" s="2">
        <v>10.17</v>
      </c>
      <c r="H824" s="2">
        <v>1</v>
      </c>
      <c r="I824" s="2">
        <v>0.50849999999999995</v>
      </c>
      <c r="J824" s="2">
        <v>10.6785</v>
      </c>
      <c r="K824" s="5">
        <v>43503</v>
      </c>
      <c r="L824" s="4">
        <v>0.59375</v>
      </c>
      <c r="M824" s="3" t="s">
        <v>49</v>
      </c>
      <c r="N824" s="2">
        <v>10.17</v>
      </c>
      <c r="O824" s="2">
        <v>4.7619047620000003</v>
      </c>
      <c r="P824" s="2">
        <v>0.50849999999999995</v>
      </c>
      <c r="Q824" s="2">
        <v>5.9</v>
      </c>
      <c r="R824" s="3"/>
      <c r="S824" s="1"/>
      <c r="T824" s="1"/>
      <c r="U824" s="1" t="s">
        <v>37</v>
      </c>
      <c r="V824" s="1" t="s">
        <v>37</v>
      </c>
      <c r="W824" s="1" t="s">
        <v>37</v>
      </c>
    </row>
    <row r="825" spans="1:23">
      <c r="A825" s="3" t="s">
        <v>4606</v>
      </c>
      <c r="B825" s="3" t="s">
        <v>22</v>
      </c>
      <c r="C825" s="3" t="s">
        <v>23</v>
      </c>
      <c r="D825" s="3" t="s">
        <v>41</v>
      </c>
      <c r="E825" s="3" t="s">
        <v>25</v>
      </c>
      <c r="F825" s="3" t="s">
        <v>26</v>
      </c>
      <c r="G825" s="2">
        <v>68.709999999999994</v>
      </c>
      <c r="H825" s="2">
        <v>3</v>
      </c>
      <c r="I825" s="2">
        <v>10.3065</v>
      </c>
      <c r="J825" s="2">
        <v>216.4365</v>
      </c>
      <c r="K825" s="5">
        <v>43528</v>
      </c>
      <c r="L825" s="4">
        <v>0.4201388888888889</v>
      </c>
      <c r="M825" s="3" t="s">
        <v>49</v>
      </c>
      <c r="N825" s="2">
        <v>206.13</v>
      </c>
      <c r="O825" s="2">
        <v>4.7619047620000003</v>
      </c>
      <c r="P825" s="2">
        <v>10.3065</v>
      </c>
      <c r="Q825" s="2">
        <v>8.6999999999999993</v>
      </c>
      <c r="R825" s="3"/>
      <c r="S825" s="1"/>
      <c r="T825" s="1"/>
      <c r="U825" s="1" t="s">
        <v>37</v>
      </c>
      <c r="V825" s="1" t="s">
        <v>37</v>
      </c>
      <c r="W825" s="1" t="s">
        <v>37</v>
      </c>
    </row>
    <row r="826" spans="1:23">
      <c r="A826" s="3" t="s">
        <v>4611</v>
      </c>
      <c r="B826" s="3" t="s">
        <v>115</v>
      </c>
      <c r="C826" s="3" t="s">
        <v>116</v>
      </c>
      <c r="D826" s="3" t="s">
        <v>24</v>
      </c>
      <c r="E826" s="3" t="s">
        <v>25</v>
      </c>
      <c r="F826" s="3" t="s">
        <v>72</v>
      </c>
      <c r="G826" s="2">
        <v>60.08</v>
      </c>
      <c r="H826" s="2">
        <v>7</v>
      </c>
      <c r="I826" s="2">
        <v>21.027999999999999</v>
      </c>
      <c r="J826" s="2">
        <v>441.58800000000002</v>
      </c>
      <c r="K826" s="5">
        <v>43510</v>
      </c>
      <c r="L826" s="4">
        <v>0.48333333333333334</v>
      </c>
      <c r="M826" s="3" t="s">
        <v>59</v>
      </c>
      <c r="N826" s="2">
        <v>420.56</v>
      </c>
      <c r="O826" s="2">
        <v>4.7619047620000003</v>
      </c>
      <c r="P826" s="2">
        <v>21.027999999999999</v>
      </c>
      <c r="Q826" s="2">
        <v>4.5</v>
      </c>
      <c r="R826" s="3"/>
      <c r="S826" s="1"/>
      <c r="T826" s="1"/>
      <c r="U826" s="1" t="s">
        <v>37</v>
      </c>
      <c r="V826" s="1" t="s">
        <v>37</v>
      </c>
      <c r="W826" s="1" t="s">
        <v>37</v>
      </c>
    </row>
    <row r="827" spans="1:23">
      <c r="A827" s="3" t="s">
        <v>4616</v>
      </c>
      <c r="B827" s="3" t="s">
        <v>22</v>
      </c>
      <c r="C827" s="3" t="s">
        <v>23</v>
      </c>
      <c r="D827" s="3" t="s">
        <v>24</v>
      </c>
      <c r="E827" s="3" t="s">
        <v>25</v>
      </c>
      <c r="F827" s="3" t="s">
        <v>72</v>
      </c>
      <c r="G827" s="2">
        <v>22.01</v>
      </c>
      <c r="H827" s="2">
        <v>4</v>
      </c>
      <c r="I827" s="2">
        <v>4.4020000000000001</v>
      </c>
      <c r="J827" s="2">
        <v>92.441999999999993</v>
      </c>
      <c r="K827" s="5">
        <v>43494</v>
      </c>
      <c r="L827" s="4">
        <v>0.76041666666666663</v>
      </c>
      <c r="M827" s="3" t="s">
        <v>59</v>
      </c>
      <c r="N827" s="2">
        <v>88.04</v>
      </c>
      <c r="O827" s="2">
        <v>4.7619047620000003</v>
      </c>
      <c r="P827" s="2">
        <v>4.4020000000000001</v>
      </c>
      <c r="Q827" s="2">
        <v>6.6</v>
      </c>
      <c r="R827" s="3"/>
      <c r="S827" s="1"/>
      <c r="T827" s="1"/>
      <c r="U827" s="1" t="s">
        <v>37</v>
      </c>
      <c r="V827" s="1" t="s">
        <v>37</v>
      </c>
      <c r="W827" s="1" t="s">
        <v>37</v>
      </c>
    </row>
    <row r="828" spans="1:23">
      <c r="A828" s="3" t="s">
        <v>4621</v>
      </c>
      <c r="B828" s="3" t="s">
        <v>115</v>
      </c>
      <c r="C828" s="3" t="s">
        <v>116</v>
      </c>
      <c r="D828" s="3" t="s">
        <v>24</v>
      </c>
      <c r="E828" s="3" t="s">
        <v>25</v>
      </c>
      <c r="F828" s="3" t="s">
        <v>26</v>
      </c>
      <c r="G828" s="2">
        <v>72.11</v>
      </c>
      <c r="H828" s="2">
        <v>9</v>
      </c>
      <c r="I828" s="2">
        <v>32.4495</v>
      </c>
      <c r="J828" s="2">
        <v>681.43949999999995</v>
      </c>
      <c r="K828" s="5">
        <v>43493</v>
      </c>
      <c r="L828" s="4">
        <v>0.57847222222222228</v>
      </c>
      <c r="M828" s="3" t="s">
        <v>59</v>
      </c>
      <c r="N828" s="2">
        <v>648.99</v>
      </c>
      <c r="O828" s="2">
        <v>4.7619047620000003</v>
      </c>
      <c r="P828" s="2">
        <v>32.4495</v>
      </c>
      <c r="Q828" s="2">
        <v>7.7</v>
      </c>
      <c r="R828" s="3"/>
      <c r="S828" s="1"/>
      <c r="T828" s="1"/>
      <c r="U828" s="1" t="s">
        <v>37</v>
      </c>
      <c r="V828" s="1" t="s">
        <v>37</v>
      </c>
      <c r="W828" s="1" t="s">
        <v>37</v>
      </c>
    </row>
    <row r="829" spans="1:23">
      <c r="A829" s="3" t="s">
        <v>4626</v>
      </c>
      <c r="B829" s="3" t="s">
        <v>22</v>
      </c>
      <c r="C829" s="3" t="s">
        <v>23</v>
      </c>
      <c r="D829" s="3" t="s">
        <v>24</v>
      </c>
      <c r="E829" s="3" t="s">
        <v>992</v>
      </c>
      <c r="F829" s="3" t="s">
        <v>127</v>
      </c>
      <c r="G829" s="2">
        <v>41.28</v>
      </c>
      <c r="H829" s="2">
        <v>3</v>
      </c>
      <c r="I829" s="2">
        <v>6.1920000000000002</v>
      </c>
      <c r="J829" s="2">
        <v>130.03200000000001</v>
      </c>
      <c r="K829" s="5">
        <v>43550</v>
      </c>
      <c r="L829" s="4">
        <v>0.77569444444444446</v>
      </c>
      <c r="M829" s="3" t="s">
        <v>59</v>
      </c>
      <c r="N829" s="2">
        <v>123.84</v>
      </c>
      <c r="O829" s="2">
        <v>4.7619047620000003</v>
      </c>
      <c r="P829" s="2">
        <v>6.1920000000000002</v>
      </c>
      <c r="Q829" s="2">
        <v>8.5</v>
      </c>
      <c r="R829" s="3"/>
      <c r="S829" s="1"/>
      <c r="T829" s="1"/>
      <c r="U829" s="1" t="s">
        <v>37</v>
      </c>
      <c r="V829" s="1" t="s">
        <v>37</v>
      </c>
      <c r="W829" s="1" t="s">
        <v>37</v>
      </c>
    </row>
    <row r="830" spans="1:23">
      <c r="A830" s="3" t="s">
        <v>4631</v>
      </c>
      <c r="B830" s="3" t="s">
        <v>39</v>
      </c>
      <c r="C830" s="3" t="s">
        <v>40</v>
      </c>
      <c r="D830" s="3" t="s">
        <v>41</v>
      </c>
      <c r="E830" s="3" t="s">
        <v>992</v>
      </c>
      <c r="F830" s="3" t="s">
        <v>42</v>
      </c>
      <c r="G830" s="2">
        <v>64.95</v>
      </c>
      <c r="H830" s="2">
        <v>10</v>
      </c>
      <c r="I830" s="2">
        <v>32.475000000000001</v>
      </c>
      <c r="J830" s="2">
        <v>681.97500000000002</v>
      </c>
      <c r="K830" s="5">
        <v>43548</v>
      </c>
      <c r="L830" s="4">
        <v>0.76875000000000004</v>
      </c>
      <c r="M830" s="3" t="s">
        <v>49</v>
      </c>
      <c r="N830" s="2">
        <v>649.5</v>
      </c>
      <c r="O830" s="2">
        <v>4.7619047620000003</v>
      </c>
      <c r="P830" s="2">
        <v>32.475000000000001</v>
      </c>
      <c r="Q830" s="2">
        <v>5.2</v>
      </c>
      <c r="R830" s="3"/>
      <c r="S830" s="1"/>
      <c r="T830" s="1"/>
      <c r="U830" s="1" t="s">
        <v>37</v>
      </c>
      <c r="V830" s="1" t="s">
        <v>37</v>
      </c>
      <c r="W830" s="1" t="s">
        <v>37</v>
      </c>
    </row>
    <row r="831" spans="1:23">
      <c r="A831" s="3" t="s">
        <v>4636</v>
      </c>
      <c r="B831" s="3" t="s">
        <v>22</v>
      </c>
      <c r="C831" s="3" t="s">
        <v>23</v>
      </c>
      <c r="D831" s="3" t="s">
        <v>24</v>
      </c>
      <c r="E831" s="3" t="s">
        <v>25</v>
      </c>
      <c r="F831" s="3" t="s">
        <v>42</v>
      </c>
      <c r="G831" s="2">
        <v>74.22</v>
      </c>
      <c r="H831" s="2">
        <v>10</v>
      </c>
      <c r="I831" s="2">
        <v>37.11</v>
      </c>
      <c r="J831" s="2">
        <v>779.31</v>
      </c>
      <c r="K831" s="5">
        <v>43466</v>
      </c>
      <c r="L831" s="4">
        <v>0.61250000000000004</v>
      </c>
      <c r="M831" s="3" t="s">
        <v>59</v>
      </c>
      <c r="N831" s="2">
        <v>742.2</v>
      </c>
      <c r="O831" s="2">
        <v>4.7619047620000003</v>
      </c>
      <c r="P831" s="2">
        <v>37.11</v>
      </c>
      <c r="Q831" s="2">
        <v>4.3</v>
      </c>
      <c r="R831" s="3"/>
      <c r="S831" s="1"/>
      <c r="T831" s="1"/>
      <c r="U831" s="1" t="s">
        <v>37</v>
      </c>
      <c r="V831" s="1" t="s">
        <v>37</v>
      </c>
      <c r="W831" s="1" t="s">
        <v>37</v>
      </c>
    </row>
    <row r="832" spans="1:23">
      <c r="A832" s="3" t="s">
        <v>4640</v>
      </c>
      <c r="B832" s="3" t="s">
        <v>22</v>
      </c>
      <c r="C832" s="3" t="s">
        <v>23</v>
      </c>
      <c r="D832" s="3" t="s">
        <v>41</v>
      </c>
      <c r="E832" s="3" t="s">
        <v>992</v>
      </c>
      <c r="F832" s="3" t="s">
        <v>42</v>
      </c>
      <c r="G832" s="2">
        <v>10.56</v>
      </c>
      <c r="H832" s="2">
        <v>8</v>
      </c>
      <c r="I832" s="2">
        <v>4.2240000000000002</v>
      </c>
      <c r="J832" s="2">
        <v>88.703999999999994</v>
      </c>
      <c r="K832" s="5">
        <v>43489</v>
      </c>
      <c r="L832" s="4">
        <v>0.73819444444444449</v>
      </c>
      <c r="M832" s="3" t="s">
        <v>49</v>
      </c>
      <c r="N832" s="2">
        <v>84.48</v>
      </c>
      <c r="O832" s="2">
        <v>4.7619047620000003</v>
      </c>
      <c r="P832" s="2">
        <v>4.2240000000000002</v>
      </c>
      <c r="Q832" s="2">
        <v>7.6</v>
      </c>
      <c r="R832" s="3"/>
      <c r="S832" s="1"/>
      <c r="T832" s="1"/>
      <c r="U832" s="1" t="s">
        <v>37</v>
      </c>
      <c r="V832" s="1" t="s">
        <v>37</v>
      </c>
      <c r="W832" s="1" t="s">
        <v>37</v>
      </c>
    </row>
    <row r="833" spans="1:23">
      <c r="A833" s="3" t="s">
        <v>4645</v>
      </c>
      <c r="B833" s="3" t="s">
        <v>115</v>
      </c>
      <c r="C833" s="3" t="s">
        <v>116</v>
      </c>
      <c r="D833" s="3" t="s">
        <v>41</v>
      </c>
      <c r="E833" s="3" t="s">
        <v>992</v>
      </c>
      <c r="F833" s="3" t="s">
        <v>26</v>
      </c>
      <c r="G833" s="2">
        <v>62.57</v>
      </c>
      <c r="H833" s="2">
        <v>4</v>
      </c>
      <c r="I833" s="2">
        <v>12.513999999999999</v>
      </c>
      <c r="J833" s="2">
        <v>262.79399999999998</v>
      </c>
      <c r="K833" s="5">
        <v>43521</v>
      </c>
      <c r="L833" s="4">
        <v>0.77569444444444446</v>
      </c>
      <c r="M833" s="3" t="s">
        <v>49</v>
      </c>
      <c r="N833" s="2">
        <v>250.28</v>
      </c>
      <c r="O833" s="2">
        <v>4.7619047620000003</v>
      </c>
      <c r="P833" s="2">
        <v>12.513999999999999</v>
      </c>
      <c r="Q833" s="2">
        <v>9.5</v>
      </c>
      <c r="R833" s="3"/>
      <c r="S833" s="1"/>
      <c r="T833" s="1"/>
      <c r="U833" s="1" t="s">
        <v>37</v>
      </c>
      <c r="V833" s="1" t="s">
        <v>37</v>
      </c>
      <c r="W833" s="1" t="s">
        <v>37</v>
      </c>
    </row>
    <row r="834" spans="1:23">
      <c r="A834" s="3" t="s">
        <v>4650</v>
      </c>
      <c r="B834" s="3" t="s">
        <v>115</v>
      </c>
      <c r="C834" s="3" t="s">
        <v>116</v>
      </c>
      <c r="D834" s="3" t="s">
        <v>24</v>
      </c>
      <c r="E834" s="3" t="s">
        <v>25</v>
      </c>
      <c r="F834" s="3" t="s">
        <v>72</v>
      </c>
      <c r="G834" s="2">
        <v>11.85</v>
      </c>
      <c r="H834" s="2">
        <v>8</v>
      </c>
      <c r="I834" s="2">
        <v>4.74</v>
      </c>
      <c r="J834" s="2">
        <v>99.54</v>
      </c>
      <c r="K834" s="5">
        <v>43474</v>
      </c>
      <c r="L834" s="4">
        <v>0.69027777777777777</v>
      </c>
      <c r="M834" s="3" t="s">
        <v>49</v>
      </c>
      <c r="N834" s="2">
        <v>94.8</v>
      </c>
      <c r="O834" s="2">
        <v>4.7619047620000003</v>
      </c>
      <c r="P834" s="2">
        <v>4.74</v>
      </c>
      <c r="Q834" s="2">
        <v>4.0999999999999996</v>
      </c>
      <c r="R834" s="3"/>
      <c r="S834" s="1"/>
      <c r="T834" s="1"/>
      <c r="U834" s="1" t="s">
        <v>37</v>
      </c>
      <c r="V834" s="1" t="s">
        <v>37</v>
      </c>
      <c r="W834" s="1" t="s">
        <v>37</v>
      </c>
    </row>
    <row r="835" spans="1:23">
      <c r="A835" s="3" t="s">
        <v>4655</v>
      </c>
      <c r="B835" s="3" t="s">
        <v>22</v>
      </c>
      <c r="C835" s="3" t="s">
        <v>23</v>
      </c>
      <c r="D835" s="3" t="s">
        <v>24</v>
      </c>
      <c r="E835" s="3" t="s">
        <v>992</v>
      </c>
      <c r="F835" s="3" t="s">
        <v>26</v>
      </c>
      <c r="G835" s="2">
        <v>91.3</v>
      </c>
      <c r="H835" s="2">
        <v>1</v>
      </c>
      <c r="I835" s="2">
        <v>4.5650000000000004</v>
      </c>
      <c r="J835" s="2">
        <v>95.864999999999995</v>
      </c>
      <c r="K835" s="5">
        <v>43510</v>
      </c>
      <c r="L835" s="4">
        <v>0.61250000000000004</v>
      </c>
      <c r="M835" s="3" t="s">
        <v>33</v>
      </c>
      <c r="N835" s="2">
        <v>91.3</v>
      </c>
      <c r="O835" s="2">
        <v>4.7619047620000003</v>
      </c>
      <c r="P835" s="2">
        <v>4.5650000000000004</v>
      </c>
      <c r="Q835" s="2">
        <v>9.1999999999999993</v>
      </c>
      <c r="R835" s="3"/>
      <c r="S835" s="1"/>
      <c r="T835" s="1"/>
      <c r="U835" s="1" t="s">
        <v>37</v>
      </c>
      <c r="V835" s="1" t="s">
        <v>37</v>
      </c>
      <c r="W835" s="1" t="s">
        <v>37</v>
      </c>
    </row>
    <row r="836" spans="1:23">
      <c r="A836" s="3" t="s">
        <v>4659</v>
      </c>
      <c r="B836" s="3" t="s">
        <v>115</v>
      </c>
      <c r="C836" s="3" t="s">
        <v>116</v>
      </c>
      <c r="D836" s="3" t="s">
        <v>24</v>
      </c>
      <c r="E836" s="3" t="s">
        <v>25</v>
      </c>
      <c r="F836" s="3" t="s">
        <v>53</v>
      </c>
      <c r="G836" s="2">
        <v>40.729999999999997</v>
      </c>
      <c r="H836" s="2">
        <v>7</v>
      </c>
      <c r="I836" s="2">
        <v>14.2555</v>
      </c>
      <c r="J836" s="2">
        <v>299.3655</v>
      </c>
      <c r="K836" s="5">
        <v>43536</v>
      </c>
      <c r="L836" s="4">
        <v>0.45902777777777776</v>
      </c>
      <c r="M836" s="3" t="s">
        <v>33</v>
      </c>
      <c r="N836" s="2">
        <v>285.11</v>
      </c>
      <c r="O836" s="2">
        <v>4.7619047620000003</v>
      </c>
      <c r="P836" s="2">
        <v>14.2555</v>
      </c>
      <c r="Q836" s="2">
        <v>5.4</v>
      </c>
      <c r="R836" s="3"/>
      <c r="S836" s="1"/>
      <c r="T836" s="1"/>
      <c r="U836" s="1" t="s">
        <v>37</v>
      </c>
      <c r="V836" s="1" t="s">
        <v>37</v>
      </c>
      <c r="W836" s="1" t="s">
        <v>37</v>
      </c>
    </row>
    <row r="837" spans="1:23">
      <c r="A837" s="3" t="s">
        <v>4665</v>
      </c>
      <c r="B837" s="3" t="s">
        <v>22</v>
      </c>
      <c r="C837" s="3" t="s">
        <v>23</v>
      </c>
      <c r="D837" s="3" t="s">
        <v>41</v>
      </c>
      <c r="E837" s="3" t="s">
        <v>992</v>
      </c>
      <c r="F837" s="3" t="s">
        <v>127</v>
      </c>
      <c r="G837" s="2">
        <v>52.38</v>
      </c>
      <c r="H837" s="2">
        <v>1</v>
      </c>
      <c r="I837" s="2">
        <v>2.6190000000000002</v>
      </c>
      <c r="J837" s="2">
        <v>54.999000000000002</v>
      </c>
      <c r="K837" s="5">
        <v>43550</v>
      </c>
      <c r="L837" s="4">
        <v>0.82222222222222219</v>
      </c>
      <c r="M837" s="3" t="s">
        <v>49</v>
      </c>
      <c r="N837" s="2">
        <v>52.38</v>
      </c>
      <c r="O837" s="2">
        <v>4.7619047620000003</v>
      </c>
      <c r="P837" s="2">
        <v>2.6190000000000002</v>
      </c>
      <c r="Q837" s="2">
        <v>5.8</v>
      </c>
      <c r="R837" s="3"/>
      <c r="S837" s="1"/>
      <c r="T837" s="1"/>
      <c r="U837" s="1" t="s">
        <v>37</v>
      </c>
      <c r="V837" s="1" t="s">
        <v>37</v>
      </c>
      <c r="W837" s="1" t="s">
        <v>37</v>
      </c>
    </row>
    <row r="838" spans="1:23">
      <c r="A838" s="3" t="s">
        <v>4669</v>
      </c>
      <c r="B838" s="3" t="s">
        <v>22</v>
      </c>
      <c r="C838" s="3" t="s">
        <v>23</v>
      </c>
      <c r="D838" s="3" t="s">
        <v>24</v>
      </c>
      <c r="E838" s="3" t="s">
        <v>992</v>
      </c>
      <c r="F838" s="3" t="s">
        <v>127</v>
      </c>
      <c r="G838" s="2">
        <v>38.54</v>
      </c>
      <c r="H838" s="2">
        <v>5</v>
      </c>
      <c r="I838" s="2">
        <v>9.6349999999999998</v>
      </c>
      <c r="J838" s="2">
        <v>202.33500000000001</v>
      </c>
      <c r="K838" s="5">
        <v>43474</v>
      </c>
      <c r="L838" s="4">
        <v>0.56527777777777777</v>
      </c>
      <c r="M838" s="3" t="s">
        <v>33</v>
      </c>
      <c r="N838" s="2">
        <v>192.7</v>
      </c>
      <c r="O838" s="2">
        <v>4.7619047620000003</v>
      </c>
      <c r="P838" s="2">
        <v>9.6349999999999998</v>
      </c>
      <c r="Q838" s="2">
        <v>5.6</v>
      </c>
      <c r="R838" s="3"/>
      <c r="S838" s="1"/>
      <c r="T838" s="1"/>
      <c r="U838" s="1" t="s">
        <v>37</v>
      </c>
      <c r="V838" s="1" t="s">
        <v>37</v>
      </c>
      <c r="W838" s="1" t="s">
        <v>37</v>
      </c>
    </row>
    <row r="839" spans="1:23">
      <c r="A839" s="3" t="s">
        <v>4674</v>
      </c>
      <c r="B839" s="3" t="s">
        <v>115</v>
      </c>
      <c r="C839" s="3" t="s">
        <v>116</v>
      </c>
      <c r="D839" s="3" t="s">
        <v>41</v>
      </c>
      <c r="E839" s="3" t="s">
        <v>992</v>
      </c>
      <c r="F839" s="3" t="s">
        <v>72</v>
      </c>
      <c r="G839" s="2">
        <v>44.63</v>
      </c>
      <c r="H839" s="2">
        <v>6</v>
      </c>
      <c r="I839" s="2">
        <v>13.388999999999999</v>
      </c>
      <c r="J839" s="2">
        <v>281.16899999999998</v>
      </c>
      <c r="K839" s="5">
        <v>43467</v>
      </c>
      <c r="L839" s="4">
        <v>0.83888888888888891</v>
      </c>
      <c r="M839" s="3" t="s">
        <v>59</v>
      </c>
      <c r="N839" s="2">
        <v>267.77999999999997</v>
      </c>
      <c r="O839" s="2">
        <v>4.7619047620000003</v>
      </c>
      <c r="P839" s="2">
        <v>13.388999999999999</v>
      </c>
      <c r="Q839" s="2">
        <v>5.0999999999999996</v>
      </c>
      <c r="R839" s="3"/>
      <c r="S839" s="1"/>
      <c r="T839" s="1"/>
      <c r="U839" s="1" t="s">
        <v>37</v>
      </c>
      <c r="V839" s="1" t="s">
        <v>37</v>
      </c>
      <c r="W839" s="1" t="s">
        <v>37</v>
      </c>
    </row>
    <row r="840" spans="1:23">
      <c r="A840" s="3" t="s">
        <v>4679</v>
      </c>
      <c r="B840" s="3" t="s">
        <v>39</v>
      </c>
      <c r="C840" s="3" t="s">
        <v>40</v>
      </c>
      <c r="D840" s="3" t="s">
        <v>41</v>
      </c>
      <c r="E840" s="3" t="s">
        <v>992</v>
      </c>
      <c r="F840" s="3" t="s">
        <v>42</v>
      </c>
      <c r="G840" s="2">
        <v>55.87</v>
      </c>
      <c r="H840" s="2">
        <v>10</v>
      </c>
      <c r="I840" s="2">
        <v>27.934999999999999</v>
      </c>
      <c r="J840" s="2">
        <v>586.63499999999999</v>
      </c>
      <c r="K840" s="5">
        <v>43480</v>
      </c>
      <c r="L840" s="4">
        <v>0.62569444444444444</v>
      </c>
      <c r="M840" s="3" t="s">
        <v>49</v>
      </c>
      <c r="N840" s="2">
        <v>558.70000000000005</v>
      </c>
      <c r="O840" s="2">
        <v>4.7619047620000003</v>
      </c>
      <c r="P840" s="2">
        <v>27.934999999999999</v>
      </c>
      <c r="Q840" s="2">
        <v>5.8</v>
      </c>
      <c r="R840" s="3"/>
      <c r="S840" s="1"/>
      <c r="T840" s="1"/>
      <c r="U840" s="1" t="s">
        <v>37</v>
      </c>
      <c r="V840" s="1" t="s">
        <v>37</v>
      </c>
      <c r="W840" s="1" t="s">
        <v>37</v>
      </c>
    </row>
    <row r="841" spans="1:23">
      <c r="A841" s="3" t="s">
        <v>4684</v>
      </c>
      <c r="B841" s="3" t="s">
        <v>39</v>
      </c>
      <c r="C841" s="3" t="s">
        <v>40</v>
      </c>
      <c r="D841" s="3" t="s">
        <v>24</v>
      </c>
      <c r="E841" s="3" t="s">
        <v>25</v>
      </c>
      <c r="F841" s="3" t="s">
        <v>72</v>
      </c>
      <c r="G841" s="2">
        <v>29.22</v>
      </c>
      <c r="H841" s="2">
        <v>6</v>
      </c>
      <c r="I841" s="2">
        <v>8.766</v>
      </c>
      <c r="J841" s="2">
        <v>184.08600000000001</v>
      </c>
      <c r="K841" s="5">
        <v>43466</v>
      </c>
      <c r="L841" s="4">
        <v>0.4861111111111111</v>
      </c>
      <c r="M841" s="3" t="s">
        <v>33</v>
      </c>
      <c r="N841" s="2">
        <v>175.32</v>
      </c>
      <c r="O841" s="2">
        <v>4.7619047620000003</v>
      </c>
      <c r="P841" s="2">
        <v>8.766</v>
      </c>
      <c r="Q841" s="2">
        <v>5</v>
      </c>
      <c r="R841" s="3"/>
      <c r="S841" s="1"/>
      <c r="T841" s="1"/>
      <c r="U841" s="1" t="s">
        <v>37</v>
      </c>
      <c r="V841" s="1" t="s">
        <v>37</v>
      </c>
      <c r="W841" s="1" t="s">
        <v>37</v>
      </c>
    </row>
    <row r="842" spans="1:23">
      <c r="A842" s="3" t="s">
        <v>4689</v>
      </c>
      <c r="B842" s="3" t="s">
        <v>22</v>
      </c>
      <c r="C842" s="3" t="s">
        <v>23</v>
      </c>
      <c r="D842" s="3" t="s">
        <v>41</v>
      </c>
      <c r="E842" s="3" t="s">
        <v>992</v>
      </c>
      <c r="F842" s="3" t="s">
        <v>127</v>
      </c>
      <c r="G842" s="2">
        <v>51.94</v>
      </c>
      <c r="H842" s="2">
        <v>3</v>
      </c>
      <c r="I842" s="2">
        <v>7.7910000000000004</v>
      </c>
      <c r="J842" s="2">
        <v>163.61099999999999</v>
      </c>
      <c r="K842" s="5">
        <v>43511</v>
      </c>
      <c r="L842" s="4">
        <v>0.63958333333333328</v>
      </c>
      <c r="M842" s="3" t="s">
        <v>49</v>
      </c>
      <c r="N842" s="2">
        <v>155.82</v>
      </c>
      <c r="O842" s="2">
        <v>4.7619047620000003</v>
      </c>
      <c r="P842" s="2">
        <v>7.7910000000000004</v>
      </c>
      <c r="Q842" s="2">
        <v>7.9</v>
      </c>
      <c r="R842" s="3"/>
      <c r="S842" s="1"/>
      <c r="T842" s="1"/>
      <c r="U842" s="1" t="s">
        <v>37</v>
      </c>
      <c r="V842" s="1" t="s">
        <v>37</v>
      </c>
      <c r="W842" s="1" t="s">
        <v>37</v>
      </c>
    </row>
    <row r="843" spans="1:23">
      <c r="A843" s="3" t="s">
        <v>4694</v>
      </c>
      <c r="B843" s="3" t="s">
        <v>115</v>
      </c>
      <c r="C843" s="3" t="s">
        <v>116</v>
      </c>
      <c r="D843" s="3" t="s">
        <v>41</v>
      </c>
      <c r="E843" s="3" t="s">
        <v>992</v>
      </c>
      <c r="F843" s="3" t="s">
        <v>42</v>
      </c>
      <c r="G843" s="2">
        <v>60.3</v>
      </c>
      <c r="H843" s="2">
        <v>1</v>
      </c>
      <c r="I843" s="2">
        <v>3.0150000000000001</v>
      </c>
      <c r="J843" s="2">
        <v>63.314999999999998</v>
      </c>
      <c r="K843" s="5">
        <v>43524</v>
      </c>
      <c r="L843" s="4">
        <v>0.73472222222222228</v>
      </c>
      <c r="M843" s="3" t="s">
        <v>49</v>
      </c>
      <c r="N843" s="2">
        <v>60.3</v>
      </c>
      <c r="O843" s="2">
        <v>4.7619047620000003</v>
      </c>
      <c r="P843" s="2">
        <v>3.0150000000000001</v>
      </c>
      <c r="Q843" s="2">
        <v>6</v>
      </c>
      <c r="R843" s="3"/>
      <c r="S843" s="1"/>
      <c r="T843" s="1"/>
      <c r="U843" s="1" t="s">
        <v>37</v>
      </c>
      <c r="V843" s="1" t="s">
        <v>37</v>
      </c>
      <c r="W843" s="1" t="s">
        <v>37</v>
      </c>
    </row>
    <row r="844" spans="1:23">
      <c r="A844" s="3" t="s">
        <v>4697</v>
      </c>
      <c r="B844" s="3" t="s">
        <v>22</v>
      </c>
      <c r="C844" s="3" t="s">
        <v>23</v>
      </c>
      <c r="D844" s="3" t="s">
        <v>24</v>
      </c>
      <c r="E844" s="3" t="s">
        <v>25</v>
      </c>
      <c r="F844" s="3" t="s">
        <v>72</v>
      </c>
      <c r="G844" s="2">
        <v>39.47</v>
      </c>
      <c r="H844" s="2">
        <v>2</v>
      </c>
      <c r="I844" s="2">
        <v>3.9470000000000001</v>
      </c>
      <c r="J844" s="2">
        <v>82.887</v>
      </c>
      <c r="K844" s="5">
        <v>43526</v>
      </c>
      <c r="L844" s="4">
        <v>0.67777777777777781</v>
      </c>
      <c r="M844" s="3" t="s">
        <v>59</v>
      </c>
      <c r="N844" s="2">
        <v>78.94</v>
      </c>
      <c r="O844" s="2">
        <v>4.7619047620000003</v>
      </c>
      <c r="P844" s="2">
        <v>3.9470000000000001</v>
      </c>
      <c r="Q844" s="2">
        <v>5</v>
      </c>
      <c r="R844" s="3"/>
      <c r="S844" s="1"/>
      <c r="T844" s="1"/>
      <c r="U844" s="1" t="s">
        <v>37</v>
      </c>
      <c r="V844" s="1" t="s">
        <v>37</v>
      </c>
      <c r="W844" s="1" t="s">
        <v>37</v>
      </c>
    </row>
    <row r="845" spans="1:23">
      <c r="A845" s="3" t="s">
        <v>4703</v>
      </c>
      <c r="B845" s="3" t="s">
        <v>39</v>
      </c>
      <c r="C845" s="3" t="s">
        <v>40</v>
      </c>
      <c r="D845" s="3" t="s">
        <v>24</v>
      </c>
      <c r="E845" s="3" t="s">
        <v>25</v>
      </c>
      <c r="F845" s="3" t="s">
        <v>117</v>
      </c>
      <c r="G845" s="2">
        <v>14.87</v>
      </c>
      <c r="H845" s="2">
        <v>2</v>
      </c>
      <c r="I845" s="2">
        <v>1.4870000000000001</v>
      </c>
      <c r="J845" s="2">
        <v>31.227</v>
      </c>
      <c r="K845" s="5">
        <v>43509</v>
      </c>
      <c r="L845" s="4">
        <v>0.76041666666666663</v>
      </c>
      <c r="M845" s="3" t="s">
        <v>59</v>
      </c>
      <c r="N845" s="2">
        <v>29.74</v>
      </c>
      <c r="O845" s="2">
        <v>4.7619047620000003</v>
      </c>
      <c r="P845" s="2">
        <v>1.4870000000000001</v>
      </c>
      <c r="Q845" s="2">
        <v>8.9</v>
      </c>
      <c r="R845" s="3"/>
      <c r="S845" s="1"/>
      <c r="T845" s="1"/>
      <c r="U845" s="1" t="s">
        <v>37</v>
      </c>
      <c r="V845" s="1" t="s">
        <v>37</v>
      </c>
      <c r="W845" s="1" t="s">
        <v>37</v>
      </c>
    </row>
    <row r="846" spans="1:23">
      <c r="A846" s="3" t="s">
        <v>4708</v>
      </c>
      <c r="B846" s="3" t="s">
        <v>22</v>
      </c>
      <c r="C846" s="3" t="s">
        <v>23</v>
      </c>
      <c r="D846" s="3" t="s">
        <v>41</v>
      </c>
      <c r="E846" s="3" t="s">
        <v>992</v>
      </c>
      <c r="F846" s="3" t="s">
        <v>127</v>
      </c>
      <c r="G846" s="2">
        <v>21.32</v>
      </c>
      <c r="H846" s="2">
        <v>1</v>
      </c>
      <c r="I846" s="2">
        <v>1.0660000000000001</v>
      </c>
      <c r="J846" s="2">
        <v>22.385999999999999</v>
      </c>
      <c r="K846" s="5">
        <v>43491</v>
      </c>
      <c r="L846" s="4">
        <v>0.52986111111111112</v>
      </c>
      <c r="M846" s="3" t="s">
        <v>49</v>
      </c>
      <c r="N846" s="2">
        <v>21.32</v>
      </c>
      <c r="O846" s="2">
        <v>4.7619047620000003</v>
      </c>
      <c r="P846" s="2">
        <v>1.0660000000000001</v>
      </c>
      <c r="Q846" s="2">
        <v>5.9</v>
      </c>
      <c r="R846" s="3"/>
      <c r="S846" s="1"/>
      <c r="T846" s="1"/>
      <c r="U846" s="1" t="s">
        <v>37</v>
      </c>
      <c r="V846" s="1" t="s">
        <v>37</v>
      </c>
      <c r="W846" s="1" t="s">
        <v>37</v>
      </c>
    </row>
    <row r="847" spans="1:23">
      <c r="A847" s="3" t="s">
        <v>4712</v>
      </c>
      <c r="B847" s="3" t="s">
        <v>22</v>
      </c>
      <c r="C847" s="3" t="s">
        <v>23</v>
      </c>
      <c r="D847" s="3" t="s">
        <v>24</v>
      </c>
      <c r="E847" s="3" t="s">
        <v>992</v>
      </c>
      <c r="F847" s="3" t="s">
        <v>42</v>
      </c>
      <c r="G847" s="2">
        <v>93.78</v>
      </c>
      <c r="H847" s="2">
        <v>3</v>
      </c>
      <c r="I847" s="2">
        <v>14.067</v>
      </c>
      <c r="J847" s="2">
        <v>295.40699999999998</v>
      </c>
      <c r="K847" s="5">
        <v>43495</v>
      </c>
      <c r="L847" s="4">
        <v>0.48055555555555557</v>
      </c>
      <c r="M847" s="3" t="s">
        <v>59</v>
      </c>
      <c r="N847" s="2">
        <v>281.33999999999997</v>
      </c>
      <c r="O847" s="2">
        <v>4.7619047620000003</v>
      </c>
      <c r="P847" s="2">
        <v>14.067</v>
      </c>
      <c r="Q847" s="2">
        <v>5.9</v>
      </c>
      <c r="R847" s="3"/>
      <c r="S847" s="1"/>
      <c r="T847" s="1"/>
      <c r="U847" s="1" t="s">
        <v>37</v>
      </c>
      <c r="V847" s="1" t="s">
        <v>37</v>
      </c>
      <c r="W847" s="1" t="s">
        <v>37</v>
      </c>
    </row>
    <row r="848" spans="1:23">
      <c r="A848" s="3" t="s">
        <v>4717</v>
      </c>
      <c r="B848" s="3" t="s">
        <v>22</v>
      </c>
      <c r="C848" s="3" t="s">
        <v>23</v>
      </c>
      <c r="D848" s="3" t="s">
        <v>24</v>
      </c>
      <c r="E848" s="3" t="s">
        <v>992</v>
      </c>
      <c r="F848" s="3" t="s">
        <v>42</v>
      </c>
      <c r="G848" s="2">
        <v>73.260000000000005</v>
      </c>
      <c r="H848" s="2">
        <v>1</v>
      </c>
      <c r="I848" s="2">
        <v>3.6629999999999998</v>
      </c>
      <c r="J848" s="2">
        <v>76.923000000000002</v>
      </c>
      <c r="K848" s="5">
        <v>43492</v>
      </c>
      <c r="L848" s="4">
        <v>0.75555555555555554</v>
      </c>
      <c r="M848" s="3" t="s">
        <v>33</v>
      </c>
      <c r="N848" s="2">
        <v>73.260000000000005</v>
      </c>
      <c r="O848" s="2">
        <v>4.7619047620000003</v>
      </c>
      <c r="P848" s="2">
        <v>3.6629999999999998</v>
      </c>
      <c r="Q848" s="2">
        <v>9.6999999999999993</v>
      </c>
      <c r="R848" s="3"/>
      <c r="S848" s="1"/>
      <c r="T848" s="1"/>
      <c r="U848" s="1" t="s">
        <v>37</v>
      </c>
      <c r="V848" s="1" t="s">
        <v>37</v>
      </c>
      <c r="W848" s="1" t="s">
        <v>37</v>
      </c>
    </row>
    <row r="849" spans="1:23">
      <c r="A849" s="3" t="s">
        <v>4721</v>
      </c>
      <c r="B849" s="3" t="s">
        <v>39</v>
      </c>
      <c r="C849" s="3" t="s">
        <v>40</v>
      </c>
      <c r="D849" s="3" t="s">
        <v>41</v>
      </c>
      <c r="E849" s="3" t="s">
        <v>25</v>
      </c>
      <c r="F849" s="3" t="s">
        <v>72</v>
      </c>
      <c r="G849" s="2">
        <v>22.38</v>
      </c>
      <c r="H849" s="2">
        <v>1</v>
      </c>
      <c r="I849" s="2">
        <v>1.119</v>
      </c>
      <c r="J849" s="2">
        <v>23.498999999999999</v>
      </c>
      <c r="K849" s="5">
        <v>43495</v>
      </c>
      <c r="L849" s="4">
        <v>0.71388888888888891</v>
      </c>
      <c r="M849" s="3" t="s">
        <v>59</v>
      </c>
      <c r="N849" s="2">
        <v>22.38</v>
      </c>
      <c r="O849" s="2">
        <v>4.7619047620000003</v>
      </c>
      <c r="P849" s="2">
        <v>1.119</v>
      </c>
      <c r="Q849" s="2">
        <v>8.6</v>
      </c>
      <c r="R849" s="3"/>
      <c r="S849" s="1"/>
      <c r="T849" s="1"/>
      <c r="U849" s="1" t="s">
        <v>37</v>
      </c>
      <c r="V849" s="1" t="s">
        <v>37</v>
      </c>
      <c r="W849" s="1" t="s">
        <v>37</v>
      </c>
    </row>
    <row r="850" spans="1:23">
      <c r="A850" s="3" t="s">
        <v>4725</v>
      </c>
      <c r="B850" s="3" t="s">
        <v>39</v>
      </c>
      <c r="C850" s="3" t="s">
        <v>40</v>
      </c>
      <c r="D850" s="3" t="s">
        <v>24</v>
      </c>
      <c r="E850" s="3" t="s">
        <v>25</v>
      </c>
      <c r="F850" s="3" t="s">
        <v>117</v>
      </c>
      <c r="G850" s="2">
        <v>72.88</v>
      </c>
      <c r="H850" s="2">
        <v>9</v>
      </c>
      <c r="I850" s="2">
        <v>32.795999999999999</v>
      </c>
      <c r="J850" s="2">
        <v>688.71600000000001</v>
      </c>
      <c r="K850" s="5">
        <v>43473</v>
      </c>
      <c r="L850" s="4">
        <v>0.81805555555555554</v>
      </c>
      <c r="M850" s="3" t="s">
        <v>49</v>
      </c>
      <c r="N850" s="2">
        <v>655.92</v>
      </c>
      <c r="O850" s="2">
        <v>4.7619047620000003</v>
      </c>
      <c r="P850" s="2">
        <v>32.795999999999999</v>
      </c>
      <c r="Q850" s="2">
        <v>4</v>
      </c>
      <c r="R850" s="3"/>
      <c r="S850" s="1"/>
      <c r="T850" s="1"/>
      <c r="U850" s="1" t="s">
        <v>37</v>
      </c>
      <c r="V850" s="1" t="s">
        <v>37</v>
      </c>
      <c r="W850" s="1" t="s">
        <v>37</v>
      </c>
    </row>
    <row r="851" spans="1:23">
      <c r="A851" s="3" t="s">
        <v>4729</v>
      </c>
      <c r="B851" s="3" t="s">
        <v>22</v>
      </c>
      <c r="C851" s="3" t="s">
        <v>23</v>
      </c>
      <c r="D851" s="3" t="s">
        <v>41</v>
      </c>
      <c r="E851" s="3" t="s">
        <v>25</v>
      </c>
      <c r="F851" s="3" t="s">
        <v>127</v>
      </c>
      <c r="G851" s="2">
        <v>99.1</v>
      </c>
      <c r="H851" s="2">
        <v>6</v>
      </c>
      <c r="I851" s="2">
        <v>29.73</v>
      </c>
      <c r="J851" s="2">
        <v>624.33000000000004</v>
      </c>
      <c r="K851" s="5">
        <v>43484</v>
      </c>
      <c r="L851" s="4">
        <v>0.5493055555555556</v>
      </c>
      <c r="M851" s="3" t="s">
        <v>49</v>
      </c>
      <c r="N851" s="2">
        <v>594.6</v>
      </c>
      <c r="O851" s="2">
        <v>4.7619047620000003</v>
      </c>
      <c r="P851" s="2">
        <v>29.73</v>
      </c>
      <c r="Q851" s="2">
        <v>4.2</v>
      </c>
      <c r="R851" s="3"/>
      <c r="S851" s="1"/>
      <c r="T851" s="1"/>
      <c r="U851" s="1" t="s">
        <v>37</v>
      </c>
      <c r="V851" s="1" t="s">
        <v>37</v>
      </c>
      <c r="W851" s="1" t="s">
        <v>37</v>
      </c>
    </row>
    <row r="852" spans="1:23">
      <c r="A852" s="3" t="s">
        <v>4733</v>
      </c>
      <c r="B852" s="3" t="s">
        <v>22</v>
      </c>
      <c r="C852" s="3" t="s">
        <v>23</v>
      </c>
      <c r="D852" s="3" t="s">
        <v>41</v>
      </c>
      <c r="E852" s="3" t="s">
        <v>992</v>
      </c>
      <c r="F852" s="3" t="s">
        <v>127</v>
      </c>
      <c r="G852" s="2">
        <v>74.099999999999994</v>
      </c>
      <c r="H852" s="2">
        <v>1</v>
      </c>
      <c r="I852" s="2">
        <v>3.7050000000000001</v>
      </c>
      <c r="J852" s="2">
        <v>77.805000000000007</v>
      </c>
      <c r="K852" s="5">
        <v>43490</v>
      </c>
      <c r="L852" s="4">
        <v>0.46180555555555558</v>
      </c>
      <c r="M852" s="3" t="s">
        <v>49</v>
      </c>
      <c r="N852" s="2">
        <v>74.099999999999994</v>
      </c>
      <c r="O852" s="2">
        <v>4.7619047620000003</v>
      </c>
      <c r="P852" s="2">
        <v>3.7050000000000001</v>
      </c>
      <c r="Q852" s="2">
        <v>9.1999999999999993</v>
      </c>
      <c r="R852" s="3"/>
      <c r="S852" s="1"/>
      <c r="T852" s="1"/>
      <c r="U852" s="1" t="s">
        <v>37</v>
      </c>
      <c r="V852" s="1" t="s">
        <v>37</v>
      </c>
      <c r="W852" s="1" t="s">
        <v>37</v>
      </c>
    </row>
    <row r="853" spans="1:23">
      <c r="A853" s="3" t="s">
        <v>4738</v>
      </c>
      <c r="B853" s="3" t="s">
        <v>22</v>
      </c>
      <c r="C853" s="3" t="s">
        <v>23</v>
      </c>
      <c r="D853" s="3" t="s">
        <v>41</v>
      </c>
      <c r="E853" s="3" t="s">
        <v>25</v>
      </c>
      <c r="F853" s="3" t="s">
        <v>127</v>
      </c>
      <c r="G853" s="2">
        <v>98.48</v>
      </c>
      <c r="H853" s="2">
        <v>2</v>
      </c>
      <c r="I853" s="2">
        <v>9.8480000000000008</v>
      </c>
      <c r="J853" s="2">
        <v>206.80799999999999</v>
      </c>
      <c r="K853" s="5">
        <v>43515</v>
      </c>
      <c r="L853" s="4">
        <v>0.42499999999999999</v>
      </c>
      <c r="M853" s="3" t="s">
        <v>33</v>
      </c>
      <c r="N853" s="2">
        <v>196.96</v>
      </c>
      <c r="O853" s="2">
        <v>4.7619047620000003</v>
      </c>
      <c r="P853" s="2">
        <v>9.8480000000000008</v>
      </c>
      <c r="Q853" s="2">
        <v>9.1999999999999993</v>
      </c>
      <c r="R853" s="3"/>
      <c r="S853" s="1"/>
      <c r="T853" s="1"/>
      <c r="U853" s="1" t="s">
        <v>37</v>
      </c>
      <c r="V853" s="1" t="s">
        <v>37</v>
      </c>
      <c r="W853" s="1" t="s">
        <v>37</v>
      </c>
    </row>
    <row r="854" spans="1:23">
      <c r="A854" s="3" t="s">
        <v>4743</v>
      </c>
      <c r="B854" s="3" t="s">
        <v>39</v>
      </c>
      <c r="C854" s="3" t="s">
        <v>40</v>
      </c>
      <c r="D854" s="3" t="s">
        <v>41</v>
      </c>
      <c r="E854" s="3" t="s">
        <v>992</v>
      </c>
      <c r="F854" s="3" t="s">
        <v>26</v>
      </c>
      <c r="G854" s="2">
        <v>53.19</v>
      </c>
      <c r="H854" s="2">
        <v>7</v>
      </c>
      <c r="I854" s="2">
        <v>18.616499999999998</v>
      </c>
      <c r="J854" s="2">
        <v>390.94650000000001</v>
      </c>
      <c r="K854" s="5">
        <v>43479</v>
      </c>
      <c r="L854" s="4">
        <v>0.65416666666666667</v>
      </c>
      <c r="M854" s="3" t="s">
        <v>33</v>
      </c>
      <c r="N854" s="2">
        <v>372.33</v>
      </c>
      <c r="O854" s="2">
        <v>4.7619047620000003</v>
      </c>
      <c r="P854" s="2">
        <v>18.616499999999998</v>
      </c>
      <c r="Q854" s="2">
        <v>5</v>
      </c>
      <c r="R854" s="3"/>
      <c r="S854" s="1"/>
      <c r="T854" s="1"/>
      <c r="U854" s="1" t="s">
        <v>37</v>
      </c>
      <c r="V854" s="1" t="s">
        <v>37</v>
      </c>
      <c r="W854" s="1" t="s">
        <v>37</v>
      </c>
    </row>
    <row r="855" spans="1:23">
      <c r="A855" s="3" t="s">
        <v>4748</v>
      </c>
      <c r="B855" s="3" t="s">
        <v>115</v>
      </c>
      <c r="C855" s="3" t="s">
        <v>116</v>
      </c>
      <c r="D855" s="3" t="s">
        <v>41</v>
      </c>
      <c r="E855" s="3" t="s">
        <v>25</v>
      </c>
      <c r="F855" s="3" t="s">
        <v>42</v>
      </c>
      <c r="G855" s="2">
        <v>52.79</v>
      </c>
      <c r="H855" s="2">
        <v>10</v>
      </c>
      <c r="I855" s="2">
        <v>26.395</v>
      </c>
      <c r="J855" s="2">
        <v>554.29499999999996</v>
      </c>
      <c r="K855" s="5">
        <v>43521</v>
      </c>
      <c r="L855" s="4">
        <v>0.49861111111111112</v>
      </c>
      <c r="M855" s="3" t="s">
        <v>33</v>
      </c>
      <c r="N855" s="2">
        <v>527.9</v>
      </c>
      <c r="O855" s="2">
        <v>4.7619047620000003</v>
      </c>
      <c r="P855" s="2">
        <v>26.395</v>
      </c>
      <c r="Q855" s="2">
        <v>10</v>
      </c>
      <c r="R855" s="3"/>
      <c r="S855" s="1"/>
      <c r="T855" s="1"/>
      <c r="U855" s="1" t="s">
        <v>37</v>
      </c>
      <c r="V855" s="1" t="s">
        <v>37</v>
      </c>
      <c r="W855" s="1" t="s">
        <v>37</v>
      </c>
    </row>
    <row r="856" spans="1:23">
      <c r="A856" s="3" t="s">
        <v>4753</v>
      </c>
      <c r="B856" s="3" t="s">
        <v>22</v>
      </c>
      <c r="C856" s="3" t="s">
        <v>23</v>
      </c>
      <c r="D856" s="3" t="s">
        <v>24</v>
      </c>
      <c r="E856" s="3" t="s">
        <v>25</v>
      </c>
      <c r="F856" s="3" t="s">
        <v>26</v>
      </c>
      <c r="G856" s="2">
        <v>95.95</v>
      </c>
      <c r="H856" s="2">
        <v>5</v>
      </c>
      <c r="I856" s="2">
        <v>23.987500000000001</v>
      </c>
      <c r="J856" s="2">
        <v>503.73750000000001</v>
      </c>
      <c r="K856" s="5">
        <v>43488</v>
      </c>
      <c r="L856" s="4">
        <v>0.59791666666666665</v>
      </c>
      <c r="M856" s="3" t="s">
        <v>33</v>
      </c>
      <c r="N856" s="2">
        <v>479.75</v>
      </c>
      <c r="O856" s="2">
        <v>4.7619047620000003</v>
      </c>
      <c r="P856" s="2">
        <v>23.987500000000001</v>
      </c>
      <c r="Q856" s="2">
        <v>8.8000000000000007</v>
      </c>
      <c r="R856" s="3"/>
      <c r="S856" s="1"/>
      <c r="T856" s="1"/>
      <c r="U856" s="1" t="s">
        <v>37</v>
      </c>
      <c r="V856" s="1" t="s">
        <v>37</v>
      </c>
      <c r="W856" s="1" t="s">
        <v>37</v>
      </c>
    </row>
    <row r="857" spans="1:23">
      <c r="A857" s="3" t="s">
        <v>4758</v>
      </c>
      <c r="B857" s="3" t="s">
        <v>115</v>
      </c>
      <c r="C857" s="3" t="s">
        <v>116</v>
      </c>
      <c r="D857" s="3" t="s">
        <v>41</v>
      </c>
      <c r="E857" s="3" t="s">
        <v>25</v>
      </c>
      <c r="F857" s="3" t="s">
        <v>127</v>
      </c>
      <c r="G857" s="2">
        <v>36.51</v>
      </c>
      <c r="H857" s="2">
        <v>9</v>
      </c>
      <c r="I857" s="2">
        <v>16.429500000000001</v>
      </c>
      <c r="J857" s="2">
        <v>345.01949999999999</v>
      </c>
      <c r="K857" s="5">
        <v>43512</v>
      </c>
      <c r="L857" s="4">
        <v>0.45277777777777778</v>
      </c>
      <c r="M857" s="3" t="s">
        <v>49</v>
      </c>
      <c r="N857" s="2">
        <v>328.59</v>
      </c>
      <c r="O857" s="2">
        <v>4.7619047620000003</v>
      </c>
      <c r="P857" s="2">
        <v>16.429500000000001</v>
      </c>
      <c r="Q857" s="2">
        <v>4.2</v>
      </c>
      <c r="R857" s="3"/>
      <c r="S857" s="1"/>
      <c r="T857" s="1"/>
      <c r="U857" s="1" t="s">
        <v>37</v>
      </c>
      <c r="V857" s="1" t="s">
        <v>37</v>
      </c>
      <c r="W857" s="1" t="s">
        <v>37</v>
      </c>
    </row>
    <row r="858" spans="1:23">
      <c r="A858" s="3" t="s">
        <v>4763</v>
      </c>
      <c r="B858" s="3" t="s">
        <v>115</v>
      </c>
      <c r="C858" s="3" t="s">
        <v>116</v>
      </c>
      <c r="D858" s="3" t="s">
        <v>41</v>
      </c>
      <c r="E858" s="3" t="s">
        <v>992</v>
      </c>
      <c r="F858" s="3" t="s">
        <v>117</v>
      </c>
      <c r="G858" s="2">
        <v>21.12</v>
      </c>
      <c r="H858" s="2">
        <v>8</v>
      </c>
      <c r="I858" s="2">
        <v>8.4480000000000004</v>
      </c>
      <c r="J858" s="2">
        <v>177.40799999999999</v>
      </c>
      <c r="K858" s="5">
        <v>43466</v>
      </c>
      <c r="L858" s="4">
        <v>0.81319444444444444</v>
      </c>
      <c r="M858" s="3" t="s">
        <v>49</v>
      </c>
      <c r="N858" s="2">
        <v>168.96</v>
      </c>
      <c r="O858" s="2">
        <v>4.7619047620000003</v>
      </c>
      <c r="P858" s="2">
        <v>8.4480000000000004</v>
      </c>
      <c r="Q858" s="2">
        <v>6.3</v>
      </c>
      <c r="R858" s="3"/>
      <c r="S858" s="1"/>
      <c r="T858" s="1"/>
      <c r="U858" s="1" t="s">
        <v>37</v>
      </c>
      <c r="V858" s="1" t="s">
        <v>37</v>
      </c>
      <c r="W858" s="1" t="s">
        <v>37</v>
      </c>
    </row>
    <row r="859" spans="1:23">
      <c r="A859" s="3" t="s">
        <v>4768</v>
      </c>
      <c r="B859" s="3" t="s">
        <v>22</v>
      </c>
      <c r="C859" s="3" t="s">
        <v>23</v>
      </c>
      <c r="D859" s="3" t="s">
        <v>24</v>
      </c>
      <c r="E859" s="3" t="s">
        <v>25</v>
      </c>
      <c r="F859" s="3" t="s">
        <v>53</v>
      </c>
      <c r="G859" s="2">
        <v>28.31</v>
      </c>
      <c r="H859" s="2">
        <v>4</v>
      </c>
      <c r="I859" s="2">
        <v>5.6619999999999999</v>
      </c>
      <c r="J859" s="2">
        <v>118.902</v>
      </c>
      <c r="K859" s="5">
        <v>43531</v>
      </c>
      <c r="L859" s="4">
        <v>0.77430555555555558</v>
      </c>
      <c r="M859" s="3" t="s">
        <v>49</v>
      </c>
      <c r="N859" s="2">
        <v>113.24</v>
      </c>
      <c r="O859" s="2">
        <v>4.7619047620000003</v>
      </c>
      <c r="P859" s="2">
        <v>5.6619999999999999</v>
      </c>
      <c r="Q859" s="2">
        <v>8.1999999999999993</v>
      </c>
      <c r="R859" s="3"/>
      <c r="S859" s="1"/>
      <c r="T859" s="1"/>
      <c r="U859" s="1" t="s">
        <v>37</v>
      </c>
      <c r="V859" s="1" t="s">
        <v>37</v>
      </c>
      <c r="W859" s="1" t="s">
        <v>37</v>
      </c>
    </row>
    <row r="860" spans="1:23">
      <c r="A860" s="3" t="s">
        <v>4774</v>
      </c>
      <c r="B860" s="3" t="s">
        <v>115</v>
      </c>
      <c r="C860" s="3" t="s">
        <v>116</v>
      </c>
      <c r="D860" s="3" t="s">
        <v>41</v>
      </c>
      <c r="E860" s="3" t="s">
        <v>992</v>
      </c>
      <c r="F860" s="3" t="s">
        <v>26</v>
      </c>
      <c r="G860" s="2">
        <v>57.59</v>
      </c>
      <c r="H860" s="2">
        <v>6</v>
      </c>
      <c r="I860" s="2">
        <v>17.277000000000001</v>
      </c>
      <c r="J860" s="2">
        <v>362.81700000000001</v>
      </c>
      <c r="K860" s="5">
        <v>43511</v>
      </c>
      <c r="L860" s="4">
        <v>0.57708333333333328</v>
      </c>
      <c r="M860" s="3" t="s">
        <v>49</v>
      </c>
      <c r="N860" s="2">
        <v>345.54</v>
      </c>
      <c r="O860" s="2">
        <v>4.7619047620000003</v>
      </c>
      <c r="P860" s="2">
        <v>17.277000000000001</v>
      </c>
      <c r="Q860" s="2">
        <v>5.0999999999999996</v>
      </c>
      <c r="R860" s="3"/>
      <c r="S860" s="1"/>
      <c r="T860" s="1"/>
      <c r="U860" s="1" t="s">
        <v>37</v>
      </c>
      <c r="V860" s="1" t="s">
        <v>37</v>
      </c>
      <c r="W860" s="1" t="s">
        <v>37</v>
      </c>
    </row>
    <row r="861" spans="1:23">
      <c r="A861" s="3" t="s">
        <v>4780</v>
      </c>
      <c r="B861" s="3" t="s">
        <v>22</v>
      </c>
      <c r="C861" s="3" t="s">
        <v>23</v>
      </c>
      <c r="D861" s="3" t="s">
        <v>24</v>
      </c>
      <c r="E861" s="3" t="s">
        <v>25</v>
      </c>
      <c r="F861" s="3" t="s">
        <v>117</v>
      </c>
      <c r="G861" s="2">
        <v>47.63</v>
      </c>
      <c r="H861" s="2">
        <v>9</v>
      </c>
      <c r="I861" s="2">
        <v>21.433499999999999</v>
      </c>
      <c r="J861" s="2">
        <v>450.1035</v>
      </c>
      <c r="K861" s="5">
        <v>43488</v>
      </c>
      <c r="L861" s="4">
        <v>0.52430555555555558</v>
      </c>
      <c r="M861" s="3" t="s">
        <v>49</v>
      </c>
      <c r="N861" s="2">
        <v>428.67</v>
      </c>
      <c r="O861" s="2">
        <v>4.7619047620000003</v>
      </c>
      <c r="P861" s="2">
        <v>21.433499999999999</v>
      </c>
      <c r="Q861" s="2">
        <v>5</v>
      </c>
      <c r="R861" s="3"/>
      <c r="S861" s="1"/>
      <c r="T861" s="1"/>
      <c r="U861" s="1" t="s">
        <v>37</v>
      </c>
      <c r="V861" s="1" t="s">
        <v>37</v>
      </c>
      <c r="W861" s="1" t="s">
        <v>37</v>
      </c>
    </row>
    <row r="862" spans="1:23">
      <c r="A862" s="3" t="s">
        <v>4786</v>
      </c>
      <c r="B862" s="3" t="s">
        <v>39</v>
      </c>
      <c r="C862" s="3" t="s">
        <v>40</v>
      </c>
      <c r="D862" s="3" t="s">
        <v>24</v>
      </c>
      <c r="E862" s="3" t="s">
        <v>25</v>
      </c>
      <c r="F862" s="3" t="s">
        <v>53</v>
      </c>
      <c r="G862" s="2">
        <v>86.27</v>
      </c>
      <c r="H862" s="2">
        <v>1</v>
      </c>
      <c r="I862" s="2">
        <v>4.3135000000000003</v>
      </c>
      <c r="J862" s="2">
        <v>90.583500000000001</v>
      </c>
      <c r="K862" s="5">
        <v>43516</v>
      </c>
      <c r="L862" s="4">
        <v>0.55833333333333335</v>
      </c>
      <c r="M862" s="3" t="s">
        <v>33</v>
      </c>
      <c r="N862" s="2">
        <v>86.27</v>
      </c>
      <c r="O862" s="2">
        <v>4.7619047620000003</v>
      </c>
      <c r="P862" s="2">
        <v>4.3135000000000003</v>
      </c>
      <c r="Q862" s="2">
        <v>7</v>
      </c>
      <c r="R862" s="3"/>
      <c r="S862" s="1"/>
      <c r="T862" s="1"/>
      <c r="U862" s="1" t="s">
        <v>37</v>
      </c>
      <c r="V862" s="1" t="s">
        <v>37</v>
      </c>
      <c r="W862" s="1" t="s">
        <v>37</v>
      </c>
    </row>
    <row r="863" spans="1:23">
      <c r="A863" s="3" t="s">
        <v>4790</v>
      </c>
      <c r="B863" s="3" t="s">
        <v>22</v>
      </c>
      <c r="C863" s="3" t="s">
        <v>23</v>
      </c>
      <c r="D863" s="3" t="s">
        <v>24</v>
      </c>
      <c r="E863" s="3" t="s">
        <v>992</v>
      </c>
      <c r="F863" s="3" t="s">
        <v>72</v>
      </c>
      <c r="G863" s="2">
        <v>12.76</v>
      </c>
      <c r="H863" s="2">
        <v>2</v>
      </c>
      <c r="I863" s="2">
        <v>1.276</v>
      </c>
      <c r="J863" s="2">
        <v>26.795999999999999</v>
      </c>
      <c r="K863" s="5">
        <v>43473</v>
      </c>
      <c r="L863" s="4">
        <v>0.75416666666666665</v>
      </c>
      <c r="M863" s="3" t="s">
        <v>33</v>
      </c>
      <c r="N863" s="2">
        <v>25.52</v>
      </c>
      <c r="O863" s="2">
        <v>4.7619047620000003</v>
      </c>
      <c r="P863" s="2">
        <v>1.276</v>
      </c>
      <c r="Q863" s="2">
        <v>7.8</v>
      </c>
      <c r="R863" s="3"/>
      <c r="S863" s="1"/>
      <c r="T863" s="1"/>
      <c r="U863" s="1" t="s">
        <v>37</v>
      </c>
      <c r="V863" s="1" t="s">
        <v>37</v>
      </c>
      <c r="W863" s="1" t="s">
        <v>37</v>
      </c>
    </row>
    <row r="864" spans="1:23">
      <c r="A864" s="3" t="s">
        <v>4795</v>
      </c>
      <c r="B864" s="3" t="s">
        <v>115</v>
      </c>
      <c r="C864" s="3" t="s">
        <v>116</v>
      </c>
      <c r="D864" s="3" t="s">
        <v>41</v>
      </c>
      <c r="E864" s="3" t="s">
        <v>25</v>
      </c>
      <c r="F864" s="3" t="s">
        <v>53</v>
      </c>
      <c r="G864" s="2">
        <v>11.28</v>
      </c>
      <c r="H864" s="2">
        <v>9</v>
      </c>
      <c r="I864" s="2">
        <v>5.0759999999999996</v>
      </c>
      <c r="J864" s="2">
        <v>106.596</v>
      </c>
      <c r="K864" s="5">
        <v>43541</v>
      </c>
      <c r="L864" s="4">
        <v>0.49652777777777779</v>
      </c>
      <c r="M864" s="3" t="s">
        <v>59</v>
      </c>
      <c r="N864" s="2">
        <v>101.52</v>
      </c>
      <c r="O864" s="2">
        <v>4.7619047620000003</v>
      </c>
      <c r="P864" s="2">
        <v>5.0759999999999996</v>
      </c>
      <c r="Q864" s="2">
        <v>4.3</v>
      </c>
      <c r="R864" s="3"/>
      <c r="S864" s="1"/>
      <c r="T864" s="1"/>
      <c r="U864" s="1" t="s">
        <v>37</v>
      </c>
      <c r="V864" s="1" t="s">
        <v>37</v>
      </c>
      <c r="W864" s="1" t="s">
        <v>37</v>
      </c>
    </row>
    <row r="865" spans="1:23">
      <c r="A865" s="3" t="s">
        <v>4800</v>
      </c>
      <c r="B865" s="3" t="s">
        <v>115</v>
      </c>
      <c r="C865" s="3" t="s">
        <v>116</v>
      </c>
      <c r="D865" s="3" t="s">
        <v>41</v>
      </c>
      <c r="E865" s="3" t="s">
        <v>25</v>
      </c>
      <c r="F865" s="3" t="s">
        <v>53</v>
      </c>
      <c r="G865" s="2">
        <v>51.07</v>
      </c>
      <c r="H865" s="2">
        <v>7</v>
      </c>
      <c r="I865" s="2">
        <v>17.874500000000001</v>
      </c>
      <c r="J865" s="2">
        <v>375.36450000000002</v>
      </c>
      <c r="K865" s="5">
        <v>43477</v>
      </c>
      <c r="L865" s="4">
        <v>0.48749999999999999</v>
      </c>
      <c r="M865" s="3" t="s">
        <v>49</v>
      </c>
      <c r="N865" s="2">
        <v>357.49</v>
      </c>
      <c r="O865" s="2">
        <v>4.7619047620000003</v>
      </c>
      <c r="P865" s="2">
        <v>17.874500000000001</v>
      </c>
      <c r="Q865" s="2">
        <v>7</v>
      </c>
      <c r="R865" s="3"/>
      <c r="S865" s="1"/>
      <c r="T865" s="1"/>
      <c r="U865" s="1" t="s">
        <v>37</v>
      </c>
      <c r="V865" s="1" t="s">
        <v>37</v>
      </c>
      <c r="W865" s="1" t="s">
        <v>37</v>
      </c>
    </row>
    <row r="866" spans="1:23">
      <c r="A866" s="3" t="s">
        <v>4805</v>
      </c>
      <c r="B866" s="3" t="s">
        <v>22</v>
      </c>
      <c r="C866" s="3" t="s">
        <v>23</v>
      </c>
      <c r="D866" s="3" t="s">
        <v>24</v>
      </c>
      <c r="E866" s="3" t="s">
        <v>25</v>
      </c>
      <c r="F866" s="3" t="s">
        <v>42</v>
      </c>
      <c r="G866" s="2">
        <v>79.59</v>
      </c>
      <c r="H866" s="2">
        <v>3</v>
      </c>
      <c r="I866" s="2">
        <v>11.938499999999999</v>
      </c>
      <c r="J866" s="2">
        <v>250.70849999999999</v>
      </c>
      <c r="K866" s="5">
        <v>43473</v>
      </c>
      <c r="L866" s="4">
        <v>0.60416666666666663</v>
      </c>
      <c r="M866" s="3" t="s">
        <v>49</v>
      </c>
      <c r="N866" s="2">
        <v>238.77</v>
      </c>
      <c r="O866" s="2">
        <v>4.7619047620000003</v>
      </c>
      <c r="P866" s="2">
        <v>11.938499999999999</v>
      </c>
      <c r="Q866" s="2">
        <v>6.6</v>
      </c>
      <c r="R866" s="3"/>
      <c r="S866" s="1"/>
      <c r="T866" s="1"/>
      <c r="U866" s="1" t="s">
        <v>37</v>
      </c>
      <c r="V866" s="1" t="s">
        <v>37</v>
      </c>
      <c r="W866" s="1" t="s">
        <v>37</v>
      </c>
    </row>
    <row r="867" spans="1:23">
      <c r="A867" s="3" t="s">
        <v>4810</v>
      </c>
      <c r="B867" s="3" t="s">
        <v>39</v>
      </c>
      <c r="C867" s="3" t="s">
        <v>40</v>
      </c>
      <c r="D867" s="3" t="s">
        <v>24</v>
      </c>
      <c r="E867" s="3" t="s">
        <v>992</v>
      </c>
      <c r="F867" s="3" t="s">
        <v>26</v>
      </c>
      <c r="G867" s="2">
        <v>33.81</v>
      </c>
      <c r="H867" s="2">
        <v>3</v>
      </c>
      <c r="I867" s="2">
        <v>5.0715000000000003</v>
      </c>
      <c r="J867" s="2">
        <v>106.50149999999999</v>
      </c>
      <c r="K867" s="5">
        <v>43491</v>
      </c>
      <c r="L867" s="4">
        <v>0.63263888888888886</v>
      </c>
      <c r="M867" s="3" t="s">
        <v>33</v>
      </c>
      <c r="N867" s="2">
        <v>101.43</v>
      </c>
      <c r="O867" s="2">
        <v>4.7619047620000003</v>
      </c>
      <c r="P867" s="2">
        <v>5.0715000000000003</v>
      </c>
      <c r="Q867" s="2">
        <v>7.3</v>
      </c>
      <c r="R867" s="3"/>
      <c r="S867" s="1"/>
      <c r="T867" s="1"/>
      <c r="U867" s="1" t="s">
        <v>37</v>
      </c>
      <c r="V867" s="1" t="s">
        <v>37</v>
      </c>
      <c r="W867" s="1" t="s">
        <v>37</v>
      </c>
    </row>
    <row r="868" spans="1:23">
      <c r="A868" s="3" t="s">
        <v>4816</v>
      </c>
      <c r="B868" s="3" t="s">
        <v>115</v>
      </c>
      <c r="C868" s="3" t="s">
        <v>116</v>
      </c>
      <c r="D868" s="3" t="s">
        <v>24</v>
      </c>
      <c r="E868" s="3" t="s">
        <v>992</v>
      </c>
      <c r="F868" s="3" t="s">
        <v>72</v>
      </c>
      <c r="G868" s="2">
        <v>90.53</v>
      </c>
      <c r="H868" s="2">
        <v>8</v>
      </c>
      <c r="I868" s="2">
        <v>36.212000000000003</v>
      </c>
      <c r="J868" s="2">
        <v>760.452</v>
      </c>
      <c r="K868" s="5">
        <v>43539</v>
      </c>
      <c r="L868" s="4">
        <v>0.6166666666666667</v>
      </c>
      <c r="M868" s="3" t="s">
        <v>59</v>
      </c>
      <c r="N868" s="2">
        <v>724.24</v>
      </c>
      <c r="O868" s="2">
        <v>4.7619047620000003</v>
      </c>
      <c r="P868" s="2">
        <v>36.212000000000003</v>
      </c>
      <c r="Q868" s="2">
        <v>6.5</v>
      </c>
      <c r="R868" s="3"/>
      <c r="S868" s="1"/>
      <c r="T868" s="1"/>
      <c r="U868" s="1" t="s">
        <v>37</v>
      </c>
      <c r="V868" s="1" t="s">
        <v>37</v>
      </c>
      <c r="W868" s="1" t="s">
        <v>37</v>
      </c>
    </row>
    <row r="869" spans="1:23">
      <c r="A869" s="3" t="s">
        <v>4822</v>
      </c>
      <c r="B869" s="3" t="s">
        <v>39</v>
      </c>
      <c r="C869" s="3" t="s">
        <v>40</v>
      </c>
      <c r="D869" s="3" t="s">
        <v>24</v>
      </c>
      <c r="E869" s="3" t="s">
        <v>25</v>
      </c>
      <c r="F869" s="3" t="s">
        <v>26</v>
      </c>
      <c r="G869" s="2">
        <v>62.82</v>
      </c>
      <c r="H869" s="2">
        <v>2</v>
      </c>
      <c r="I869" s="2">
        <v>6.282</v>
      </c>
      <c r="J869" s="2">
        <v>131.922</v>
      </c>
      <c r="K869" s="5">
        <v>43482</v>
      </c>
      <c r="L869" s="4">
        <v>0.52500000000000002</v>
      </c>
      <c r="M869" s="3" t="s">
        <v>33</v>
      </c>
      <c r="N869" s="2">
        <v>125.64</v>
      </c>
      <c r="O869" s="2">
        <v>4.7619047620000003</v>
      </c>
      <c r="P869" s="2">
        <v>6.282</v>
      </c>
      <c r="Q869" s="2">
        <v>4.9000000000000004</v>
      </c>
      <c r="R869" s="3"/>
      <c r="S869" s="1"/>
      <c r="T869" s="1"/>
      <c r="U869" s="1" t="s">
        <v>37</v>
      </c>
      <c r="V869" s="1" t="s">
        <v>37</v>
      </c>
      <c r="W869" s="1" t="s">
        <v>37</v>
      </c>
    </row>
    <row r="870" spans="1:23">
      <c r="A870" s="3" t="s">
        <v>4828</v>
      </c>
      <c r="B870" s="3" t="s">
        <v>39</v>
      </c>
      <c r="C870" s="3" t="s">
        <v>40</v>
      </c>
      <c r="D870" s="3" t="s">
        <v>24</v>
      </c>
      <c r="E870" s="3" t="s">
        <v>992</v>
      </c>
      <c r="F870" s="3" t="s">
        <v>117</v>
      </c>
      <c r="G870" s="2">
        <v>24.31</v>
      </c>
      <c r="H870" s="2">
        <v>3</v>
      </c>
      <c r="I870" s="2">
        <v>3.6465000000000001</v>
      </c>
      <c r="J870" s="2">
        <v>76.576499999999996</v>
      </c>
      <c r="K870" s="5">
        <v>43473</v>
      </c>
      <c r="L870" s="4">
        <v>0.79791666666666672</v>
      </c>
      <c r="M870" s="3" t="s">
        <v>59</v>
      </c>
      <c r="N870" s="2">
        <v>72.930000000000007</v>
      </c>
      <c r="O870" s="2">
        <v>4.7619047620000003</v>
      </c>
      <c r="P870" s="2">
        <v>3.6465000000000001</v>
      </c>
      <c r="Q870" s="2">
        <v>4.3</v>
      </c>
      <c r="R870" s="3"/>
      <c r="S870" s="1"/>
      <c r="T870" s="1"/>
      <c r="U870" s="1" t="s">
        <v>37</v>
      </c>
      <c r="V870" s="1" t="s">
        <v>37</v>
      </c>
      <c r="W870" s="1" t="s">
        <v>37</v>
      </c>
    </row>
    <row r="871" spans="1:23">
      <c r="A871" s="3" t="s">
        <v>4833</v>
      </c>
      <c r="B871" s="3" t="s">
        <v>22</v>
      </c>
      <c r="C871" s="3" t="s">
        <v>23</v>
      </c>
      <c r="D871" s="3" t="s">
        <v>41</v>
      </c>
      <c r="E871" s="3" t="s">
        <v>992</v>
      </c>
      <c r="F871" s="3" t="s">
        <v>72</v>
      </c>
      <c r="G871" s="2">
        <v>64.59</v>
      </c>
      <c r="H871" s="2">
        <v>4</v>
      </c>
      <c r="I871" s="2">
        <v>12.917999999999999</v>
      </c>
      <c r="J871" s="2">
        <v>271.27800000000002</v>
      </c>
      <c r="K871" s="5">
        <v>43471</v>
      </c>
      <c r="L871" s="4">
        <v>0.56597222222222221</v>
      </c>
      <c r="M871" s="3" t="s">
        <v>33</v>
      </c>
      <c r="N871" s="2">
        <v>258.36</v>
      </c>
      <c r="O871" s="2">
        <v>4.7619047620000003</v>
      </c>
      <c r="P871" s="2">
        <v>12.917999999999999</v>
      </c>
      <c r="Q871" s="2">
        <v>9.3000000000000007</v>
      </c>
      <c r="R871" s="3"/>
      <c r="S871" s="1"/>
      <c r="T871" s="1"/>
      <c r="U871" s="1" t="s">
        <v>37</v>
      </c>
      <c r="V871" s="1" t="s">
        <v>37</v>
      </c>
      <c r="W871" s="1" t="s">
        <v>37</v>
      </c>
    </row>
    <row r="872" spans="1:23">
      <c r="A872" s="3" t="s">
        <v>4839</v>
      </c>
      <c r="B872" s="3" t="s">
        <v>22</v>
      </c>
      <c r="C872" s="3" t="s">
        <v>23</v>
      </c>
      <c r="D872" s="3" t="s">
        <v>24</v>
      </c>
      <c r="E872" s="3" t="s">
        <v>992</v>
      </c>
      <c r="F872" s="3" t="s">
        <v>117</v>
      </c>
      <c r="G872" s="2">
        <v>24.82</v>
      </c>
      <c r="H872" s="2">
        <v>7</v>
      </c>
      <c r="I872" s="2">
        <v>8.6869999999999994</v>
      </c>
      <c r="J872" s="2">
        <v>182.42699999999999</v>
      </c>
      <c r="K872" s="5">
        <v>43512</v>
      </c>
      <c r="L872" s="4">
        <v>0.43958333333333333</v>
      </c>
      <c r="M872" s="3" t="s">
        <v>59</v>
      </c>
      <c r="N872" s="2">
        <v>173.74</v>
      </c>
      <c r="O872" s="2">
        <v>4.7619047620000003</v>
      </c>
      <c r="P872" s="2">
        <v>8.6869999999999994</v>
      </c>
      <c r="Q872" s="2">
        <v>7.1</v>
      </c>
      <c r="R872" s="3"/>
      <c r="S872" s="1"/>
      <c r="T872" s="1"/>
      <c r="U872" s="1" t="s">
        <v>37</v>
      </c>
      <c r="V872" s="1" t="s">
        <v>37</v>
      </c>
      <c r="W872" s="1" t="s">
        <v>37</v>
      </c>
    </row>
    <row r="873" spans="1:23">
      <c r="A873" s="3" t="s">
        <v>4844</v>
      </c>
      <c r="B873" s="3" t="s">
        <v>39</v>
      </c>
      <c r="C873" s="3" t="s">
        <v>40</v>
      </c>
      <c r="D873" s="3" t="s">
        <v>41</v>
      </c>
      <c r="E873" s="3" t="s">
        <v>992</v>
      </c>
      <c r="F873" s="3" t="s">
        <v>127</v>
      </c>
      <c r="G873" s="2">
        <v>56.5</v>
      </c>
      <c r="H873" s="2">
        <v>1</v>
      </c>
      <c r="I873" s="2">
        <v>2.8250000000000002</v>
      </c>
      <c r="J873" s="2">
        <v>59.325000000000003</v>
      </c>
      <c r="K873" s="5">
        <v>43537</v>
      </c>
      <c r="L873" s="4">
        <v>0.65625</v>
      </c>
      <c r="M873" s="3" t="s">
        <v>33</v>
      </c>
      <c r="N873" s="2">
        <v>56.5</v>
      </c>
      <c r="O873" s="2">
        <v>4.7619047620000003</v>
      </c>
      <c r="P873" s="2">
        <v>2.8250000000000002</v>
      </c>
      <c r="Q873" s="2">
        <v>9.6</v>
      </c>
      <c r="R873" s="3"/>
      <c r="S873" s="1"/>
      <c r="T873" s="1"/>
      <c r="U873" s="1" t="s">
        <v>37</v>
      </c>
      <c r="V873" s="1" t="s">
        <v>37</v>
      </c>
      <c r="W873" s="1" t="s">
        <v>37</v>
      </c>
    </row>
    <row r="874" spans="1:23">
      <c r="A874" s="3" t="s">
        <v>4849</v>
      </c>
      <c r="B874" s="3" t="s">
        <v>115</v>
      </c>
      <c r="C874" s="3" t="s">
        <v>116</v>
      </c>
      <c r="D874" s="3" t="s">
        <v>24</v>
      </c>
      <c r="E874" s="3" t="s">
        <v>25</v>
      </c>
      <c r="F874" s="3" t="s">
        <v>42</v>
      </c>
      <c r="G874" s="2">
        <v>21.43</v>
      </c>
      <c r="H874" s="2">
        <v>10</v>
      </c>
      <c r="I874" s="2">
        <v>10.715</v>
      </c>
      <c r="J874" s="2">
        <v>225.01499999999999</v>
      </c>
      <c r="K874" s="5">
        <v>43493</v>
      </c>
      <c r="L874" s="4">
        <v>0.49375000000000002</v>
      </c>
      <c r="M874" s="3" t="s">
        <v>49</v>
      </c>
      <c r="N874" s="2">
        <v>214.3</v>
      </c>
      <c r="O874" s="2">
        <v>4.7619047620000003</v>
      </c>
      <c r="P874" s="2">
        <v>10.715</v>
      </c>
      <c r="Q874" s="2">
        <v>6.2</v>
      </c>
      <c r="R874" s="3"/>
      <c r="S874" s="1"/>
      <c r="T874" s="1"/>
      <c r="U874" s="1" t="s">
        <v>37</v>
      </c>
      <c r="V874" s="1" t="s">
        <v>37</v>
      </c>
      <c r="W874" s="1" t="s">
        <v>37</v>
      </c>
    </row>
    <row r="875" spans="1:23">
      <c r="A875" s="3" t="s">
        <v>4854</v>
      </c>
      <c r="B875" s="3" t="s">
        <v>22</v>
      </c>
      <c r="C875" s="3" t="s">
        <v>23</v>
      </c>
      <c r="D875" s="3" t="s">
        <v>24</v>
      </c>
      <c r="E875" s="3" t="s">
        <v>992</v>
      </c>
      <c r="F875" s="3" t="s">
        <v>72</v>
      </c>
      <c r="G875" s="2">
        <v>89.06</v>
      </c>
      <c r="H875" s="2">
        <v>6</v>
      </c>
      <c r="I875" s="2">
        <v>26.718</v>
      </c>
      <c r="J875" s="2">
        <v>561.07799999999997</v>
      </c>
      <c r="K875" s="5">
        <v>43483</v>
      </c>
      <c r="L875" s="4">
        <v>0.72638888888888886</v>
      </c>
      <c r="M875" s="3" t="s">
        <v>49</v>
      </c>
      <c r="N875" s="2">
        <v>534.36</v>
      </c>
      <c r="O875" s="2">
        <v>4.7619047620000003</v>
      </c>
      <c r="P875" s="2">
        <v>26.718</v>
      </c>
      <c r="Q875" s="2">
        <v>9.9</v>
      </c>
      <c r="R875" s="3"/>
      <c r="S875" s="1"/>
      <c r="T875" s="1"/>
      <c r="U875" s="1" t="s">
        <v>37</v>
      </c>
      <c r="V875" s="1" t="s">
        <v>37</v>
      </c>
      <c r="W875" s="1" t="s">
        <v>37</v>
      </c>
    </row>
    <row r="876" spans="1:23">
      <c r="A876" s="3" t="s">
        <v>4859</v>
      </c>
      <c r="B876" s="3" t="s">
        <v>22</v>
      </c>
      <c r="C876" s="3" t="s">
        <v>23</v>
      </c>
      <c r="D876" s="3" t="s">
        <v>24</v>
      </c>
      <c r="E876" s="3" t="s">
        <v>992</v>
      </c>
      <c r="F876" s="3" t="s">
        <v>53</v>
      </c>
      <c r="G876" s="2">
        <v>23.29</v>
      </c>
      <c r="H876" s="2">
        <v>4</v>
      </c>
      <c r="I876" s="2">
        <v>4.6580000000000004</v>
      </c>
      <c r="J876" s="2">
        <v>97.817999999999998</v>
      </c>
      <c r="K876" s="5">
        <v>43543</v>
      </c>
      <c r="L876" s="4">
        <v>0.49444444444444446</v>
      </c>
      <c r="M876" s="3" t="s">
        <v>59</v>
      </c>
      <c r="N876" s="2">
        <v>93.16</v>
      </c>
      <c r="O876" s="2">
        <v>4.7619047620000003</v>
      </c>
      <c r="P876" s="2">
        <v>4.6580000000000004</v>
      </c>
      <c r="Q876" s="2">
        <v>5.9</v>
      </c>
      <c r="R876" s="3"/>
      <c r="S876" s="1"/>
      <c r="T876" s="1"/>
      <c r="U876" s="1" t="s">
        <v>37</v>
      </c>
      <c r="V876" s="1" t="s">
        <v>37</v>
      </c>
      <c r="W876" s="1" t="s">
        <v>37</v>
      </c>
    </row>
    <row r="877" spans="1:23">
      <c r="A877" s="3" t="s">
        <v>4864</v>
      </c>
      <c r="B877" s="3" t="s">
        <v>39</v>
      </c>
      <c r="C877" s="3" t="s">
        <v>40</v>
      </c>
      <c r="D877" s="3" t="s">
        <v>41</v>
      </c>
      <c r="E877" s="3" t="s">
        <v>992</v>
      </c>
      <c r="F877" s="3" t="s">
        <v>53</v>
      </c>
      <c r="G877" s="2">
        <v>65.260000000000005</v>
      </c>
      <c r="H877" s="2">
        <v>8</v>
      </c>
      <c r="I877" s="2">
        <v>26.103999999999999</v>
      </c>
      <c r="J877" s="2">
        <v>548.18399999999997</v>
      </c>
      <c r="K877" s="5">
        <v>43539</v>
      </c>
      <c r="L877" s="4">
        <v>0.58611111111111114</v>
      </c>
      <c r="M877" s="3" t="s">
        <v>33</v>
      </c>
      <c r="N877" s="2">
        <v>522.08000000000004</v>
      </c>
      <c r="O877" s="2">
        <v>4.7619047620000003</v>
      </c>
      <c r="P877" s="2">
        <v>26.103999999999999</v>
      </c>
      <c r="Q877" s="2">
        <v>6.3</v>
      </c>
      <c r="R877" s="3"/>
      <c r="S877" s="1"/>
      <c r="T877" s="1"/>
      <c r="U877" s="1" t="s">
        <v>37</v>
      </c>
      <c r="V877" s="1" t="s">
        <v>37</v>
      </c>
      <c r="W877" s="1" t="s">
        <v>37</v>
      </c>
    </row>
    <row r="878" spans="1:23">
      <c r="A878" s="3" t="s">
        <v>4869</v>
      </c>
      <c r="B878" s="3" t="s">
        <v>39</v>
      </c>
      <c r="C878" s="3" t="s">
        <v>40</v>
      </c>
      <c r="D878" s="3" t="s">
        <v>24</v>
      </c>
      <c r="E878" s="3" t="s">
        <v>992</v>
      </c>
      <c r="F878" s="3" t="s">
        <v>127</v>
      </c>
      <c r="G878" s="2">
        <v>52.35</v>
      </c>
      <c r="H878" s="2">
        <v>1</v>
      </c>
      <c r="I878" s="2">
        <v>2.6175000000000002</v>
      </c>
      <c r="J878" s="2">
        <v>54.967500000000001</v>
      </c>
      <c r="K878" s="5">
        <v>43508</v>
      </c>
      <c r="L878" s="4">
        <v>0.74236111111111114</v>
      </c>
      <c r="M878" s="3" t="s">
        <v>49</v>
      </c>
      <c r="N878" s="2">
        <v>52.35</v>
      </c>
      <c r="O878" s="2">
        <v>4.7619047620000003</v>
      </c>
      <c r="P878" s="2">
        <v>2.6175000000000002</v>
      </c>
      <c r="Q878" s="2">
        <v>4</v>
      </c>
      <c r="R878" s="3"/>
      <c r="S878" s="1"/>
      <c r="T878" s="1"/>
      <c r="U878" s="1" t="s">
        <v>37</v>
      </c>
      <c r="V878" s="1" t="s">
        <v>37</v>
      </c>
      <c r="W878" s="1" t="s">
        <v>37</v>
      </c>
    </row>
    <row r="879" spans="1:23">
      <c r="A879" s="3" t="s">
        <v>4873</v>
      </c>
      <c r="B879" s="3" t="s">
        <v>115</v>
      </c>
      <c r="C879" s="3" t="s">
        <v>116</v>
      </c>
      <c r="D879" s="3" t="s">
        <v>24</v>
      </c>
      <c r="E879" s="3" t="s">
        <v>992</v>
      </c>
      <c r="F879" s="3" t="s">
        <v>42</v>
      </c>
      <c r="G879" s="2">
        <v>39.75</v>
      </c>
      <c r="H879" s="2">
        <v>1</v>
      </c>
      <c r="I879" s="2">
        <v>1.9875</v>
      </c>
      <c r="J879" s="2">
        <v>41.737499999999997</v>
      </c>
      <c r="K879" s="5">
        <v>43521</v>
      </c>
      <c r="L879" s="4">
        <v>0.84652777777777777</v>
      </c>
      <c r="M879" s="3" t="s">
        <v>49</v>
      </c>
      <c r="N879" s="2">
        <v>39.75</v>
      </c>
      <c r="O879" s="2">
        <v>4.7619047620000003</v>
      </c>
      <c r="P879" s="2">
        <v>1.9875</v>
      </c>
      <c r="Q879" s="2">
        <v>6.1</v>
      </c>
      <c r="R879" s="3"/>
      <c r="S879" s="1"/>
      <c r="T879" s="1"/>
      <c r="U879" s="1" t="s">
        <v>37</v>
      </c>
      <c r="V879" s="1" t="s">
        <v>37</v>
      </c>
      <c r="W879" s="1" t="s">
        <v>37</v>
      </c>
    </row>
    <row r="880" spans="1:23">
      <c r="A880" s="3" t="s">
        <v>4876</v>
      </c>
      <c r="B880" s="3" t="s">
        <v>22</v>
      </c>
      <c r="C880" s="3" t="s">
        <v>23</v>
      </c>
      <c r="D880" s="3" t="s">
        <v>41</v>
      </c>
      <c r="E880" s="3" t="s">
        <v>25</v>
      </c>
      <c r="F880" s="3" t="s">
        <v>42</v>
      </c>
      <c r="G880" s="2">
        <v>90.02</v>
      </c>
      <c r="H880" s="2">
        <v>8</v>
      </c>
      <c r="I880" s="2">
        <v>36.008000000000003</v>
      </c>
      <c r="J880" s="2">
        <v>756.16800000000001</v>
      </c>
      <c r="K880" s="5">
        <v>43545</v>
      </c>
      <c r="L880" s="4">
        <v>0.67222222222222228</v>
      </c>
      <c r="M880" s="3" t="s">
        <v>59</v>
      </c>
      <c r="N880" s="2">
        <v>720.16</v>
      </c>
      <c r="O880" s="2">
        <v>4.7619047620000003</v>
      </c>
      <c r="P880" s="2">
        <v>36.008000000000003</v>
      </c>
      <c r="Q880" s="2">
        <v>4.5</v>
      </c>
      <c r="R880" s="3"/>
      <c r="S880" s="1"/>
      <c r="T880" s="1"/>
      <c r="U880" s="1" t="s">
        <v>37</v>
      </c>
      <c r="V880" s="1" t="s">
        <v>37</v>
      </c>
      <c r="W880" s="1" t="s">
        <v>37</v>
      </c>
    </row>
    <row r="881" spans="1:23">
      <c r="A881" s="3" t="s">
        <v>4881</v>
      </c>
      <c r="B881" s="3" t="s">
        <v>115</v>
      </c>
      <c r="C881" s="3" t="s">
        <v>116</v>
      </c>
      <c r="D881" s="3" t="s">
        <v>24</v>
      </c>
      <c r="E881" s="3" t="s">
        <v>25</v>
      </c>
      <c r="F881" s="3" t="s">
        <v>42</v>
      </c>
      <c r="G881" s="2">
        <v>12.1</v>
      </c>
      <c r="H881" s="2">
        <v>8</v>
      </c>
      <c r="I881" s="2">
        <v>4.84</v>
      </c>
      <c r="J881" s="2">
        <v>101.64</v>
      </c>
      <c r="K881" s="5">
        <v>43484</v>
      </c>
      <c r="L881" s="4">
        <v>0.4284722222222222</v>
      </c>
      <c r="M881" s="3" t="s">
        <v>33</v>
      </c>
      <c r="N881" s="2">
        <v>96.8</v>
      </c>
      <c r="O881" s="2">
        <v>4.7619047620000003</v>
      </c>
      <c r="P881" s="2">
        <v>4.84</v>
      </c>
      <c r="Q881" s="2">
        <v>8.6</v>
      </c>
      <c r="R881" s="3"/>
      <c r="S881" s="1"/>
      <c r="T881" s="1"/>
      <c r="U881" s="1" t="s">
        <v>37</v>
      </c>
      <c r="V881" s="1" t="s">
        <v>37</v>
      </c>
      <c r="W881" s="1" t="s">
        <v>37</v>
      </c>
    </row>
    <row r="882" spans="1:23">
      <c r="A882" s="3" t="s">
        <v>4885</v>
      </c>
      <c r="B882" s="3" t="s">
        <v>115</v>
      </c>
      <c r="C882" s="3" t="s">
        <v>116</v>
      </c>
      <c r="D882" s="3" t="s">
        <v>24</v>
      </c>
      <c r="E882" s="3" t="s">
        <v>25</v>
      </c>
      <c r="F882" s="3" t="s">
        <v>117</v>
      </c>
      <c r="G882" s="2">
        <v>33.21</v>
      </c>
      <c r="H882" s="2">
        <v>10</v>
      </c>
      <c r="I882" s="2">
        <v>16.605</v>
      </c>
      <c r="J882" s="2">
        <v>348.70499999999998</v>
      </c>
      <c r="K882" s="5">
        <v>43473</v>
      </c>
      <c r="L882" s="4">
        <v>0.60069444444444442</v>
      </c>
      <c r="M882" s="3" t="s">
        <v>33</v>
      </c>
      <c r="N882" s="2">
        <v>332.1</v>
      </c>
      <c r="O882" s="2">
        <v>4.7619047620000003</v>
      </c>
      <c r="P882" s="2">
        <v>16.605</v>
      </c>
      <c r="Q882" s="2">
        <v>6</v>
      </c>
      <c r="R882" s="3"/>
      <c r="S882" s="1"/>
      <c r="T882" s="1"/>
      <c r="U882" s="1" t="s">
        <v>37</v>
      </c>
      <c r="V882" s="1" t="s">
        <v>37</v>
      </c>
      <c r="W882" s="1" t="s">
        <v>37</v>
      </c>
    </row>
    <row r="883" spans="1:23">
      <c r="A883" s="3" t="s">
        <v>4891</v>
      </c>
      <c r="B883" s="3" t="s">
        <v>39</v>
      </c>
      <c r="C883" s="3" t="s">
        <v>40</v>
      </c>
      <c r="D883" s="3" t="s">
        <v>24</v>
      </c>
      <c r="E883" s="3" t="s">
        <v>25</v>
      </c>
      <c r="F883" s="3" t="s">
        <v>127</v>
      </c>
      <c r="G883" s="2">
        <v>10.18</v>
      </c>
      <c r="H883" s="2">
        <v>8</v>
      </c>
      <c r="I883" s="2">
        <v>4.0720000000000001</v>
      </c>
      <c r="J883" s="2">
        <v>85.512</v>
      </c>
      <c r="K883" s="5">
        <v>43554</v>
      </c>
      <c r="L883" s="4">
        <v>0.53541666666666665</v>
      </c>
      <c r="M883" s="3" t="s">
        <v>59</v>
      </c>
      <c r="N883" s="2">
        <v>81.44</v>
      </c>
      <c r="O883" s="2">
        <v>4.7619047620000003</v>
      </c>
      <c r="P883" s="2">
        <v>4.0720000000000001</v>
      </c>
      <c r="Q883" s="2">
        <v>9.5</v>
      </c>
      <c r="R883" s="3"/>
      <c r="S883" s="1"/>
      <c r="T883" s="1"/>
      <c r="U883" s="1" t="s">
        <v>37</v>
      </c>
      <c r="V883" s="1" t="s">
        <v>37</v>
      </c>
      <c r="W883" s="1" t="s">
        <v>37</v>
      </c>
    </row>
    <row r="884" spans="1:23">
      <c r="A884" s="3" t="s">
        <v>4896</v>
      </c>
      <c r="B884" s="3" t="s">
        <v>115</v>
      </c>
      <c r="C884" s="3" t="s">
        <v>116</v>
      </c>
      <c r="D884" s="3" t="s">
        <v>24</v>
      </c>
      <c r="E884" s="3" t="s">
        <v>992</v>
      </c>
      <c r="F884" s="3" t="s">
        <v>72</v>
      </c>
      <c r="G884" s="2">
        <v>31.99</v>
      </c>
      <c r="H884" s="2">
        <v>10</v>
      </c>
      <c r="I884" s="2">
        <v>15.994999999999999</v>
      </c>
      <c r="J884" s="2">
        <v>335.89499999999998</v>
      </c>
      <c r="K884" s="5">
        <v>43516</v>
      </c>
      <c r="L884" s="4">
        <v>0.63749999999999996</v>
      </c>
      <c r="M884" s="3" t="s">
        <v>59</v>
      </c>
      <c r="N884" s="2">
        <v>319.89999999999998</v>
      </c>
      <c r="O884" s="2">
        <v>4.7619047620000003</v>
      </c>
      <c r="P884" s="2">
        <v>15.994999999999999</v>
      </c>
      <c r="Q884" s="2">
        <v>9.9</v>
      </c>
      <c r="R884" s="3"/>
      <c r="S884" s="1"/>
      <c r="T884" s="1"/>
      <c r="U884" s="1" t="s">
        <v>37</v>
      </c>
      <c r="V884" s="1" t="s">
        <v>37</v>
      </c>
      <c r="W884" s="1" t="s">
        <v>37</v>
      </c>
    </row>
    <row r="885" spans="1:23">
      <c r="A885" s="3" t="s">
        <v>4901</v>
      </c>
      <c r="B885" s="3" t="s">
        <v>22</v>
      </c>
      <c r="C885" s="3" t="s">
        <v>23</v>
      </c>
      <c r="D885" s="3" t="s">
        <v>24</v>
      </c>
      <c r="E885" s="3" t="s">
        <v>25</v>
      </c>
      <c r="F885" s="3" t="s">
        <v>53</v>
      </c>
      <c r="G885" s="2">
        <v>34.42</v>
      </c>
      <c r="H885" s="2">
        <v>6</v>
      </c>
      <c r="I885" s="2">
        <v>10.326000000000001</v>
      </c>
      <c r="J885" s="2">
        <v>216.846</v>
      </c>
      <c r="K885" s="5">
        <v>43554</v>
      </c>
      <c r="L885" s="4">
        <v>0.53125</v>
      </c>
      <c r="M885" s="3" t="s">
        <v>33</v>
      </c>
      <c r="N885" s="2">
        <v>206.52</v>
      </c>
      <c r="O885" s="2">
        <v>4.7619047620000003</v>
      </c>
      <c r="P885" s="2">
        <v>10.326000000000001</v>
      </c>
      <c r="Q885" s="2">
        <v>7.5</v>
      </c>
      <c r="R885" s="3"/>
      <c r="S885" s="1"/>
      <c r="T885" s="1"/>
      <c r="U885" s="1" t="s">
        <v>37</v>
      </c>
      <c r="V885" s="1" t="s">
        <v>37</v>
      </c>
      <c r="W885" s="1" t="s">
        <v>37</v>
      </c>
    </row>
    <row r="886" spans="1:23">
      <c r="A886" s="3" t="s">
        <v>4902</v>
      </c>
      <c r="B886" s="3" t="s">
        <v>22</v>
      </c>
      <c r="C886" s="3" t="s">
        <v>23</v>
      </c>
      <c r="D886" s="3" t="s">
        <v>24</v>
      </c>
      <c r="E886" s="3" t="s">
        <v>25</v>
      </c>
      <c r="F886" s="3" t="s">
        <v>117</v>
      </c>
      <c r="G886" s="2">
        <v>83.34</v>
      </c>
      <c r="H886" s="2">
        <v>2</v>
      </c>
      <c r="I886" s="2">
        <v>8.3339999999999996</v>
      </c>
      <c r="J886" s="2">
        <v>175.01400000000001</v>
      </c>
      <c r="K886" s="5">
        <v>43543</v>
      </c>
      <c r="L886" s="4">
        <v>0.56736111111111109</v>
      </c>
      <c r="M886" s="3" t="s">
        <v>49</v>
      </c>
      <c r="N886" s="2">
        <v>166.68</v>
      </c>
      <c r="O886" s="2">
        <v>4.7619047620000003</v>
      </c>
      <c r="P886" s="2">
        <v>8.3339999999999996</v>
      </c>
      <c r="Q886" s="2">
        <v>7.6</v>
      </c>
      <c r="R886" s="3"/>
      <c r="S886" s="1"/>
      <c r="T886" s="1"/>
      <c r="U886" s="1" t="s">
        <v>37</v>
      </c>
      <c r="V886" s="1" t="s">
        <v>37</v>
      </c>
      <c r="W886" s="1" t="s">
        <v>37</v>
      </c>
    </row>
    <row r="887" spans="1:23">
      <c r="A887" s="3" t="s">
        <v>4907</v>
      </c>
      <c r="B887" s="3" t="s">
        <v>22</v>
      </c>
      <c r="C887" s="3" t="s">
        <v>23</v>
      </c>
      <c r="D887" s="3" t="s">
        <v>41</v>
      </c>
      <c r="E887" s="3" t="s">
        <v>992</v>
      </c>
      <c r="F887" s="3" t="s">
        <v>72</v>
      </c>
      <c r="G887" s="2">
        <v>45.58</v>
      </c>
      <c r="H887" s="2">
        <v>7</v>
      </c>
      <c r="I887" s="2">
        <v>15.952999999999999</v>
      </c>
      <c r="J887" s="2">
        <v>335.01299999999998</v>
      </c>
      <c r="K887" s="5">
        <v>43478</v>
      </c>
      <c r="L887" s="4">
        <v>0.41875000000000001</v>
      </c>
      <c r="M887" s="3" t="s">
        <v>49</v>
      </c>
      <c r="N887" s="2">
        <v>319.06</v>
      </c>
      <c r="O887" s="2">
        <v>4.7619047620000003</v>
      </c>
      <c r="P887" s="2">
        <v>15.952999999999999</v>
      </c>
      <c r="Q887" s="2">
        <v>5</v>
      </c>
      <c r="R887" s="3"/>
      <c r="S887" s="1"/>
      <c r="T887" s="1"/>
      <c r="U887" s="1" t="s">
        <v>37</v>
      </c>
      <c r="V887" s="1" t="s">
        <v>37</v>
      </c>
      <c r="W887" s="1" t="s">
        <v>37</v>
      </c>
    </row>
    <row r="888" spans="1:23">
      <c r="A888" s="3" t="s">
        <v>4912</v>
      </c>
      <c r="B888" s="3" t="s">
        <v>22</v>
      </c>
      <c r="C888" s="3" t="s">
        <v>23</v>
      </c>
      <c r="D888" s="3" t="s">
        <v>24</v>
      </c>
      <c r="E888" s="3" t="s">
        <v>992</v>
      </c>
      <c r="F888" s="3" t="s">
        <v>117</v>
      </c>
      <c r="G888" s="2">
        <v>87.9</v>
      </c>
      <c r="H888" s="2">
        <v>1</v>
      </c>
      <c r="I888" s="2">
        <v>4.3949999999999996</v>
      </c>
      <c r="J888" s="2">
        <v>92.295000000000002</v>
      </c>
      <c r="K888" s="5">
        <v>43501</v>
      </c>
      <c r="L888" s="4">
        <v>0.8208333333333333</v>
      </c>
      <c r="M888" s="3" t="s">
        <v>33</v>
      </c>
      <c r="N888" s="2">
        <v>87.9</v>
      </c>
      <c r="O888" s="2">
        <v>4.7619047620000003</v>
      </c>
      <c r="P888" s="2">
        <v>4.3949999999999996</v>
      </c>
      <c r="Q888" s="2">
        <v>6.7</v>
      </c>
      <c r="R888" s="3"/>
      <c r="S888" s="1"/>
      <c r="T888" s="1"/>
      <c r="U888" s="1" t="s">
        <v>37</v>
      </c>
      <c r="V888" s="1" t="s">
        <v>37</v>
      </c>
      <c r="W888" s="1" t="s">
        <v>37</v>
      </c>
    </row>
    <row r="889" spans="1:23">
      <c r="A889" s="3" t="s">
        <v>4916</v>
      </c>
      <c r="B889" s="3" t="s">
        <v>22</v>
      </c>
      <c r="C889" s="3" t="s">
        <v>23</v>
      </c>
      <c r="D889" s="3" t="s">
        <v>24</v>
      </c>
      <c r="E889" s="3" t="s">
        <v>25</v>
      </c>
      <c r="F889" s="3" t="s">
        <v>42</v>
      </c>
      <c r="G889" s="2">
        <v>73.47</v>
      </c>
      <c r="H889" s="2">
        <v>10</v>
      </c>
      <c r="I889" s="2">
        <v>36.734999999999999</v>
      </c>
      <c r="J889" s="2">
        <v>771.43499999999995</v>
      </c>
      <c r="K889" s="5">
        <v>43547</v>
      </c>
      <c r="L889" s="4">
        <v>0.55138888888888893</v>
      </c>
      <c r="M889" s="3" t="s">
        <v>33</v>
      </c>
      <c r="N889" s="2">
        <v>734.7</v>
      </c>
      <c r="O889" s="2">
        <v>4.7619047620000003</v>
      </c>
      <c r="P889" s="2">
        <v>36.734999999999999</v>
      </c>
      <c r="Q889" s="2">
        <v>9.5</v>
      </c>
      <c r="R889" s="3"/>
      <c r="S889" s="1"/>
      <c r="T889" s="1"/>
      <c r="U889" s="1" t="s">
        <v>37</v>
      </c>
      <c r="V889" s="1" t="s">
        <v>37</v>
      </c>
      <c r="W889" s="1" t="s">
        <v>37</v>
      </c>
    </row>
    <row r="890" spans="1:23">
      <c r="A890" s="3" t="s">
        <v>4921</v>
      </c>
      <c r="B890" s="3" t="s">
        <v>39</v>
      </c>
      <c r="C890" s="3" t="s">
        <v>40</v>
      </c>
      <c r="D890" s="3" t="s">
        <v>41</v>
      </c>
      <c r="E890" s="3" t="s">
        <v>25</v>
      </c>
      <c r="F890" s="3" t="s">
        <v>127</v>
      </c>
      <c r="G890" s="2">
        <v>12.19</v>
      </c>
      <c r="H890" s="2">
        <v>8</v>
      </c>
      <c r="I890" s="2">
        <v>4.8760000000000003</v>
      </c>
      <c r="J890" s="2">
        <v>102.396</v>
      </c>
      <c r="K890" s="5">
        <v>43537</v>
      </c>
      <c r="L890" s="4">
        <v>0.53263888888888888</v>
      </c>
      <c r="M890" s="3" t="s">
        <v>33</v>
      </c>
      <c r="N890" s="2">
        <v>97.52</v>
      </c>
      <c r="O890" s="2">
        <v>4.7619047620000003</v>
      </c>
      <c r="P890" s="2">
        <v>4.8760000000000003</v>
      </c>
      <c r="Q890" s="2">
        <v>6.8</v>
      </c>
      <c r="R890" s="3"/>
      <c r="S890" s="1"/>
      <c r="T890" s="1"/>
      <c r="U890" s="1" t="s">
        <v>37</v>
      </c>
      <c r="V890" s="1" t="s">
        <v>37</v>
      </c>
      <c r="W890" s="1" t="s">
        <v>37</v>
      </c>
    </row>
    <row r="891" spans="1:23">
      <c r="A891" s="3" t="s">
        <v>4926</v>
      </c>
      <c r="B891" s="3" t="s">
        <v>22</v>
      </c>
      <c r="C891" s="3" t="s">
        <v>23</v>
      </c>
      <c r="D891" s="3" t="s">
        <v>24</v>
      </c>
      <c r="E891" s="3" t="s">
        <v>992</v>
      </c>
      <c r="F891" s="3" t="s">
        <v>72</v>
      </c>
      <c r="G891" s="2">
        <v>76.92</v>
      </c>
      <c r="H891" s="2">
        <v>10</v>
      </c>
      <c r="I891" s="2">
        <v>38.46</v>
      </c>
      <c r="J891" s="2">
        <v>807.66</v>
      </c>
      <c r="K891" s="5">
        <v>43541</v>
      </c>
      <c r="L891" s="4">
        <v>0.82847222222222228</v>
      </c>
      <c r="M891" s="3" t="s">
        <v>33</v>
      </c>
      <c r="N891" s="2">
        <v>769.2</v>
      </c>
      <c r="O891" s="2">
        <v>4.7619047620000003</v>
      </c>
      <c r="P891" s="2">
        <v>38.46</v>
      </c>
      <c r="Q891" s="2">
        <v>5.6</v>
      </c>
      <c r="R891" s="3"/>
      <c r="S891" s="1"/>
      <c r="T891" s="1"/>
      <c r="U891" s="1" t="s">
        <v>37</v>
      </c>
      <c r="V891" s="1" t="s">
        <v>37</v>
      </c>
      <c r="W891" s="1" t="s">
        <v>37</v>
      </c>
    </row>
    <row r="892" spans="1:23">
      <c r="A892" s="3" t="s">
        <v>4931</v>
      </c>
      <c r="B892" s="3" t="s">
        <v>39</v>
      </c>
      <c r="C892" s="3" t="s">
        <v>40</v>
      </c>
      <c r="D892" s="3" t="s">
        <v>41</v>
      </c>
      <c r="E892" s="3" t="s">
        <v>25</v>
      </c>
      <c r="F892" s="3" t="s">
        <v>26</v>
      </c>
      <c r="G892" s="2">
        <v>83.66</v>
      </c>
      <c r="H892" s="2">
        <v>5</v>
      </c>
      <c r="I892" s="2">
        <v>20.914999999999999</v>
      </c>
      <c r="J892" s="2">
        <v>439.21499999999997</v>
      </c>
      <c r="K892" s="5">
        <v>43517</v>
      </c>
      <c r="L892" s="4">
        <v>0.43472222222222223</v>
      </c>
      <c r="M892" s="3" t="s">
        <v>49</v>
      </c>
      <c r="N892" s="2">
        <v>418.3</v>
      </c>
      <c r="O892" s="2">
        <v>4.7619047620000003</v>
      </c>
      <c r="P892" s="2">
        <v>20.914999999999999</v>
      </c>
      <c r="Q892" s="2">
        <v>7.2</v>
      </c>
      <c r="R892" s="3"/>
      <c r="S892" s="1"/>
      <c r="T892" s="1"/>
      <c r="U892" s="1" t="s">
        <v>37</v>
      </c>
      <c r="V892" s="1" t="s">
        <v>37</v>
      </c>
      <c r="W892" s="1" t="s">
        <v>37</v>
      </c>
    </row>
    <row r="893" spans="1:23">
      <c r="A893" s="3" t="s">
        <v>4936</v>
      </c>
      <c r="B893" s="3" t="s">
        <v>115</v>
      </c>
      <c r="C893" s="3" t="s">
        <v>116</v>
      </c>
      <c r="D893" s="3" t="s">
        <v>41</v>
      </c>
      <c r="E893" s="3" t="s">
        <v>25</v>
      </c>
      <c r="F893" s="3" t="s">
        <v>42</v>
      </c>
      <c r="G893" s="2">
        <v>57.91</v>
      </c>
      <c r="H893" s="2">
        <v>8</v>
      </c>
      <c r="I893" s="2">
        <v>23.164000000000001</v>
      </c>
      <c r="J893" s="2">
        <v>486.44400000000002</v>
      </c>
      <c r="K893" s="5">
        <v>43503</v>
      </c>
      <c r="L893" s="4">
        <v>0.62916666666666665</v>
      </c>
      <c r="M893" s="3" t="s">
        <v>49</v>
      </c>
      <c r="N893" s="2">
        <v>463.28</v>
      </c>
      <c r="O893" s="2">
        <v>4.7619047620000003</v>
      </c>
      <c r="P893" s="2">
        <v>23.164000000000001</v>
      </c>
      <c r="Q893" s="2">
        <v>8.1</v>
      </c>
      <c r="R893" s="3"/>
      <c r="S893" s="1"/>
      <c r="T893" s="1"/>
      <c r="U893" s="1" t="s">
        <v>37</v>
      </c>
      <c r="V893" s="1" t="s">
        <v>37</v>
      </c>
      <c r="W893" s="1" t="s">
        <v>37</v>
      </c>
    </row>
    <row r="894" spans="1:23">
      <c r="A894" s="3" t="s">
        <v>4941</v>
      </c>
      <c r="B894" s="3" t="s">
        <v>39</v>
      </c>
      <c r="C894" s="3" t="s">
        <v>40</v>
      </c>
      <c r="D894" s="3" t="s">
        <v>24</v>
      </c>
      <c r="E894" s="3" t="s">
        <v>25</v>
      </c>
      <c r="F894" s="3" t="s">
        <v>127</v>
      </c>
      <c r="G894" s="2">
        <v>92.49</v>
      </c>
      <c r="H894" s="2">
        <v>5</v>
      </c>
      <c r="I894" s="2">
        <v>23.122499999999999</v>
      </c>
      <c r="J894" s="2">
        <v>485.57249999999999</v>
      </c>
      <c r="K894" s="5">
        <v>43526</v>
      </c>
      <c r="L894" s="4">
        <v>0.69097222222222221</v>
      </c>
      <c r="M894" s="3" t="s">
        <v>59</v>
      </c>
      <c r="N894" s="2">
        <v>462.45</v>
      </c>
      <c r="O894" s="2">
        <v>4.7619047620000003</v>
      </c>
      <c r="P894" s="2">
        <v>23.122499999999999</v>
      </c>
      <c r="Q894" s="2">
        <v>8.6</v>
      </c>
      <c r="R894" s="3"/>
      <c r="S894" s="1"/>
      <c r="T894" s="1"/>
      <c r="U894" s="1" t="s">
        <v>37</v>
      </c>
      <c r="V894" s="1" t="s">
        <v>37</v>
      </c>
      <c r="W894" s="1" t="s">
        <v>37</v>
      </c>
    </row>
    <row r="895" spans="1:23">
      <c r="A895" s="3" t="s">
        <v>4947</v>
      </c>
      <c r="B895" s="3" t="s">
        <v>115</v>
      </c>
      <c r="C895" s="3" t="s">
        <v>116</v>
      </c>
      <c r="D895" s="3" t="s">
        <v>41</v>
      </c>
      <c r="E895" s="3" t="s">
        <v>992</v>
      </c>
      <c r="F895" s="3" t="s">
        <v>42</v>
      </c>
      <c r="G895" s="2">
        <v>28.38</v>
      </c>
      <c r="H895" s="2">
        <v>5</v>
      </c>
      <c r="I895" s="2">
        <v>7.0949999999999998</v>
      </c>
      <c r="J895" s="2">
        <v>148.995</v>
      </c>
      <c r="K895" s="5">
        <v>43530</v>
      </c>
      <c r="L895" s="4">
        <v>0.87291666666666667</v>
      </c>
      <c r="M895" s="3" t="s">
        <v>49</v>
      </c>
      <c r="N895" s="2">
        <v>141.9</v>
      </c>
      <c r="O895" s="2">
        <v>4.7619047620000003</v>
      </c>
      <c r="P895" s="2">
        <v>7.0949999999999998</v>
      </c>
      <c r="Q895" s="2">
        <v>9.4</v>
      </c>
      <c r="R895" s="3"/>
      <c r="S895" s="1"/>
      <c r="T895" s="1"/>
      <c r="U895" s="1" t="s">
        <v>37</v>
      </c>
      <c r="V895" s="1" t="s">
        <v>37</v>
      </c>
      <c r="W895" s="1" t="s">
        <v>37</v>
      </c>
    </row>
    <row r="896" spans="1:23">
      <c r="A896" s="3" t="s">
        <v>4953</v>
      </c>
      <c r="B896" s="3" t="s">
        <v>115</v>
      </c>
      <c r="C896" s="3" t="s">
        <v>116</v>
      </c>
      <c r="D896" s="3" t="s">
        <v>24</v>
      </c>
      <c r="E896" s="3" t="s">
        <v>992</v>
      </c>
      <c r="F896" s="3" t="s">
        <v>42</v>
      </c>
      <c r="G896" s="2">
        <v>50.45</v>
      </c>
      <c r="H896" s="2">
        <v>6</v>
      </c>
      <c r="I896" s="2">
        <v>15.135</v>
      </c>
      <c r="J896" s="2">
        <v>317.83499999999998</v>
      </c>
      <c r="K896" s="5">
        <v>43502</v>
      </c>
      <c r="L896" s="4">
        <v>0.63611111111111107</v>
      </c>
      <c r="M896" s="3" t="s">
        <v>59</v>
      </c>
      <c r="N896" s="2">
        <v>302.7</v>
      </c>
      <c r="O896" s="2">
        <v>4.7619047620000003</v>
      </c>
      <c r="P896" s="2">
        <v>15.135</v>
      </c>
      <c r="Q896" s="2">
        <v>8.9</v>
      </c>
      <c r="R896" s="3"/>
      <c r="S896" s="1"/>
      <c r="T896" s="1"/>
      <c r="U896" s="1" t="s">
        <v>37</v>
      </c>
      <c r="V896" s="1" t="s">
        <v>37</v>
      </c>
      <c r="W896" s="1" t="s">
        <v>37</v>
      </c>
    </row>
    <row r="897" spans="1:23">
      <c r="A897" s="3" t="s">
        <v>4958</v>
      </c>
      <c r="B897" s="3" t="s">
        <v>115</v>
      </c>
      <c r="C897" s="3" t="s">
        <v>116</v>
      </c>
      <c r="D897" s="3" t="s">
        <v>41</v>
      </c>
      <c r="E897" s="3" t="s">
        <v>992</v>
      </c>
      <c r="F897" s="3" t="s">
        <v>26</v>
      </c>
      <c r="G897" s="2">
        <v>99.16</v>
      </c>
      <c r="H897" s="2">
        <v>8</v>
      </c>
      <c r="I897" s="2">
        <v>39.664000000000001</v>
      </c>
      <c r="J897" s="2">
        <v>832.94399999999996</v>
      </c>
      <c r="K897" s="5">
        <v>43493</v>
      </c>
      <c r="L897" s="4">
        <v>0.74097222222222225</v>
      </c>
      <c r="M897" s="3" t="s">
        <v>59</v>
      </c>
      <c r="N897" s="2">
        <v>793.28</v>
      </c>
      <c r="O897" s="2">
        <v>4.7619047620000003</v>
      </c>
      <c r="P897" s="2">
        <v>39.664000000000001</v>
      </c>
      <c r="Q897" s="2">
        <v>4.2</v>
      </c>
      <c r="R897" s="3"/>
      <c r="S897" s="1"/>
      <c r="T897" s="1"/>
      <c r="U897" s="1" t="s">
        <v>37</v>
      </c>
      <c r="V897" s="1" t="s">
        <v>37</v>
      </c>
      <c r="W897" s="1" t="s">
        <v>37</v>
      </c>
    </row>
    <row r="898" spans="1:23">
      <c r="A898" s="3" t="s">
        <v>4963</v>
      </c>
      <c r="B898" s="3" t="s">
        <v>39</v>
      </c>
      <c r="C898" s="3" t="s">
        <v>40</v>
      </c>
      <c r="D898" s="3" t="s">
        <v>41</v>
      </c>
      <c r="E898" s="3" t="s">
        <v>992</v>
      </c>
      <c r="F898" s="3" t="s">
        <v>127</v>
      </c>
      <c r="G898" s="2">
        <v>60.74</v>
      </c>
      <c r="H898" s="2">
        <v>7</v>
      </c>
      <c r="I898" s="2">
        <v>21.259</v>
      </c>
      <c r="J898" s="2">
        <v>446.43900000000002</v>
      </c>
      <c r="K898" s="5">
        <v>43483</v>
      </c>
      <c r="L898" s="4">
        <v>0.68263888888888891</v>
      </c>
      <c r="M898" s="3" t="s">
        <v>33</v>
      </c>
      <c r="N898" s="2">
        <v>425.18</v>
      </c>
      <c r="O898" s="2">
        <v>4.7619047620000003</v>
      </c>
      <c r="P898" s="2">
        <v>21.259</v>
      </c>
      <c r="Q898" s="2">
        <v>5</v>
      </c>
      <c r="R898" s="3"/>
      <c r="S898" s="1"/>
      <c r="T898" s="1"/>
      <c r="U898" s="1" t="s">
        <v>37</v>
      </c>
      <c r="V898" s="1" t="s">
        <v>37</v>
      </c>
      <c r="W898" s="1" t="s">
        <v>37</v>
      </c>
    </row>
    <row r="899" spans="1:23">
      <c r="A899" s="3" t="s">
        <v>4968</v>
      </c>
      <c r="B899" s="3" t="s">
        <v>39</v>
      </c>
      <c r="C899" s="3" t="s">
        <v>40</v>
      </c>
      <c r="D899" s="3" t="s">
        <v>24</v>
      </c>
      <c r="E899" s="3" t="s">
        <v>25</v>
      </c>
      <c r="F899" s="3" t="s">
        <v>117</v>
      </c>
      <c r="G899" s="2">
        <v>47.27</v>
      </c>
      <c r="H899" s="2">
        <v>6</v>
      </c>
      <c r="I899" s="2">
        <v>14.180999999999999</v>
      </c>
      <c r="J899" s="2">
        <v>297.80099999999999</v>
      </c>
      <c r="K899" s="5">
        <v>43501</v>
      </c>
      <c r="L899" s="4">
        <v>0.4284722222222222</v>
      </c>
      <c r="M899" s="3" t="s">
        <v>49</v>
      </c>
      <c r="N899" s="2">
        <v>283.62</v>
      </c>
      <c r="O899" s="2">
        <v>4.7619047620000003</v>
      </c>
      <c r="P899" s="2">
        <v>14.180999999999999</v>
      </c>
      <c r="Q899" s="2">
        <v>8.8000000000000007</v>
      </c>
      <c r="R899" s="3"/>
      <c r="S899" s="1"/>
      <c r="T899" s="1"/>
      <c r="U899" s="1" t="s">
        <v>37</v>
      </c>
      <c r="V899" s="1" t="s">
        <v>37</v>
      </c>
      <c r="W899" s="1" t="s">
        <v>37</v>
      </c>
    </row>
    <row r="900" spans="1:23">
      <c r="A900" s="3" t="s">
        <v>4973</v>
      </c>
      <c r="B900" s="3" t="s">
        <v>39</v>
      </c>
      <c r="C900" s="3" t="s">
        <v>40</v>
      </c>
      <c r="D900" s="3" t="s">
        <v>24</v>
      </c>
      <c r="E900" s="3" t="s">
        <v>992</v>
      </c>
      <c r="F900" s="3" t="s">
        <v>26</v>
      </c>
      <c r="G900" s="2">
        <v>85.6</v>
      </c>
      <c r="H900" s="2">
        <v>7</v>
      </c>
      <c r="I900" s="2">
        <v>29.96</v>
      </c>
      <c r="J900" s="2">
        <v>629.16</v>
      </c>
      <c r="K900" s="5">
        <v>43526</v>
      </c>
      <c r="L900" s="4">
        <v>0.57638888888888884</v>
      </c>
      <c r="M900" s="3" t="s">
        <v>49</v>
      </c>
      <c r="N900" s="2">
        <v>599.20000000000005</v>
      </c>
      <c r="O900" s="2">
        <v>4.7619047620000003</v>
      </c>
      <c r="P900" s="2">
        <v>29.96</v>
      </c>
      <c r="Q900" s="2">
        <v>5.3</v>
      </c>
      <c r="R900" s="3"/>
      <c r="S900" s="1"/>
      <c r="T900" s="1"/>
      <c r="U900" s="1" t="s">
        <v>37</v>
      </c>
      <c r="V900" s="1" t="s">
        <v>37</v>
      </c>
      <c r="W900" s="1" t="s">
        <v>37</v>
      </c>
    </row>
    <row r="901" spans="1:23">
      <c r="A901" s="3" t="s">
        <v>4979</v>
      </c>
      <c r="B901" s="3" t="s">
        <v>22</v>
      </c>
      <c r="C901" s="3" t="s">
        <v>23</v>
      </c>
      <c r="D901" s="3" t="s">
        <v>24</v>
      </c>
      <c r="E901" s="3" t="s">
        <v>992</v>
      </c>
      <c r="F901" s="3" t="s">
        <v>117</v>
      </c>
      <c r="G901" s="2">
        <v>35.04</v>
      </c>
      <c r="H901" s="2">
        <v>9</v>
      </c>
      <c r="I901" s="2">
        <v>15.768000000000001</v>
      </c>
      <c r="J901" s="2">
        <v>331.12799999999999</v>
      </c>
      <c r="K901" s="5">
        <v>43505</v>
      </c>
      <c r="L901" s="4">
        <v>0.80347222222222225</v>
      </c>
      <c r="M901" s="3" t="s">
        <v>33</v>
      </c>
      <c r="N901" s="2">
        <v>315.36</v>
      </c>
      <c r="O901" s="2">
        <v>4.7619047620000003</v>
      </c>
      <c r="P901" s="2">
        <v>15.768000000000001</v>
      </c>
      <c r="Q901" s="2">
        <v>4.5999999999999996</v>
      </c>
      <c r="R901" s="3"/>
      <c r="S901" s="1"/>
      <c r="T901" s="1"/>
      <c r="U901" s="1" t="s">
        <v>37</v>
      </c>
      <c r="V901" s="1" t="s">
        <v>37</v>
      </c>
      <c r="W901" s="1" t="s">
        <v>37</v>
      </c>
    </row>
    <row r="902" spans="1:23">
      <c r="A902" s="3" t="s">
        <v>4984</v>
      </c>
      <c r="B902" s="3" t="s">
        <v>39</v>
      </c>
      <c r="C902" s="3" t="s">
        <v>40</v>
      </c>
      <c r="D902" s="3" t="s">
        <v>24</v>
      </c>
      <c r="E902" s="3" t="s">
        <v>25</v>
      </c>
      <c r="F902" s="3" t="s">
        <v>42</v>
      </c>
      <c r="G902" s="2">
        <v>44.84</v>
      </c>
      <c r="H902" s="2">
        <v>9</v>
      </c>
      <c r="I902" s="2">
        <v>20.178000000000001</v>
      </c>
      <c r="J902" s="2">
        <v>423.738</v>
      </c>
      <c r="K902" s="5">
        <v>43479</v>
      </c>
      <c r="L902" s="4">
        <v>0.58333333333333337</v>
      </c>
      <c r="M902" s="3" t="s">
        <v>59</v>
      </c>
      <c r="N902" s="2">
        <v>403.56</v>
      </c>
      <c r="O902" s="2">
        <v>4.7619047620000003</v>
      </c>
      <c r="P902" s="2">
        <v>20.178000000000001</v>
      </c>
      <c r="Q902" s="2">
        <v>7.5</v>
      </c>
      <c r="R902" s="3"/>
      <c r="S902" s="1"/>
      <c r="T902" s="1"/>
      <c r="U902" s="1" t="s">
        <v>37</v>
      </c>
      <c r="V902" s="1" t="s">
        <v>37</v>
      </c>
      <c r="W902" s="1" t="s">
        <v>37</v>
      </c>
    </row>
    <row r="903" spans="1:23">
      <c r="A903" s="3" t="s">
        <v>4989</v>
      </c>
      <c r="B903" s="3" t="s">
        <v>115</v>
      </c>
      <c r="C903" s="3" t="s">
        <v>116</v>
      </c>
      <c r="D903" s="3" t="s">
        <v>41</v>
      </c>
      <c r="E903" s="3" t="s">
        <v>992</v>
      </c>
      <c r="F903" s="3" t="s">
        <v>53</v>
      </c>
      <c r="G903" s="2">
        <v>45.97</v>
      </c>
      <c r="H903" s="2">
        <v>4</v>
      </c>
      <c r="I903" s="2">
        <v>9.1940000000000008</v>
      </c>
      <c r="J903" s="2">
        <v>193.07400000000001</v>
      </c>
      <c r="K903" s="5">
        <v>43505</v>
      </c>
      <c r="L903" s="4">
        <v>0.50138888888888888</v>
      </c>
      <c r="M903" s="3" t="s">
        <v>33</v>
      </c>
      <c r="N903" s="2">
        <v>183.88</v>
      </c>
      <c r="O903" s="2">
        <v>4.7619047620000003</v>
      </c>
      <c r="P903" s="2">
        <v>9.1940000000000008</v>
      </c>
      <c r="Q903" s="2">
        <v>5.0999999999999996</v>
      </c>
      <c r="R903" s="3"/>
      <c r="S903" s="1"/>
      <c r="T903" s="1"/>
      <c r="U903" s="1" t="s">
        <v>37</v>
      </c>
      <c r="V903" s="1" t="s">
        <v>37</v>
      </c>
      <c r="W903" s="1" t="s">
        <v>37</v>
      </c>
    </row>
    <row r="904" spans="1:23">
      <c r="A904" s="3" t="s">
        <v>4994</v>
      </c>
      <c r="B904" s="3" t="s">
        <v>22</v>
      </c>
      <c r="C904" s="3" t="s">
        <v>23</v>
      </c>
      <c r="D904" s="3" t="s">
        <v>24</v>
      </c>
      <c r="E904" s="3" t="s">
        <v>25</v>
      </c>
      <c r="F904" s="3" t="s">
        <v>26</v>
      </c>
      <c r="G904" s="2">
        <v>27.73</v>
      </c>
      <c r="H904" s="2">
        <v>5</v>
      </c>
      <c r="I904" s="2">
        <v>6.9325000000000001</v>
      </c>
      <c r="J904" s="2">
        <v>145.58250000000001</v>
      </c>
      <c r="K904" s="5">
        <v>43550</v>
      </c>
      <c r="L904" s="4">
        <v>0.84791666666666665</v>
      </c>
      <c r="M904" s="3" t="s">
        <v>59</v>
      </c>
      <c r="N904" s="2">
        <v>138.65</v>
      </c>
      <c r="O904" s="2">
        <v>4.7619047620000003</v>
      </c>
      <c r="P904" s="2">
        <v>6.9325000000000001</v>
      </c>
      <c r="Q904" s="2">
        <v>4.2</v>
      </c>
      <c r="R904" s="3"/>
      <c r="S904" s="1"/>
      <c r="T904" s="1"/>
      <c r="U904" s="1" t="s">
        <v>37</v>
      </c>
      <c r="V904" s="1" t="s">
        <v>37</v>
      </c>
      <c r="W904" s="1" t="s">
        <v>37</v>
      </c>
    </row>
    <row r="905" spans="1:23">
      <c r="A905" s="3" t="s">
        <v>4999</v>
      </c>
      <c r="B905" s="3" t="s">
        <v>22</v>
      </c>
      <c r="C905" s="3" t="s">
        <v>23</v>
      </c>
      <c r="D905" s="3" t="s">
        <v>41</v>
      </c>
      <c r="E905" s="3" t="s">
        <v>992</v>
      </c>
      <c r="F905" s="3" t="s">
        <v>117</v>
      </c>
      <c r="G905" s="2">
        <v>11.53</v>
      </c>
      <c r="H905" s="2">
        <v>7</v>
      </c>
      <c r="I905" s="2">
        <v>4.0354999999999999</v>
      </c>
      <c r="J905" s="2">
        <v>84.745500000000007</v>
      </c>
      <c r="K905" s="5">
        <v>43493</v>
      </c>
      <c r="L905" s="4">
        <v>0.73263888888888884</v>
      </c>
      <c r="M905" s="3" t="s">
        <v>49</v>
      </c>
      <c r="N905" s="2">
        <v>80.709999999999994</v>
      </c>
      <c r="O905" s="2">
        <v>4.7619047620000003</v>
      </c>
      <c r="P905" s="2">
        <v>4.0354999999999999</v>
      </c>
      <c r="Q905" s="2">
        <v>8.1</v>
      </c>
      <c r="R905" s="3"/>
      <c r="S905" s="1"/>
      <c r="T905" s="1"/>
      <c r="U905" s="1" t="s">
        <v>37</v>
      </c>
      <c r="V905" s="1" t="s">
        <v>37</v>
      </c>
      <c r="W905" s="1" t="s">
        <v>37</v>
      </c>
    </row>
    <row r="906" spans="1:23">
      <c r="A906" s="3" t="s">
        <v>5005</v>
      </c>
      <c r="B906" s="3" t="s">
        <v>39</v>
      </c>
      <c r="C906" s="3" t="s">
        <v>40</v>
      </c>
      <c r="D906" s="3" t="s">
        <v>41</v>
      </c>
      <c r="E906" s="3" t="s">
        <v>25</v>
      </c>
      <c r="F906" s="3" t="s">
        <v>26</v>
      </c>
      <c r="G906" s="2">
        <v>58.32</v>
      </c>
      <c r="H906" s="2">
        <v>2</v>
      </c>
      <c r="I906" s="2">
        <v>5.8319999999999999</v>
      </c>
      <c r="J906" s="2">
        <v>122.47199999999999</v>
      </c>
      <c r="K906" s="5">
        <v>43510</v>
      </c>
      <c r="L906" s="4">
        <v>0.52916666666666667</v>
      </c>
      <c r="M906" s="3" t="s">
        <v>33</v>
      </c>
      <c r="N906" s="2">
        <v>116.64</v>
      </c>
      <c r="O906" s="2">
        <v>4.7619047620000003</v>
      </c>
      <c r="P906" s="2">
        <v>5.8319999999999999</v>
      </c>
      <c r="Q906" s="2">
        <v>6</v>
      </c>
      <c r="R906" s="3"/>
      <c r="S906" s="1"/>
      <c r="T906" s="1"/>
      <c r="U906" s="1" t="s">
        <v>37</v>
      </c>
      <c r="V906" s="1" t="s">
        <v>37</v>
      </c>
      <c r="W906" s="1" t="s">
        <v>37</v>
      </c>
    </row>
    <row r="907" spans="1:23">
      <c r="A907" s="3" t="s">
        <v>5010</v>
      </c>
      <c r="B907" s="3" t="s">
        <v>39</v>
      </c>
      <c r="C907" s="3" t="s">
        <v>40</v>
      </c>
      <c r="D907" s="3" t="s">
        <v>24</v>
      </c>
      <c r="E907" s="3" t="s">
        <v>25</v>
      </c>
      <c r="F907" s="3" t="s">
        <v>53</v>
      </c>
      <c r="G907" s="2">
        <v>78.38</v>
      </c>
      <c r="H907" s="2">
        <v>4</v>
      </c>
      <c r="I907" s="2">
        <v>15.676</v>
      </c>
      <c r="J907" s="2">
        <v>329.19600000000003</v>
      </c>
      <c r="K907" s="5">
        <v>43548</v>
      </c>
      <c r="L907" s="4">
        <v>0.74722222222222223</v>
      </c>
      <c r="M907" s="3" t="s">
        <v>49</v>
      </c>
      <c r="N907" s="2">
        <v>313.52</v>
      </c>
      <c r="O907" s="2">
        <v>4.7619047620000003</v>
      </c>
      <c r="P907" s="2">
        <v>15.676</v>
      </c>
      <c r="Q907" s="2">
        <v>7.9</v>
      </c>
      <c r="R907" s="3"/>
      <c r="S907" s="1"/>
      <c r="T907" s="1"/>
      <c r="U907" s="1" t="s">
        <v>37</v>
      </c>
      <c r="V907" s="1" t="s">
        <v>37</v>
      </c>
      <c r="W907" s="1" t="s">
        <v>37</v>
      </c>
    </row>
    <row r="908" spans="1:23">
      <c r="A908" s="3" t="s">
        <v>5015</v>
      </c>
      <c r="B908" s="3" t="s">
        <v>39</v>
      </c>
      <c r="C908" s="3" t="s">
        <v>40</v>
      </c>
      <c r="D908" s="3" t="s">
        <v>41</v>
      </c>
      <c r="E908" s="3" t="s">
        <v>992</v>
      </c>
      <c r="F908" s="3" t="s">
        <v>26</v>
      </c>
      <c r="G908" s="2">
        <v>84.61</v>
      </c>
      <c r="H908" s="2">
        <v>10</v>
      </c>
      <c r="I908" s="2">
        <v>42.305</v>
      </c>
      <c r="J908" s="2">
        <v>888.40499999999997</v>
      </c>
      <c r="K908" s="5">
        <v>43505</v>
      </c>
      <c r="L908" s="4">
        <v>0.79027777777777775</v>
      </c>
      <c r="M908" s="3" t="s">
        <v>59</v>
      </c>
      <c r="N908" s="2">
        <v>846.1</v>
      </c>
      <c r="O908" s="2">
        <v>4.7619047620000003</v>
      </c>
      <c r="P908" s="2">
        <v>42.305</v>
      </c>
      <c r="Q908" s="2">
        <v>8.8000000000000007</v>
      </c>
      <c r="R908" s="3"/>
      <c r="S908" s="1"/>
      <c r="T908" s="1"/>
      <c r="U908" s="1" t="s">
        <v>37</v>
      </c>
      <c r="V908" s="1" t="s">
        <v>37</v>
      </c>
      <c r="W908" s="1" t="s">
        <v>37</v>
      </c>
    </row>
    <row r="909" spans="1:23">
      <c r="A909" s="3" t="s">
        <v>5020</v>
      </c>
      <c r="B909" s="3" t="s">
        <v>115</v>
      </c>
      <c r="C909" s="3" t="s">
        <v>116</v>
      </c>
      <c r="D909" s="3" t="s">
        <v>41</v>
      </c>
      <c r="E909" s="3" t="s">
        <v>25</v>
      </c>
      <c r="F909" s="3" t="s">
        <v>26</v>
      </c>
      <c r="G909" s="2">
        <v>82.88</v>
      </c>
      <c r="H909" s="2">
        <v>5</v>
      </c>
      <c r="I909" s="2">
        <v>20.72</v>
      </c>
      <c r="J909" s="2">
        <v>435.12</v>
      </c>
      <c r="K909" s="5">
        <v>43548</v>
      </c>
      <c r="L909" s="4">
        <v>0.58888888888888891</v>
      </c>
      <c r="M909" s="3" t="s">
        <v>59</v>
      </c>
      <c r="N909" s="2">
        <v>414.4</v>
      </c>
      <c r="O909" s="2">
        <v>4.7619047620000003</v>
      </c>
      <c r="P909" s="2">
        <v>20.72</v>
      </c>
      <c r="Q909" s="2">
        <v>6.6</v>
      </c>
      <c r="R909" s="3"/>
      <c r="S909" s="1"/>
      <c r="T909" s="1"/>
      <c r="U909" s="1" t="s">
        <v>37</v>
      </c>
      <c r="V909" s="1" t="s">
        <v>37</v>
      </c>
      <c r="W909" s="1" t="s">
        <v>37</v>
      </c>
    </row>
    <row r="910" spans="1:23">
      <c r="A910" s="3" t="s">
        <v>5025</v>
      </c>
      <c r="B910" s="3" t="s">
        <v>22</v>
      </c>
      <c r="C910" s="3" t="s">
        <v>23</v>
      </c>
      <c r="D910" s="3" t="s">
        <v>24</v>
      </c>
      <c r="E910" s="3" t="s">
        <v>25</v>
      </c>
      <c r="F910" s="3" t="s">
        <v>117</v>
      </c>
      <c r="G910" s="2">
        <v>79.540000000000006</v>
      </c>
      <c r="H910" s="2">
        <v>2</v>
      </c>
      <c r="I910" s="2">
        <v>7.9539999999999997</v>
      </c>
      <c r="J910" s="2">
        <v>167.03399999999999</v>
      </c>
      <c r="K910" s="5">
        <v>43551</v>
      </c>
      <c r="L910" s="4">
        <v>0.6875</v>
      </c>
      <c r="M910" s="3" t="s">
        <v>33</v>
      </c>
      <c r="N910" s="2">
        <v>159.08000000000001</v>
      </c>
      <c r="O910" s="2">
        <v>4.7619047620000003</v>
      </c>
      <c r="P910" s="2">
        <v>7.9539999999999997</v>
      </c>
      <c r="Q910" s="2">
        <v>6.2</v>
      </c>
      <c r="R910" s="3"/>
      <c r="S910" s="1"/>
      <c r="T910" s="1"/>
      <c r="U910" s="1" t="s">
        <v>37</v>
      </c>
      <c r="V910" s="1" t="s">
        <v>37</v>
      </c>
      <c r="W910" s="1" t="s">
        <v>37</v>
      </c>
    </row>
    <row r="911" spans="1:23">
      <c r="A911" s="3" t="s">
        <v>5030</v>
      </c>
      <c r="B911" s="3" t="s">
        <v>115</v>
      </c>
      <c r="C911" s="3" t="s">
        <v>116</v>
      </c>
      <c r="D911" s="3" t="s">
        <v>41</v>
      </c>
      <c r="E911" s="3" t="s">
        <v>25</v>
      </c>
      <c r="F911" s="3" t="s">
        <v>53</v>
      </c>
      <c r="G911" s="2">
        <v>49.01</v>
      </c>
      <c r="H911" s="2">
        <v>10</v>
      </c>
      <c r="I911" s="2">
        <v>24.504999999999999</v>
      </c>
      <c r="J911" s="2">
        <v>514.60500000000002</v>
      </c>
      <c r="K911" s="5">
        <v>43492</v>
      </c>
      <c r="L911" s="4">
        <v>0.44722222222222224</v>
      </c>
      <c r="M911" s="3" t="s">
        <v>59</v>
      </c>
      <c r="N911" s="2">
        <v>490.1</v>
      </c>
      <c r="O911" s="2">
        <v>4.7619047620000003</v>
      </c>
      <c r="P911" s="2">
        <v>24.504999999999999</v>
      </c>
      <c r="Q911" s="2">
        <v>4.2</v>
      </c>
      <c r="R911" s="3"/>
      <c r="S911" s="1"/>
      <c r="T911" s="1"/>
      <c r="U911" s="1" t="s">
        <v>37</v>
      </c>
      <c r="V911" s="1" t="s">
        <v>37</v>
      </c>
      <c r="W911" s="1" t="s">
        <v>37</v>
      </c>
    </row>
    <row r="912" spans="1:23">
      <c r="A912" s="3" t="s">
        <v>5036</v>
      </c>
      <c r="B912" s="3" t="s">
        <v>115</v>
      </c>
      <c r="C912" s="3" t="s">
        <v>116</v>
      </c>
      <c r="D912" s="3" t="s">
        <v>24</v>
      </c>
      <c r="E912" s="3" t="s">
        <v>25</v>
      </c>
      <c r="F912" s="3" t="s">
        <v>117</v>
      </c>
      <c r="G912" s="2">
        <v>29.15</v>
      </c>
      <c r="H912" s="2">
        <v>3</v>
      </c>
      <c r="I912" s="2">
        <v>4.3724999999999996</v>
      </c>
      <c r="J912" s="2">
        <v>91.822500000000005</v>
      </c>
      <c r="K912" s="5">
        <v>43551</v>
      </c>
      <c r="L912" s="4">
        <v>0.85347222222222219</v>
      </c>
      <c r="M912" s="3" t="s">
        <v>59</v>
      </c>
      <c r="N912" s="2">
        <v>87.45</v>
      </c>
      <c r="O912" s="2">
        <v>4.7619047620000003</v>
      </c>
      <c r="P912" s="2">
        <v>4.3724999999999996</v>
      </c>
      <c r="Q912" s="2">
        <v>7.3</v>
      </c>
      <c r="R912" s="3"/>
      <c r="S912" s="1"/>
      <c r="T912" s="1"/>
      <c r="U912" s="1" t="s">
        <v>37</v>
      </c>
      <c r="V912" s="1" t="s">
        <v>37</v>
      </c>
      <c r="W912" s="1" t="s">
        <v>37</v>
      </c>
    </row>
    <row r="913" spans="1:23">
      <c r="A913" s="3" t="s">
        <v>5040</v>
      </c>
      <c r="B913" s="3" t="s">
        <v>39</v>
      </c>
      <c r="C913" s="3" t="s">
        <v>40</v>
      </c>
      <c r="D913" s="3" t="s">
        <v>41</v>
      </c>
      <c r="E913" s="3" t="s">
        <v>25</v>
      </c>
      <c r="F913" s="3" t="s">
        <v>42</v>
      </c>
      <c r="G913" s="2">
        <v>56.13</v>
      </c>
      <c r="H913" s="2">
        <v>4</v>
      </c>
      <c r="I913" s="2">
        <v>11.226000000000001</v>
      </c>
      <c r="J913" s="2">
        <v>235.74600000000001</v>
      </c>
      <c r="K913" s="5">
        <v>43484</v>
      </c>
      <c r="L913" s="4">
        <v>0.48819444444444443</v>
      </c>
      <c r="M913" s="3" t="s">
        <v>33</v>
      </c>
      <c r="N913" s="2">
        <v>224.52</v>
      </c>
      <c r="O913" s="2">
        <v>4.7619047620000003</v>
      </c>
      <c r="P913" s="2">
        <v>11.226000000000001</v>
      </c>
      <c r="Q913" s="2">
        <v>8.6</v>
      </c>
      <c r="R913" s="3"/>
      <c r="S913" s="1"/>
      <c r="T913" s="1"/>
      <c r="U913" s="1" t="s">
        <v>37</v>
      </c>
      <c r="V913" s="1" t="s">
        <v>37</v>
      </c>
      <c r="W913" s="1" t="s">
        <v>37</v>
      </c>
    </row>
    <row r="914" spans="1:23">
      <c r="A914" s="3" t="s">
        <v>5045</v>
      </c>
      <c r="B914" s="3" t="s">
        <v>22</v>
      </c>
      <c r="C914" s="3" t="s">
        <v>23</v>
      </c>
      <c r="D914" s="3" t="s">
        <v>41</v>
      </c>
      <c r="E914" s="3" t="s">
        <v>25</v>
      </c>
      <c r="F914" s="3" t="s">
        <v>53</v>
      </c>
      <c r="G914" s="2">
        <v>93.12</v>
      </c>
      <c r="H914" s="2">
        <v>8</v>
      </c>
      <c r="I914" s="2">
        <v>37.247999999999998</v>
      </c>
      <c r="J914" s="2">
        <v>782.20799999999997</v>
      </c>
      <c r="K914" s="5">
        <v>43503</v>
      </c>
      <c r="L914" s="4">
        <v>0.42291666666666666</v>
      </c>
      <c r="M914" s="3" t="s">
        <v>49</v>
      </c>
      <c r="N914" s="2">
        <v>744.96</v>
      </c>
      <c r="O914" s="2">
        <v>4.7619047620000003</v>
      </c>
      <c r="P914" s="2">
        <v>37.247999999999998</v>
      </c>
      <c r="Q914" s="2">
        <v>6.8</v>
      </c>
      <c r="R914" s="3"/>
      <c r="S914" s="1"/>
      <c r="T914" s="1"/>
      <c r="U914" s="1" t="s">
        <v>37</v>
      </c>
      <c r="V914" s="1" t="s">
        <v>37</v>
      </c>
      <c r="W914" s="1" t="s">
        <v>37</v>
      </c>
    </row>
    <row r="915" spans="1:23">
      <c r="A915" s="3" t="s">
        <v>5051</v>
      </c>
      <c r="B915" s="3" t="s">
        <v>22</v>
      </c>
      <c r="C915" s="3" t="s">
        <v>23</v>
      </c>
      <c r="D915" s="3" t="s">
        <v>24</v>
      </c>
      <c r="E915" s="3" t="s">
        <v>992</v>
      </c>
      <c r="F915" s="3" t="s">
        <v>127</v>
      </c>
      <c r="G915" s="2">
        <v>51.34</v>
      </c>
      <c r="H915" s="2">
        <v>8</v>
      </c>
      <c r="I915" s="2">
        <v>20.536000000000001</v>
      </c>
      <c r="J915" s="2">
        <v>431.25599999999997</v>
      </c>
      <c r="K915" s="5">
        <v>43496</v>
      </c>
      <c r="L915" s="4">
        <v>0.41666666666666669</v>
      </c>
      <c r="M915" s="3" t="s">
        <v>33</v>
      </c>
      <c r="N915" s="2">
        <v>410.72</v>
      </c>
      <c r="O915" s="2">
        <v>4.7619047620000003</v>
      </c>
      <c r="P915" s="2">
        <v>20.536000000000001</v>
      </c>
      <c r="Q915" s="2">
        <v>7.6</v>
      </c>
      <c r="R915" s="3"/>
      <c r="S915" s="1"/>
      <c r="T915" s="1"/>
      <c r="U915" s="1" t="s">
        <v>37</v>
      </c>
      <c r="V915" s="1" t="s">
        <v>37</v>
      </c>
      <c r="W915" s="1" t="s">
        <v>37</v>
      </c>
    </row>
    <row r="916" spans="1:23">
      <c r="A916" s="3" t="s">
        <v>5055</v>
      </c>
      <c r="B916" s="3" t="s">
        <v>22</v>
      </c>
      <c r="C916" s="3" t="s">
        <v>23</v>
      </c>
      <c r="D916" s="3" t="s">
        <v>24</v>
      </c>
      <c r="E916" s="3" t="s">
        <v>25</v>
      </c>
      <c r="F916" s="3" t="s">
        <v>117</v>
      </c>
      <c r="G916" s="2">
        <v>99.6</v>
      </c>
      <c r="H916" s="2">
        <v>3</v>
      </c>
      <c r="I916" s="2">
        <v>14.94</v>
      </c>
      <c r="J916" s="2">
        <v>313.74</v>
      </c>
      <c r="K916" s="5">
        <v>43521</v>
      </c>
      <c r="L916" s="4">
        <v>0.78125</v>
      </c>
      <c r="M916" s="3" t="s">
        <v>49</v>
      </c>
      <c r="N916" s="2">
        <v>298.8</v>
      </c>
      <c r="O916" s="2">
        <v>4.7619047620000003</v>
      </c>
      <c r="P916" s="2">
        <v>14.94</v>
      </c>
      <c r="Q916" s="2">
        <v>5.8</v>
      </c>
      <c r="R916" s="3"/>
      <c r="S916" s="1"/>
      <c r="T916" s="1"/>
      <c r="U916" s="1" t="s">
        <v>37</v>
      </c>
      <c r="V916" s="1" t="s">
        <v>37</v>
      </c>
      <c r="W916" s="1" t="s">
        <v>37</v>
      </c>
    </row>
    <row r="917" spans="1:23">
      <c r="A917" s="3" t="s">
        <v>5060</v>
      </c>
      <c r="B917" s="3" t="s">
        <v>39</v>
      </c>
      <c r="C917" s="3" t="s">
        <v>40</v>
      </c>
      <c r="D917" s="3" t="s">
        <v>41</v>
      </c>
      <c r="E917" s="3" t="s">
        <v>25</v>
      </c>
      <c r="F917" s="3" t="s">
        <v>42</v>
      </c>
      <c r="G917" s="2">
        <v>35.49</v>
      </c>
      <c r="H917" s="2">
        <v>6</v>
      </c>
      <c r="I917" s="2">
        <v>10.647</v>
      </c>
      <c r="J917" s="2">
        <v>223.58699999999999</v>
      </c>
      <c r="K917" s="5">
        <v>43498</v>
      </c>
      <c r="L917" s="4">
        <v>0.52777777777777779</v>
      </c>
      <c r="M917" s="3" t="s">
        <v>49</v>
      </c>
      <c r="N917" s="2">
        <v>212.94</v>
      </c>
      <c r="O917" s="2">
        <v>4.7619047620000003</v>
      </c>
      <c r="P917" s="2">
        <v>10.647</v>
      </c>
      <c r="Q917" s="2">
        <v>4.0999999999999996</v>
      </c>
      <c r="R917" s="3"/>
      <c r="S917" s="1"/>
      <c r="T917" s="1"/>
      <c r="U917" s="1" t="s">
        <v>37</v>
      </c>
      <c r="V917" s="1" t="s">
        <v>37</v>
      </c>
      <c r="W917" s="1" t="s">
        <v>37</v>
      </c>
    </row>
    <row r="918" spans="1:23">
      <c r="A918" s="3" t="s">
        <v>5065</v>
      </c>
      <c r="B918" s="3" t="s">
        <v>39</v>
      </c>
      <c r="C918" s="3" t="s">
        <v>40</v>
      </c>
      <c r="D918" s="3" t="s">
        <v>24</v>
      </c>
      <c r="E918" s="3" t="s">
        <v>992</v>
      </c>
      <c r="F918" s="3" t="s">
        <v>72</v>
      </c>
      <c r="G918" s="2">
        <v>42.85</v>
      </c>
      <c r="H918" s="2">
        <v>1</v>
      </c>
      <c r="I918" s="2">
        <v>2.1425000000000001</v>
      </c>
      <c r="J918" s="2">
        <v>44.9925</v>
      </c>
      <c r="K918" s="5">
        <v>43538</v>
      </c>
      <c r="L918" s="4">
        <v>0.65</v>
      </c>
      <c r="M918" s="3" t="s">
        <v>59</v>
      </c>
      <c r="N918" s="2">
        <v>42.85</v>
      </c>
      <c r="O918" s="2">
        <v>4.7619047620000003</v>
      </c>
      <c r="P918" s="2">
        <v>2.1425000000000001</v>
      </c>
      <c r="Q918" s="2">
        <v>9.3000000000000007</v>
      </c>
      <c r="R918" s="3"/>
      <c r="S918" s="1"/>
      <c r="T918" s="1"/>
      <c r="U918" s="1" t="s">
        <v>37</v>
      </c>
      <c r="V918" s="1" t="s">
        <v>37</v>
      </c>
      <c r="W918" s="1" t="s">
        <v>37</v>
      </c>
    </row>
    <row r="919" spans="1:23">
      <c r="A919" s="3" t="s">
        <v>5069</v>
      </c>
      <c r="B919" s="3" t="s">
        <v>22</v>
      </c>
      <c r="C919" s="3" t="s">
        <v>23</v>
      </c>
      <c r="D919" s="3" t="s">
        <v>41</v>
      </c>
      <c r="E919" s="3" t="s">
        <v>25</v>
      </c>
      <c r="F919" s="3" t="s">
        <v>127</v>
      </c>
      <c r="G919" s="2">
        <v>94.67</v>
      </c>
      <c r="H919" s="2">
        <v>4</v>
      </c>
      <c r="I919" s="2">
        <v>18.934000000000001</v>
      </c>
      <c r="J919" s="2">
        <v>397.61399999999998</v>
      </c>
      <c r="K919" s="5">
        <v>43535</v>
      </c>
      <c r="L919" s="4">
        <v>0.50277777777777777</v>
      </c>
      <c r="M919" s="3" t="s">
        <v>49</v>
      </c>
      <c r="N919" s="2">
        <v>378.68</v>
      </c>
      <c r="O919" s="2">
        <v>4.7619047620000003</v>
      </c>
      <c r="P919" s="2">
        <v>18.934000000000001</v>
      </c>
      <c r="Q919" s="2">
        <v>6.8</v>
      </c>
      <c r="R919" s="3"/>
      <c r="S919" s="1"/>
      <c r="T919" s="1"/>
      <c r="U919" s="1" t="s">
        <v>37</v>
      </c>
      <c r="V919" s="1" t="s">
        <v>37</v>
      </c>
      <c r="W919" s="1" t="s">
        <v>37</v>
      </c>
    </row>
    <row r="920" spans="1:23">
      <c r="A920" s="3" t="s">
        <v>5074</v>
      </c>
      <c r="B920" s="3" t="s">
        <v>115</v>
      </c>
      <c r="C920" s="3" t="s">
        <v>116</v>
      </c>
      <c r="D920" s="3" t="s">
        <v>41</v>
      </c>
      <c r="E920" s="3" t="s">
        <v>992</v>
      </c>
      <c r="F920" s="3" t="s">
        <v>53</v>
      </c>
      <c r="G920" s="2">
        <v>68.97</v>
      </c>
      <c r="H920" s="2">
        <v>3</v>
      </c>
      <c r="I920" s="2">
        <v>10.345499999999999</v>
      </c>
      <c r="J920" s="2">
        <v>217.25550000000001</v>
      </c>
      <c r="K920" s="5">
        <v>43518</v>
      </c>
      <c r="L920" s="4">
        <v>0.47638888888888886</v>
      </c>
      <c r="M920" s="3" t="s">
        <v>33</v>
      </c>
      <c r="N920" s="2">
        <v>206.91</v>
      </c>
      <c r="O920" s="2">
        <v>4.7619047620000003</v>
      </c>
      <c r="P920" s="2">
        <v>10.345499999999999</v>
      </c>
      <c r="Q920" s="2">
        <v>8.6999999999999993</v>
      </c>
      <c r="R920" s="3"/>
      <c r="S920" s="1"/>
      <c r="T920" s="1"/>
      <c r="U920" s="1" t="s">
        <v>37</v>
      </c>
      <c r="V920" s="1" t="s">
        <v>37</v>
      </c>
      <c r="W920" s="1" t="s">
        <v>37</v>
      </c>
    </row>
    <row r="921" spans="1:23">
      <c r="A921" s="3" t="s">
        <v>5079</v>
      </c>
      <c r="B921" s="3" t="s">
        <v>115</v>
      </c>
      <c r="C921" s="3" t="s">
        <v>116</v>
      </c>
      <c r="D921" s="3" t="s">
        <v>24</v>
      </c>
      <c r="E921" s="3" t="s">
        <v>25</v>
      </c>
      <c r="F921" s="3" t="s">
        <v>42</v>
      </c>
      <c r="G921" s="2">
        <v>26.26</v>
      </c>
      <c r="H921" s="2">
        <v>3</v>
      </c>
      <c r="I921" s="2">
        <v>3.9390000000000001</v>
      </c>
      <c r="J921" s="2">
        <v>82.718999999999994</v>
      </c>
      <c r="K921" s="5">
        <v>43526</v>
      </c>
      <c r="L921" s="4">
        <v>0.52500000000000002</v>
      </c>
      <c r="M921" s="3" t="s">
        <v>33</v>
      </c>
      <c r="N921" s="2">
        <v>78.78</v>
      </c>
      <c r="O921" s="2">
        <v>4.7619047620000003</v>
      </c>
      <c r="P921" s="2">
        <v>3.9390000000000001</v>
      </c>
      <c r="Q921" s="2">
        <v>6.3</v>
      </c>
      <c r="R921" s="3"/>
      <c r="S921" s="1"/>
      <c r="T921" s="1"/>
      <c r="U921" s="1" t="s">
        <v>37</v>
      </c>
      <c r="V921" s="1" t="s">
        <v>37</v>
      </c>
      <c r="W921" s="1" t="s">
        <v>37</v>
      </c>
    </row>
    <row r="922" spans="1:23">
      <c r="A922" s="3" t="s">
        <v>5083</v>
      </c>
      <c r="B922" s="3" t="s">
        <v>39</v>
      </c>
      <c r="C922" s="3" t="s">
        <v>40</v>
      </c>
      <c r="D922" s="3" t="s">
        <v>24</v>
      </c>
      <c r="E922" s="3" t="s">
        <v>25</v>
      </c>
      <c r="F922" s="3" t="s">
        <v>53</v>
      </c>
      <c r="G922" s="2">
        <v>35.79</v>
      </c>
      <c r="H922" s="2">
        <v>9</v>
      </c>
      <c r="I922" s="2">
        <v>16.105499999999999</v>
      </c>
      <c r="J922" s="2">
        <v>338.21550000000002</v>
      </c>
      <c r="K922" s="5">
        <v>43534</v>
      </c>
      <c r="L922" s="4">
        <v>0.62916666666666665</v>
      </c>
      <c r="M922" s="3" t="s">
        <v>59</v>
      </c>
      <c r="N922" s="2">
        <v>322.11</v>
      </c>
      <c r="O922" s="2">
        <v>4.7619047620000003</v>
      </c>
      <c r="P922" s="2">
        <v>16.105499999999999</v>
      </c>
      <c r="Q922" s="2">
        <v>5.0999999999999996</v>
      </c>
      <c r="R922" s="3"/>
      <c r="S922" s="1"/>
      <c r="T922" s="1"/>
      <c r="U922" s="1" t="s">
        <v>37</v>
      </c>
      <c r="V922" s="1" t="s">
        <v>37</v>
      </c>
      <c r="W922" s="1" t="s">
        <v>37</v>
      </c>
    </row>
    <row r="923" spans="1:23">
      <c r="A923" s="3" t="s">
        <v>5088</v>
      </c>
      <c r="B923" s="3" t="s">
        <v>115</v>
      </c>
      <c r="C923" s="3" t="s">
        <v>116</v>
      </c>
      <c r="D923" s="3" t="s">
        <v>41</v>
      </c>
      <c r="E923" s="3" t="s">
        <v>25</v>
      </c>
      <c r="F923" s="3" t="s">
        <v>53</v>
      </c>
      <c r="G923" s="2">
        <v>16.37</v>
      </c>
      <c r="H923" s="2">
        <v>6</v>
      </c>
      <c r="I923" s="2">
        <v>4.9109999999999996</v>
      </c>
      <c r="J923" s="2">
        <v>103.131</v>
      </c>
      <c r="K923" s="5">
        <v>43504</v>
      </c>
      <c r="L923" s="4">
        <v>0.45694444444444443</v>
      </c>
      <c r="M923" s="3" t="s">
        <v>49</v>
      </c>
      <c r="N923" s="2">
        <v>98.22</v>
      </c>
      <c r="O923" s="2">
        <v>4.7619047620000003</v>
      </c>
      <c r="P923" s="2">
        <v>4.9109999999999996</v>
      </c>
      <c r="Q923" s="2">
        <v>7</v>
      </c>
      <c r="R923" s="3"/>
      <c r="S923" s="1"/>
      <c r="T923" s="1"/>
      <c r="U923" s="1" t="s">
        <v>37</v>
      </c>
      <c r="V923" s="1" t="s">
        <v>37</v>
      </c>
      <c r="W923" s="1" t="s">
        <v>37</v>
      </c>
    </row>
    <row r="924" spans="1:23">
      <c r="A924" s="3" t="s">
        <v>5094</v>
      </c>
      <c r="B924" s="3" t="s">
        <v>39</v>
      </c>
      <c r="C924" s="3" t="s">
        <v>40</v>
      </c>
      <c r="D924" s="3" t="s">
        <v>24</v>
      </c>
      <c r="E924" s="3" t="s">
        <v>25</v>
      </c>
      <c r="F924" s="3" t="s">
        <v>53</v>
      </c>
      <c r="G924" s="2">
        <v>12.73</v>
      </c>
      <c r="H924" s="2">
        <v>2</v>
      </c>
      <c r="I924" s="2">
        <v>1.2729999999999999</v>
      </c>
      <c r="J924" s="2">
        <v>26.733000000000001</v>
      </c>
      <c r="K924" s="5">
        <v>43518</v>
      </c>
      <c r="L924" s="4">
        <v>0.50694444444444442</v>
      </c>
      <c r="M924" s="3" t="s">
        <v>59</v>
      </c>
      <c r="N924" s="2">
        <v>25.46</v>
      </c>
      <c r="O924" s="2">
        <v>4.7619047620000003</v>
      </c>
      <c r="P924" s="2">
        <v>1.2729999999999999</v>
      </c>
      <c r="Q924" s="2">
        <v>5.2</v>
      </c>
      <c r="R924" s="3"/>
      <c r="S924" s="1"/>
      <c r="T924" s="1"/>
      <c r="U924" s="1" t="s">
        <v>37</v>
      </c>
      <c r="V924" s="1" t="s">
        <v>37</v>
      </c>
      <c r="W924" s="1" t="s">
        <v>37</v>
      </c>
    </row>
    <row r="925" spans="1:23">
      <c r="A925" s="3" t="s">
        <v>5099</v>
      </c>
      <c r="B925" s="3" t="s">
        <v>39</v>
      </c>
      <c r="C925" s="3" t="s">
        <v>40</v>
      </c>
      <c r="D925" s="3" t="s">
        <v>41</v>
      </c>
      <c r="E925" s="3" t="s">
        <v>25</v>
      </c>
      <c r="F925" s="3" t="s">
        <v>72</v>
      </c>
      <c r="G925" s="2">
        <v>83.14</v>
      </c>
      <c r="H925" s="2">
        <v>7</v>
      </c>
      <c r="I925" s="2">
        <v>29.099</v>
      </c>
      <c r="J925" s="2">
        <v>611.07899999999995</v>
      </c>
      <c r="K925" s="5">
        <v>43475</v>
      </c>
      <c r="L925" s="4">
        <v>0.43819444444444444</v>
      </c>
      <c r="M925" s="3" t="s">
        <v>59</v>
      </c>
      <c r="N925" s="2">
        <v>581.98</v>
      </c>
      <c r="O925" s="2">
        <v>4.7619047620000003</v>
      </c>
      <c r="P925" s="2">
        <v>29.099</v>
      </c>
      <c r="Q925" s="2">
        <v>6.6</v>
      </c>
      <c r="R925" s="3"/>
      <c r="S925" s="1"/>
      <c r="T925" s="1"/>
      <c r="U925" s="1" t="s">
        <v>37</v>
      </c>
      <c r="V925" s="1" t="s">
        <v>37</v>
      </c>
      <c r="W925" s="1" t="s">
        <v>37</v>
      </c>
    </row>
    <row r="926" spans="1:23">
      <c r="A926" s="3" t="s">
        <v>5104</v>
      </c>
      <c r="B926" s="3" t="s">
        <v>39</v>
      </c>
      <c r="C926" s="3" t="s">
        <v>40</v>
      </c>
      <c r="D926" s="3" t="s">
        <v>24</v>
      </c>
      <c r="E926" s="3" t="s">
        <v>25</v>
      </c>
      <c r="F926" s="3" t="s">
        <v>72</v>
      </c>
      <c r="G926" s="2">
        <v>35.22</v>
      </c>
      <c r="H926" s="2">
        <v>6</v>
      </c>
      <c r="I926" s="2">
        <v>10.566000000000001</v>
      </c>
      <c r="J926" s="2">
        <v>221.886</v>
      </c>
      <c r="K926" s="5">
        <v>43538</v>
      </c>
      <c r="L926" s="4">
        <v>0.5756944444444444</v>
      </c>
      <c r="M926" s="3" t="s">
        <v>33</v>
      </c>
      <c r="N926" s="2">
        <v>211.32</v>
      </c>
      <c r="O926" s="2">
        <v>4.7619047620000003</v>
      </c>
      <c r="P926" s="2">
        <v>10.566000000000001</v>
      </c>
      <c r="Q926" s="2">
        <v>6.5</v>
      </c>
      <c r="R926" s="3"/>
      <c r="S926" s="1"/>
      <c r="T926" s="1"/>
      <c r="U926" s="1" t="s">
        <v>37</v>
      </c>
      <c r="V926" s="1" t="s">
        <v>37</v>
      </c>
      <c r="W926" s="1" t="s">
        <v>37</v>
      </c>
    </row>
    <row r="927" spans="1:23">
      <c r="A927" s="3" t="s">
        <v>5110</v>
      </c>
      <c r="B927" s="3" t="s">
        <v>115</v>
      </c>
      <c r="C927" s="3" t="s">
        <v>116</v>
      </c>
      <c r="D927" s="3" t="s">
        <v>41</v>
      </c>
      <c r="E927" s="3" t="s">
        <v>25</v>
      </c>
      <c r="F927" s="3" t="s">
        <v>42</v>
      </c>
      <c r="G927" s="2">
        <v>13.78</v>
      </c>
      <c r="H927" s="2">
        <v>4</v>
      </c>
      <c r="I927" s="2">
        <v>2.7559999999999998</v>
      </c>
      <c r="J927" s="2">
        <v>57.875999999999998</v>
      </c>
      <c r="K927" s="5">
        <v>43475</v>
      </c>
      <c r="L927" s="4">
        <v>0.46527777777777779</v>
      </c>
      <c r="M927" s="3" t="s">
        <v>33</v>
      </c>
      <c r="N927" s="2">
        <v>55.12</v>
      </c>
      <c r="O927" s="2">
        <v>4.7619047620000003</v>
      </c>
      <c r="P927" s="2">
        <v>2.7559999999999998</v>
      </c>
      <c r="Q927" s="2">
        <v>9</v>
      </c>
      <c r="R927" s="3"/>
      <c r="S927" s="1"/>
      <c r="T927" s="1"/>
      <c r="U927" s="1" t="s">
        <v>37</v>
      </c>
      <c r="V927" s="1" t="s">
        <v>37</v>
      </c>
      <c r="W927" s="1" t="s">
        <v>37</v>
      </c>
    </row>
    <row r="928" spans="1:23">
      <c r="A928" s="3" t="s">
        <v>5116</v>
      </c>
      <c r="B928" s="3" t="s">
        <v>115</v>
      </c>
      <c r="C928" s="3" t="s">
        <v>116</v>
      </c>
      <c r="D928" s="3" t="s">
        <v>24</v>
      </c>
      <c r="E928" s="3" t="s">
        <v>992</v>
      </c>
      <c r="F928" s="3" t="s">
        <v>72</v>
      </c>
      <c r="G928" s="2">
        <v>88.31</v>
      </c>
      <c r="H928" s="2">
        <v>1</v>
      </c>
      <c r="I928" s="2">
        <v>4.4154999999999998</v>
      </c>
      <c r="J928" s="2">
        <v>92.725499999999997</v>
      </c>
      <c r="K928" s="5">
        <v>43511</v>
      </c>
      <c r="L928" s="4">
        <v>0.73472222222222228</v>
      </c>
      <c r="M928" s="3" t="s">
        <v>59</v>
      </c>
      <c r="N928" s="2">
        <v>88.31</v>
      </c>
      <c r="O928" s="2">
        <v>4.7619047620000003</v>
      </c>
      <c r="P928" s="2">
        <v>4.4154999999999998</v>
      </c>
      <c r="Q928" s="2">
        <v>5.2</v>
      </c>
      <c r="R928" s="3"/>
      <c r="S928" s="1"/>
      <c r="T928" s="1"/>
      <c r="U928" s="1" t="s">
        <v>37</v>
      </c>
      <c r="V928" s="1" t="s">
        <v>37</v>
      </c>
      <c r="W928" s="1" t="s">
        <v>37</v>
      </c>
    </row>
    <row r="929" spans="1:23">
      <c r="A929" s="3" t="s">
        <v>5120</v>
      </c>
      <c r="B929" s="3" t="s">
        <v>22</v>
      </c>
      <c r="C929" s="3" t="s">
        <v>23</v>
      </c>
      <c r="D929" s="3" t="s">
        <v>24</v>
      </c>
      <c r="E929" s="3" t="s">
        <v>25</v>
      </c>
      <c r="F929" s="3" t="s">
        <v>26</v>
      </c>
      <c r="G929" s="2">
        <v>39.619999999999997</v>
      </c>
      <c r="H929" s="2">
        <v>9</v>
      </c>
      <c r="I929" s="2">
        <v>17.829000000000001</v>
      </c>
      <c r="J929" s="2">
        <v>374.40899999999999</v>
      </c>
      <c r="K929" s="5">
        <v>43478</v>
      </c>
      <c r="L929" s="4">
        <v>0.74583333333333335</v>
      </c>
      <c r="M929" s="3" t="s">
        <v>59</v>
      </c>
      <c r="N929" s="2">
        <v>356.58</v>
      </c>
      <c r="O929" s="2">
        <v>4.7619047620000003</v>
      </c>
      <c r="P929" s="2">
        <v>17.829000000000001</v>
      </c>
      <c r="Q929" s="2">
        <v>6.8</v>
      </c>
      <c r="R929" s="3"/>
      <c r="S929" s="1"/>
      <c r="T929" s="1"/>
      <c r="U929" s="1" t="s">
        <v>37</v>
      </c>
      <c r="V929" s="1" t="s">
        <v>37</v>
      </c>
      <c r="W929" s="1" t="s">
        <v>37</v>
      </c>
    </row>
    <row r="930" spans="1:23">
      <c r="A930" s="3" t="s">
        <v>5124</v>
      </c>
      <c r="B930" s="3" t="s">
        <v>115</v>
      </c>
      <c r="C930" s="3" t="s">
        <v>116</v>
      </c>
      <c r="D930" s="3" t="s">
        <v>41</v>
      </c>
      <c r="E930" s="3" t="s">
        <v>25</v>
      </c>
      <c r="F930" s="3" t="s">
        <v>42</v>
      </c>
      <c r="G930" s="2">
        <v>88.25</v>
      </c>
      <c r="H930" s="2">
        <v>9</v>
      </c>
      <c r="I930" s="2">
        <v>39.712499999999999</v>
      </c>
      <c r="J930" s="2">
        <v>833.96249999999998</v>
      </c>
      <c r="K930" s="5">
        <v>43511</v>
      </c>
      <c r="L930" s="4">
        <v>0.86875000000000002</v>
      </c>
      <c r="M930" s="3" t="s">
        <v>59</v>
      </c>
      <c r="N930" s="2">
        <v>794.25</v>
      </c>
      <c r="O930" s="2">
        <v>4.7619047620000003</v>
      </c>
      <c r="P930" s="2">
        <v>39.712499999999999</v>
      </c>
      <c r="Q930" s="2">
        <v>7.6</v>
      </c>
      <c r="R930" s="3"/>
      <c r="S930" s="1"/>
      <c r="T930" s="1"/>
      <c r="U930" s="1" t="s">
        <v>37</v>
      </c>
      <c r="V930" s="1" t="s">
        <v>37</v>
      </c>
      <c r="W930" s="1" t="s">
        <v>37</v>
      </c>
    </row>
    <row r="931" spans="1:23">
      <c r="A931" s="3" t="s">
        <v>5129</v>
      </c>
      <c r="B931" s="3" t="s">
        <v>115</v>
      </c>
      <c r="C931" s="3" t="s">
        <v>116</v>
      </c>
      <c r="D931" s="3" t="s">
        <v>41</v>
      </c>
      <c r="E931" s="3" t="s">
        <v>992</v>
      </c>
      <c r="F931" s="3" t="s">
        <v>72</v>
      </c>
      <c r="G931" s="2">
        <v>25.31</v>
      </c>
      <c r="H931" s="2">
        <v>2</v>
      </c>
      <c r="I931" s="2">
        <v>2.5310000000000001</v>
      </c>
      <c r="J931" s="2">
        <v>53.151000000000003</v>
      </c>
      <c r="K931" s="5">
        <v>43526</v>
      </c>
      <c r="L931" s="4">
        <v>0.80972222222222223</v>
      </c>
      <c r="M931" s="3" t="s">
        <v>33</v>
      </c>
      <c r="N931" s="2">
        <v>50.62</v>
      </c>
      <c r="O931" s="2">
        <v>4.7619047620000003</v>
      </c>
      <c r="P931" s="2">
        <v>2.5310000000000001</v>
      </c>
      <c r="Q931" s="2">
        <v>7.2</v>
      </c>
      <c r="R931" s="3"/>
      <c r="S931" s="1"/>
      <c r="T931" s="1"/>
      <c r="U931" s="1" t="s">
        <v>37</v>
      </c>
      <c r="V931" s="1" t="s">
        <v>37</v>
      </c>
      <c r="W931" s="1" t="s">
        <v>37</v>
      </c>
    </row>
    <row r="932" spans="1:23">
      <c r="A932" s="3" t="s">
        <v>5134</v>
      </c>
      <c r="B932" s="3" t="s">
        <v>115</v>
      </c>
      <c r="C932" s="3" t="s">
        <v>116</v>
      </c>
      <c r="D932" s="3" t="s">
        <v>41</v>
      </c>
      <c r="E932" s="3" t="s">
        <v>992</v>
      </c>
      <c r="F932" s="3" t="s">
        <v>53</v>
      </c>
      <c r="G932" s="2">
        <v>99.92</v>
      </c>
      <c r="H932" s="2">
        <v>6</v>
      </c>
      <c r="I932" s="2">
        <v>29.975999999999999</v>
      </c>
      <c r="J932" s="2">
        <v>629.49599999999998</v>
      </c>
      <c r="K932" s="5">
        <v>43548</v>
      </c>
      <c r="L932" s="4">
        <v>0.56458333333333333</v>
      </c>
      <c r="M932" s="3" t="s">
        <v>33</v>
      </c>
      <c r="N932" s="2">
        <v>599.52</v>
      </c>
      <c r="O932" s="2">
        <v>4.7619047620000003</v>
      </c>
      <c r="P932" s="2">
        <v>29.975999999999999</v>
      </c>
      <c r="Q932" s="2">
        <v>7.1</v>
      </c>
      <c r="R932" s="3"/>
      <c r="S932" s="1"/>
      <c r="T932" s="1"/>
      <c r="U932" s="1" t="s">
        <v>37</v>
      </c>
      <c r="V932" s="1" t="s">
        <v>37</v>
      </c>
      <c r="W932" s="1" t="s">
        <v>37</v>
      </c>
    </row>
    <row r="933" spans="1:23">
      <c r="A933" s="3" t="s">
        <v>5140</v>
      </c>
      <c r="B933" s="3" t="s">
        <v>39</v>
      </c>
      <c r="C933" s="3" t="s">
        <v>40</v>
      </c>
      <c r="D933" s="3" t="s">
        <v>24</v>
      </c>
      <c r="E933" s="3" t="s">
        <v>25</v>
      </c>
      <c r="F933" s="3" t="s">
        <v>127</v>
      </c>
      <c r="G933" s="2">
        <v>83.35</v>
      </c>
      <c r="H933" s="2">
        <v>2</v>
      </c>
      <c r="I933" s="2">
        <v>8.3350000000000009</v>
      </c>
      <c r="J933" s="2">
        <v>175.035</v>
      </c>
      <c r="K933" s="5">
        <v>43498</v>
      </c>
      <c r="L933" s="4">
        <v>0.58680555555555558</v>
      </c>
      <c r="M933" s="3" t="s">
        <v>59</v>
      </c>
      <c r="N933" s="2">
        <v>166.7</v>
      </c>
      <c r="O933" s="2">
        <v>4.7619047620000003</v>
      </c>
      <c r="P933" s="2">
        <v>8.3350000000000009</v>
      </c>
      <c r="Q933" s="2">
        <v>9.5</v>
      </c>
      <c r="R933" s="3"/>
      <c r="S933" s="1"/>
      <c r="T933" s="1"/>
      <c r="U933" s="1" t="s">
        <v>37</v>
      </c>
      <c r="V933" s="1" t="s">
        <v>37</v>
      </c>
      <c r="W933" s="1" t="s">
        <v>37</v>
      </c>
    </row>
    <row r="934" spans="1:23">
      <c r="A934" s="3" t="s">
        <v>5146</v>
      </c>
      <c r="B934" s="3" t="s">
        <v>22</v>
      </c>
      <c r="C934" s="3" t="s">
        <v>23</v>
      </c>
      <c r="D934" s="3" t="s">
        <v>41</v>
      </c>
      <c r="E934" s="3" t="s">
        <v>25</v>
      </c>
      <c r="F934" s="3" t="s">
        <v>117</v>
      </c>
      <c r="G934" s="2">
        <v>74.44</v>
      </c>
      <c r="H934" s="2">
        <v>10</v>
      </c>
      <c r="I934" s="2">
        <v>37.22</v>
      </c>
      <c r="J934" s="2">
        <v>781.62</v>
      </c>
      <c r="K934" s="5">
        <v>43523</v>
      </c>
      <c r="L934" s="4">
        <v>0.4861111111111111</v>
      </c>
      <c r="M934" s="3" t="s">
        <v>33</v>
      </c>
      <c r="N934" s="2">
        <v>744.4</v>
      </c>
      <c r="O934" s="2">
        <v>4.7619047620000003</v>
      </c>
      <c r="P934" s="2">
        <v>37.22</v>
      </c>
      <c r="Q934" s="2">
        <v>5.0999999999999996</v>
      </c>
      <c r="R934" s="3"/>
      <c r="S934" s="1"/>
      <c r="T934" s="1"/>
      <c r="U934" s="1" t="s">
        <v>37</v>
      </c>
      <c r="V934" s="1" t="s">
        <v>37</v>
      </c>
      <c r="W934" s="1" t="s">
        <v>37</v>
      </c>
    </row>
    <row r="935" spans="1:23">
      <c r="A935" s="3" t="s">
        <v>5151</v>
      </c>
      <c r="B935" s="3" t="s">
        <v>39</v>
      </c>
      <c r="C935" s="3" t="s">
        <v>40</v>
      </c>
      <c r="D935" s="3" t="s">
        <v>41</v>
      </c>
      <c r="E935" s="3" t="s">
        <v>992</v>
      </c>
      <c r="F935" s="3" t="s">
        <v>26</v>
      </c>
      <c r="G935" s="2">
        <v>64.08</v>
      </c>
      <c r="H935" s="2">
        <v>7</v>
      </c>
      <c r="I935" s="2">
        <v>22.428000000000001</v>
      </c>
      <c r="J935" s="2">
        <v>470.988</v>
      </c>
      <c r="K935" s="5">
        <v>43485</v>
      </c>
      <c r="L935" s="4">
        <v>0.51875000000000004</v>
      </c>
      <c r="M935" s="3" t="s">
        <v>33</v>
      </c>
      <c r="N935" s="2">
        <v>448.56</v>
      </c>
      <c r="O935" s="2">
        <v>4.7619047620000003</v>
      </c>
      <c r="P935" s="2">
        <v>22.428000000000001</v>
      </c>
      <c r="Q935" s="2">
        <v>7.6</v>
      </c>
      <c r="R935" s="3"/>
      <c r="S935" s="1"/>
      <c r="T935" s="1"/>
      <c r="U935" s="1" t="s">
        <v>37</v>
      </c>
      <c r="V935" s="1" t="s">
        <v>37</v>
      </c>
      <c r="W935" s="1" t="s">
        <v>37</v>
      </c>
    </row>
    <row r="936" spans="1:23">
      <c r="A936" s="3" t="s">
        <v>5152</v>
      </c>
      <c r="B936" s="3" t="s">
        <v>115</v>
      </c>
      <c r="C936" s="3" t="s">
        <v>116</v>
      </c>
      <c r="D936" s="3" t="s">
        <v>41</v>
      </c>
      <c r="E936" s="3" t="s">
        <v>25</v>
      </c>
      <c r="F936" s="3" t="s">
        <v>53</v>
      </c>
      <c r="G936" s="2">
        <v>63.15</v>
      </c>
      <c r="H936" s="2">
        <v>6</v>
      </c>
      <c r="I936" s="2">
        <v>18.945</v>
      </c>
      <c r="J936" s="2">
        <v>397.84500000000003</v>
      </c>
      <c r="K936" s="5">
        <v>43468</v>
      </c>
      <c r="L936" s="4">
        <v>0.85</v>
      </c>
      <c r="M936" s="3" t="s">
        <v>33</v>
      </c>
      <c r="N936" s="2">
        <v>378.9</v>
      </c>
      <c r="O936" s="2">
        <v>4.7619047620000003</v>
      </c>
      <c r="P936" s="2">
        <v>18.945</v>
      </c>
      <c r="Q936" s="2">
        <v>9.8000000000000007</v>
      </c>
      <c r="R936" s="3"/>
      <c r="S936" s="1"/>
      <c r="T936" s="1"/>
      <c r="U936" s="1" t="s">
        <v>37</v>
      </c>
      <c r="V936" s="1" t="s">
        <v>37</v>
      </c>
      <c r="W936" s="1" t="s">
        <v>37</v>
      </c>
    </row>
    <row r="937" spans="1:23">
      <c r="A937" s="3" t="s">
        <v>5157</v>
      </c>
      <c r="B937" s="3" t="s">
        <v>39</v>
      </c>
      <c r="C937" s="3" t="s">
        <v>40</v>
      </c>
      <c r="D937" s="3" t="s">
        <v>24</v>
      </c>
      <c r="E937" s="3" t="s">
        <v>992</v>
      </c>
      <c r="F937" s="3" t="s">
        <v>53</v>
      </c>
      <c r="G937" s="2">
        <v>85.72</v>
      </c>
      <c r="H937" s="2">
        <v>3</v>
      </c>
      <c r="I937" s="2">
        <v>12.858000000000001</v>
      </c>
      <c r="J937" s="2">
        <v>270.01799999999997</v>
      </c>
      <c r="K937" s="5">
        <v>43489</v>
      </c>
      <c r="L937" s="4">
        <v>0.87430555555555556</v>
      </c>
      <c r="M937" s="3" t="s">
        <v>33</v>
      </c>
      <c r="N937" s="2">
        <v>257.16000000000003</v>
      </c>
      <c r="O937" s="2">
        <v>4.7619047620000003</v>
      </c>
      <c r="P937" s="2">
        <v>12.858000000000001</v>
      </c>
      <c r="Q937" s="2">
        <v>5.0999999999999996</v>
      </c>
      <c r="R937" s="3"/>
      <c r="S937" s="1"/>
      <c r="T937" s="1"/>
      <c r="U937" s="1" t="s">
        <v>37</v>
      </c>
      <c r="V937" s="1" t="s">
        <v>37</v>
      </c>
      <c r="W937" s="1" t="s">
        <v>37</v>
      </c>
    </row>
    <row r="938" spans="1:23">
      <c r="A938" s="3" t="s">
        <v>5162</v>
      </c>
      <c r="B938" s="3" t="s">
        <v>39</v>
      </c>
      <c r="C938" s="3" t="s">
        <v>40</v>
      </c>
      <c r="D938" s="3" t="s">
        <v>41</v>
      </c>
      <c r="E938" s="3" t="s">
        <v>25</v>
      </c>
      <c r="F938" s="3" t="s">
        <v>26</v>
      </c>
      <c r="G938" s="2">
        <v>78.89</v>
      </c>
      <c r="H938" s="2">
        <v>7</v>
      </c>
      <c r="I938" s="2">
        <v>27.611499999999999</v>
      </c>
      <c r="J938" s="2">
        <v>579.8415</v>
      </c>
      <c r="K938" s="5">
        <v>43470</v>
      </c>
      <c r="L938" s="4">
        <v>0.82499999999999996</v>
      </c>
      <c r="M938" s="3" t="s">
        <v>33</v>
      </c>
      <c r="N938" s="2">
        <v>552.23</v>
      </c>
      <c r="O938" s="2">
        <v>4.7619047620000003</v>
      </c>
      <c r="P938" s="2">
        <v>27.611499999999999</v>
      </c>
      <c r="Q938" s="2">
        <v>7.5</v>
      </c>
      <c r="R938" s="3"/>
      <c r="S938" s="1"/>
      <c r="T938" s="1"/>
      <c r="U938" s="1" t="s">
        <v>37</v>
      </c>
      <c r="V938" s="1" t="s">
        <v>37</v>
      </c>
      <c r="W938" s="1" t="s">
        <v>37</v>
      </c>
    </row>
    <row r="939" spans="1:23">
      <c r="A939" s="3" t="s">
        <v>5167</v>
      </c>
      <c r="B939" s="3" t="s">
        <v>22</v>
      </c>
      <c r="C939" s="3" t="s">
        <v>23</v>
      </c>
      <c r="D939" s="3" t="s">
        <v>41</v>
      </c>
      <c r="E939" s="3" t="s">
        <v>25</v>
      </c>
      <c r="F939" s="3" t="s">
        <v>72</v>
      </c>
      <c r="G939" s="2">
        <v>89.48</v>
      </c>
      <c r="H939" s="2">
        <v>5</v>
      </c>
      <c r="I939" s="2">
        <v>22.37</v>
      </c>
      <c r="J939" s="2">
        <v>469.77</v>
      </c>
      <c r="K939" s="5">
        <v>43554</v>
      </c>
      <c r="L939" s="4">
        <v>0.42916666666666664</v>
      </c>
      <c r="M939" s="3" t="s">
        <v>49</v>
      </c>
      <c r="N939" s="2">
        <v>447.4</v>
      </c>
      <c r="O939" s="2">
        <v>4.7619047620000003</v>
      </c>
      <c r="P939" s="2">
        <v>22.37</v>
      </c>
      <c r="Q939" s="2">
        <v>7.4</v>
      </c>
      <c r="R939" s="3"/>
      <c r="S939" s="1"/>
      <c r="T939" s="1"/>
      <c r="U939" s="1" t="s">
        <v>37</v>
      </c>
      <c r="V939" s="1" t="s">
        <v>37</v>
      </c>
      <c r="W939" s="1" t="s">
        <v>37</v>
      </c>
    </row>
    <row r="940" spans="1:23">
      <c r="A940" s="3" t="s">
        <v>5171</v>
      </c>
      <c r="B940" s="3" t="s">
        <v>22</v>
      </c>
      <c r="C940" s="3" t="s">
        <v>23</v>
      </c>
      <c r="D940" s="3" t="s">
        <v>24</v>
      </c>
      <c r="E940" s="3" t="s">
        <v>25</v>
      </c>
      <c r="F940" s="3" t="s">
        <v>26</v>
      </c>
      <c r="G940" s="2">
        <v>92.09</v>
      </c>
      <c r="H940" s="2">
        <v>3</v>
      </c>
      <c r="I940" s="2">
        <v>13.813499999999999</v>
      </c>
      <c r="J940" s="2">
        <v>290.08350000000002</v>
      </c>
      <c r="K940" s="5">
        <v>43513</v>
      </c>
      <c r="L940" s="4">
        <v>0.68541666666666667</v>
      </c>
      <c r="M940" s="3" t="s">
        <v>49</v>
      </c>
      <c r="N940" s="2">
        <v>276.27</v>
      </c>
      <c r="O940" s="2">
        <v>4.7619047620000003</v>
      </c>
      <c r="P940" s="2">
        <v>13.813499999999999</v>
      </c>
      <c r="Q940" s="2">
        <v>4.2</v>
      </c>
      <c r="R940" s="3"/>
      <c r="S940" s="1"/>
      <c r="T940" s="1"/>
      <c r="U940" s="1" t="s">
        <v>37</v>
      </c>
      <c r="V940" s="1" t="s">
        <v>37</v>
      </c>
      <c r="W940" s="1" t="s">
        <v>37</v>
      </c>
    </row>
    <row r="941" spans="1:23">
      <c r="A941" s="3" t="s">
        <v>5177</v>
      </c>
      <c r="B941" s="3" t="s">
        <v>39</v>
      </c>
      <c r="C941" s="3" t="s">
        <v>40</v>
      </c>
      <c r="D941" s="3" t="s">
        <v>41</v>
      </c>
      <c r="E941" s="3" t="s">
        <v>25</v>
      </c>
      <c r="F941" s="3" t="s">
        <v>117</v>
      </c>
      <c r="G941" s="2">
        <v>57.29</v>
      </c>
      <c r="H941" s="2">
        <v>6</v>
      </c>
      <c r="I941" s="2">
        <v>17.187000000000001</v>
      </c>
      <c r="J941" s="2">
        <v>360.92700000000002</v>
      </c>
      <c r="K941" s="5">
        <v>43545</v>
      </c>
      <c r="L941" s="4">
        <v>0.71111111111111114</v>
      </c>
      <c r="M941" s="3" t="s">
        <v>33</v>
      </c>
      <c r="N941" s="2">
        <v>343.74</v>
      </c>
      <c r="O941" s="2">
        <v>4.7619047620000003</v>
      </c>
      <c r="P941" s="2">
        <v>17.187000000000001</v>
      </c>
      <c r="Q941" s="2">
        <v>5.9</v>
      </c>
      <c r="R941" s="3"/>
      <c r="S941" s="1"/>
      <c r="T941" s="1"/>
      <c r="U941" s="1" t="s">
        <v>37</v>
      </c>
      <c r="V941" s="1" t="s">
        <v>37</v>
      </c>
      <c r="W941" s="1" t="s">
        <v>37</v>
      </c>
    </row>
    <row r="942" spans="1:23">
      <c r="A942" s="3" t="s">
        <v>5182</v>
      </c>
      <c r="B942" s="3" t="s">
        <v>22</v>
      </c>
      <c r="C942" s="3" t="s">
        <v>23</v>
      </c>
      <c r="D942" s="3" t="s">
        <v>41</v>
      </c>
      <c r="E942" s="3" t="s">
        <v>992</v>
      </c>
      <c r="F942" s="3" t="s">
        <v>117</v>
      </c>
      <c r="G942" s="2">
        <v>66.52</v>
      </c>
      <c r="H942" s="2">
        <v>4</v>
      </c>
      <c r="I942" s="2">
        <v>13.304</v>
      </c>
      <c r="J942" s="2">
        <v>279.38400000000001</v>
      </c>
      <c r="K942" s="5">
        <v>43526</v>
      </c>
      <c r="L942" s="4">
        <v>0.75972222222222219</v>
      </c>
      <c r="M942" s="3" t="s">
        <v>33</v>
      </c>
      <c r="N942" s="2">
        <v>266.08</v>
      </c>
      <c r="O942" s="2">
        <v>4.7619047620000003</v>
      </c>
      <c r="P942" s="2">
        <v>13.304</v>
      </c>
      <c r="Q942" s="2">
        <v>6.9</v>
      </c>
      <c r="R942" s="3"/>
      <c r="S942" s="1"/>
      <c r="T942" s="1"/>
      <c r="U942" s="1" t="s">
        <v>37</v>
      </c>
      <c r="V942" s="1" t="s">
        <v>37</v>
      </c>
      <c r="W942" s="1" t="s">
        <v>37</v>
      </c>
    </row>
    <row r="943" spans="1:23">
      <c r="A943" s="3" t="s">
        <v>5187</v>
      </c>
      <c r="B943" s="3" t="s">
        <v>39</v>
      </c>
      <c r="C943" s="3" t="s">
        <v>40</v>
      </c>
      <c r="D943" s="3" t="s">
        <v>24</v>
      </c>
      <c r="E943" s="3" t="s">
        <v>992</v>
      </c>
      <c r="F943" s="3" t="s">
        <v>127</v>
      </c>
      <c r="G943" s="2">
        <v>99.82</v>
      </c>
      <c r="H943" s="2">
        <v>9</v>
      </c>
      <c r="I943" s="2">
        <v>44.918999999999997</v>
      </c>
      <c r="J943" s="2">
        <v>943.29899999999998</v>
      </c>
      <c r="K943" s="5">
        <v>43551</v>
      </c>
      <c r="L943" s="4">
        <v>0.4465277777777778</v>
      </c>
      <c r="M943" s="3" t="s">
        <v>49</v>
      </c>
      <c r="N943" s="2">
        <v>898.38</v>
      </c>
      <c r="O943" s="2">
        <v>4.7619047620000003</v>
      </c>
      <c r="P943" s="2">
        <v>44.918999999999997</v>
      </c>
      <c r="Q943" s="2">
        <v>6.6</v>
      </c>
      <c r="R943" s="3"/>
      <c r="S943" s="1"/>
      <c r="T943" s="1"/>
      <c r="U943" s="1" t="s">
        <v>37</v>
      </c>
      <c r="V943" s="1" t="s">
        <v>37</v>
      </c>
      <c r="W943" s="1" t="s">
        <v>37</v>
      </c>
    </row>
    <row r="944" spans="1:23">
      <c r="A944" s="3" t="s">
        <v>5191</v>
      </c>
      <c r="B944" s="3" t="s">
        <v>22</v>
      </c>
      <c r="C944" s="3" t="s">
        <v>23</v>
      </c>
      <c r="D944" s="3" t="s">
        <v>41</v>
      </c>
      <c r="E944" s="3" t="s">
        <v>25</v>
      </c>
      <c r="F944" s="3" t="s">
        <v>53</v>
      </c>
      <c r="G944" s="2">
        <v>45.68</v>
      </c>
      <c r="H944" s="2">
        <v>10</v>
      </c>
      <c r="I944" s="2">
        <v>22.84</v>
      </c>
      <c r="J944" s="2">
        <v>479.64</v>
      </c>
      <c r="K944" s="5">
        <v>43484</v>
      </c>
      <c r="L944" s="4">
        <v>0.8125</v>
      </c>
      <c r="M944" s="3" t="s">
        <v>33</v>
      </c>
      <c r="N944" s="2">
        <v>456.8</v>
      </c>
      <c r="O944" s="2">
        <v>4.7619047620000003</v>
      </c>
      <c r="P944" s="2">
        <v>22.84</v>
      </c>
      <c r="Q944" s="2">
        <v>5.7</v>
      </c>
      <c r="R944" s="3"/>
      <c r="S944" s="1"/>
      <c r="T944" s="1"/>
      <c r="U944" s="1" t="s">
        <v>37</v>
      </c>
      <c r="V944" s="1" t="s">
        <v>37</v>
      </c>
      <c r="W944" s="1" t="s">
        <v>37</v>
      </c>
    </row>
    <row r="945" spans="1:23">
      <c r="A945" s="3" t="s">
        <v>5196</v>
      </c>
      <c r="B945" s="3" t="s">
        <v>22</v>
      </c>
      <c r="C945" s="3" t="s">
        <v>23</v>
      </c>
      <c r="D945" s="3" t="s">
        <v>41</v>
      </c>
      <c r="E945" s="3" t="s">
        <v>992</v>
      </c>
      <c r="F945" s="3" t="s">
        <v>26</v>
      </c>
      <c r="G945" s="2">
        <v>50.79</v>
      </c>
      <c r="H945" s="2">
        <v>5</v>
      </c>
      <c r="I945" s="2">
        <v>12.6975</v>
      </c>
      <c r="J945" s="2">
        <v>266.64749999999998</v>
      </c>
      <c r="K945" s="5">
        <v>43515</v>
      </c>
      <c r="L945" s="4">
        <v>0.62013888888888891</v>
      </c>
      <c r="M945" s="3" t="s">
        <v>59</v>
      </c>
      <c r="N945" s="2">
        <v>253.95</v>
      </c>
      <c r="O945" s="2">
        <v>4.7619047620000003</v>
      </c>
      <c r="P945" s="2">
        <v>12.6975</v>
      </c>
      <c r="Q945" s="2">
        <v>5.3</v>
      </c>
      <c r="R945" s="3"/>
      <c r="S945" s="1"/>
      <c r="T945" s="1"/>
      <c r="U945" s="1" t="s">
        <v>37</v>
      </c>
      <c r="V945" s="1" t="s">
        <v>37</v>
      </c>
      <c r="W945" s="1" t="s">
        <v>37</v>
      </c>
    </row>
    <row r="946" spans="1:23">
      <c r="A946" s="3" t="s">
        <v>5201</v>
      </c>
      <c r="B946" s="3" t="s">
        <v>22</v>
      </c>
      <c r="C946" s="3" t="s">
        <v>23</v>
      </c>
      <c r="D946" s="3" t="s">
        <v>24</v>
      </c>
      <c r="E946" s="3" t="s">
        <v>992</v>
      </c>
      <c r="F946" s="3" t="s">
        <v>26</v>
      </c>
      <c r="G946" s="2">
        <v>10.08</v>
      </c>
      <c r="H946" s="2">
        <v>7</v>
      </c>
      <c r="I946" s="2">
        <v>3.528</v>
      </c>
      <c r="J946" s="2">
        <v>74.087999999999994</v>
      </c>
      <c r="K946" s="5">
        <v>43552</v>
      </c>
      <c r="L946" s="4">
        <v>0.84305555555555556</v>
      </c>
      <c r="M946" s="3" t="s">
        <v>49</v>
      </c>
      <c r="N946" s="2">
        <v>70.56</v>
      </c>
      <c r="O946" s="2">
        <v>4.7619047620000003</v>
      </c>
      <c r="P946" s="2">
        <v>3.528</v>
      </c>
      <c r="Q946" s="2">
        <v>4.2</v>
      </c>
      <c r="R946" s="3"/>
      <c r="S946" s="1"/>
      <c r="T946" s="1"/>
      <c r="U946" s="1" t="s">
        <v>37</v>
      </c>
      <c r="V946" s="1" t="s">
        <v>37</v>
      </c>
      <c r="W946" s="1" t="s">
        <v>37</v>
      </c>
    </row>
    <row r="947" spans="1:23">
      <c r="A947" s="3" t="s">
        <v>5206</v>
      </c>
      <c r="B947" s="3" t="s">
        <v>22</v>
      </c>
      <c r="C947" s="3" t="s">
        <v>23</v>
      </c>
      <c r="D947" s="3" t="s">
        <v>41</v>
      </c>
      <c r="E947" s="3" t="s">
        <v>25</v>
      </c>
      <c r="F947" s="3" t="s">
        <v>42</v>
      </c>
      <c r="G947" s="2">
        <v>93.88</v>
      </c>
      <c r="H947" s="2">
        <v>7</v>
      </c>
      <c r="I947" s="2">
        <v>32.857999999999997</v>
      </c>
      <c r="J947" s="2">
        <v>690.01800000000003</v>
      </c>
      <c r="K947" s="5">
        <v>43470</v>
      </c>
      <c r="L947" s="4">
        <v>0.49375000000000002</v>
      </c>
      <c r="M947" s="3" t="s">
        <v>59</v>
      </c>
      <c r="N947" s="2">
        <v>657.16</v>
      </c>
      <c r="O947" s="2">
        <v>4.7619047620000003</v>
      </c>
      <c r="P947" s="2">
        <v>32.857999999999997</v>
      </c>
      <c r="Q947" s="2">
        <v>7.3</v>
      </c>
      <c r="R947" s="3"/>
      <c r="S947" s="1"/>
      <c r="T947" s="1"/>
      <c r="U947" s="1" t="s">
        <v>37</v>
      </c>
      <c r="V947" s="1" t="s">
        <v>37</v>
      </c>
      <c r="W947" s="1" t="s">
        <v>37</v>
      </c>
    </row>
    <row r="948" spans="1:23">
      <c r="A948" s="3" t="s">
        <v>5211</v>
      </c>
      <c r="B948" s="3" t="s">
        <v>39</v>
      </c>
      <c r="C948" s="3" t="s">
        <v>40</v>
      </c>
      <c r="D948" s="3" t="s">
        <v>24</v>
      </c>
      <c r="E948" s="3" t="s">
        <v>992</v>
      </c>
      <c r="F948" s="3" t="s">
        <v>42</v>
      </c>
      <c r="G948" s="2">
        <v>84.25</v>
      </c>
      <c r="H948" s="2">
        <v>2</v>
      </c>
      <c r="I948" s="2">
        <v>8.4250000000000007</v>
      </c>
      <c r="J948" s="2">
        <v>176.92500000000001</v>
      </c>
      <c r="K948" s="5">
        <v>43550</v>
      </c>
      <c r="L948" s="4">
        <v>0.59236111111111112</v>
      </c>
      <c r="M948" s="3" t="s">
        <v>59</v>
      </c>
      <c r="N948" s="2">
        <v>168.5</v>
      </c>
      <c r="O948" s="2">
        <v>4.7619047620000003</v>
      </c>
      <c r="P948" s="2">
        <v>8.4250000000000007</v>
      </c>
      <c r="Q948" s="2">
        <v>5.3</v>
      </c>
      <c r="R948" s="3"/>
      <c r="S948" s="1"/>
      <c r="T948" s="1"/>
      <c r="U948" s="1" t="s">
        <v>37</v>
      </c>
      <c r="V948" s="1" t="s">
        <v>37</v>
      </c>
      <c r="W948" s="1" t="s">
        <v>37</v>
      </c>
    </row>
    <row r="949" spans="1:23">
      <c r="A949" s="3" t="s">
        <v>5216</v>
      </c>
      <c r="B949" s="3" t="s">
        <v>115</v>
      </c>
      <c r="C949" s="3" t="s">
        <v>116</v>
      </c>
      <c r="D949" s="3" t="s">
        <v>24</v>
      </c>
      <c r="E949" s="3" t="s">
        <v>992</v>
      </c>
      <c r="F949" s="3" t="s">
        <v>127</v>
      </c>
      <c r="G949" s="2">
        <v>53.78</v>
      </c>
      <c r="H949" s="2">
        <v>1</v>
      </c>
      <c r="I949" s="2">
        <v>2.6890000000000001</v>
      </c>
      <c r="J949" s="2">
        <v>56.469000000000001</v>
      </c>
      <c r="K949" s="5">
        <v>43499</v>
      </c>
      <c r="L949" s="4">
        <v>0.84236111111111112</v>
      </c>
      <c r="M949" s="3" t="s">
        <v>33</v>
      </c>
      <c r="N949" s="2">
        <v>53.78</v>
      </c>
      <c r="O949" s="2">
        <v>4.7619047620000003</v>
      </c>
      <c r="P949" s="2">
        <v>2.6890000000000001</v>
      </c>
      <c r="Q949" s="2">
        <v>4.7</v>
      </c>
      <c r="R949" s="3"/>
      <c r="S949" s="1"/>
      <c r="T949" s="1"/>
      <c r="U949" s="1" t="s">
        <v>37</v>
      </c>
      <c r="V949" s="1" t="s">
        <v>37</v>
      </c>
      <c r="W949" s="1" t="s">
        <v>37</v>
      </c>
    </row>
    <row r="950" spans="1:23">
      <c r="A950" s="3" t="s">
        <v>5220</v>
      </c>
      <c r="B950" s="3" t="s">
        <v>39</v>
      </c>
      <c r="C950" s="3" t="s">
        <v>40</v>
      </c>
      <c r="D950" s="3" t="s">
        <v>24</v>
      </c>
      <c r="E950" s="3" t="s">
        <v>992</v>
      </c>
      <c r="F950" s="3" t="s">
        <v>53</v>
      </c>
      <c r="G950" s="2">
        <v>35.81</v>
      </c>
      <c r="H950" s="2">
        <v>5</v>
      </c>
      <c r="I950" s="2">
        <v>8.9525000000000006</v>
      </c>
      <c r="J950" s="2">
        <v>188.0025</v>
      </c>
      <c r="K950" s="5">
        <v>43502</v>
      </c>
      <c r="L950" s="4">
        <v>0.78055555555555556</v>
      </c>
      <c r="M950" s="3" t="s">
        <v>33</v>
      </c>
      <c r="N950" s="2">
        <v>179.05</v>
      </c>
      <c r="O950" s="2">
        <v>4.7619047620000003</v>
      </c>
      <c r="P950" s="2">
        <v>8.9525000000000006</v>
      </c>
      <c r="Q950" s="2">
        <v>7.9</v>
      </c>
      <c r="R950" s="3"/>
      <c r="S950" s="1"/>
      <c r="T950" s="1"/>
      <c r="U950" s="1" t="s">
        <v>37</v>
      </c>
      <c r="V950" s="1" t="s">
        <v>37</v>
      </c>
      <c r="W950" s="1" t="s">
        <v>37</v>
      </c>
    </row>
    <row r="951" spans="1:23">
      <c r="A951" s="3" t="s">
        <v>5225</v>
      </c>
      <c r="B951" s="3" t="s">
        <v>115</v>
      </c>
      <c r="C951" s="3" t="s">
        <v>116</v>
      </c>
      <c r="D951" s="3" t="s">
        <v>41</v>
      </c>
      <c r="E951" s="3" t="s">
        <v>25</v>
      </c>
      <c r="F951" s="3" t="s">
        <v>117</v>
      </c>
      <c r="G951" s="2">
        <v>26.43</v>
      </c>
      <c r="H951" s="2">
        <v>8</v>
      </c>
      <c r="I951" s="2">
        <v>10.571999999999999</v>
      </c>
      <c r="J951" s="2">
        <v>222.012</v>
      </c>
      <c r="K951" s="5">
        <v>43520</v>
      </c>
      <c r="L951" s="4">
        <v>0.60138888888888886</v>
      </c>
      <c r="M951" s="3" t="s">
        <v>33</v>
      </c>
      <c r="N951" s="2">
        <v>211.44</v>
      </c>
      <c r="O951" s="2">
        <v>4.7619047620000003</v>
      </c>
      <c r="P951" s="2">
        <v>10.571999999999999</v>
      </c>
      <c r="Q951" s="2">
        <v>8.9</v>
      </c>
      <c r="R951" s="3"/>
      <c r="S951" s="1"/>
      <c r="T951" s="1"/>
      <c r="U951" s="1" t="s">
        <v>37</v>
      </c>
      <c r="V951" s="1" t="s">
        <v>37</v>
      </c>
      <c r="W951" s="1" t="s">
        <v>37</v>
      </c>
    </row>
    <row r="952" spans="1:23">
      <c r="A952" s="3" t="s">
        <v>5230</v>
      </c>
      <c r="B952" s="3" t="s">
        <v>115</v>
      </c>
      <c r="C952" s="3" t="s">
        <v>116</v>
      </c>
      <c r="D952" s="3" t="s">
        <v>24</v>
      </c>
      <c r="E952" s="3" t="s">
        <v>992</v>
      </c>
      <c r="F952" s="3" t="s">
        <v>26</v>
      </c>
      <c r="G952" s="2">
        <v>39.909999999999997</v>
      </c>
      <c r="H952" s="2">
        <v>3</v>
      </c>
      <c r="I952" s="2">
        <v>5.9865000000000004</v>
      </c>
      <c r="J952" s="2">
        <v>125.7165</v>
      </c>
      <c r="K952" s="5">
        <v>43517</v>
      </c>
      <c r="L952" s="4">
        <v>0.52777777777777779</v>
      </c>
      <c r="M952" s="3" t="s">
        <v>33</v>
      </c>
      <c r="N952" s="2">
        <v>119.73</v>
      </c>
      <c r="O952" s="2">
        <v>4.7619047620000003</v>
      </c>
      <c r="P952" s="2">
        <v>5.9865000000000004</v>
      </c>
      <c r="Q952" s="2">
        <v>9.3000000000000007</v>
      </c>
      <c r="R952" s="3"/>
      <c r="S952" s="1"/>
      <c r="T952" s="1"/>
      <c r="U952" s="1" t="s">
        <v>37</v>
      </c>
      <c r="V952" s="1" t="s">
        <v>37</v>
      </c>
      <c r="W952" s="1" t="s">
        <v>37</v>
      </c>
    </row>
    <row r="953" spans="1:23">
      <c r="A953" s="3" t="s">
        <v>5235</v>
      </c>
      <c r="B953" s="3" t="s">
        <v>115</v>
      </c>
      <c r="C953" s="3" t="s">
        <v>116</v>
      </c>
      <c r="D953" s="3" t="s">
        <v>24</v>
      </c>
      <c r="E953" s="3" t="s">
        <v>25</v>
      </c>
      <c r="F953" s="3" t="s">
        <v>53</v>
      </c>
      <c r="G953" s="2">
        <v>21.9</v>
      </c>
      <c r="H953" s="2">
        <v>3</v>
      </c>
      <c r="I953" s="2">
        <v>3.2850000000000001</v>
      </c>
      <c r="J953" s="2">
        <v>68.984999999999999</v>
      </c>
      <c r="K953" s="5">
        <v>43474</v>
      </c>
      <c r="L953" s="4">
        <v>0.77986111111111112</v>
      </c>
      <c r="M953" s="3" t="s">
        <v>33</v>
      </c>
      <c r="N953" s="2">
        <v>65.7</v>
      </c>
      <c r="O953" s="2">
        <v>4.7619047620000003</v>
      </c>
      <c r="P953" s="2">
        <v>3.2850000000000001</v>
      </c>
      <c r="Q953" s="2">
        <v>4.7</v>
      </c>
      <c r="R953" s="3"/>
      <c r="S953" s="1"/>
      <c r="T953" s="1"/>
      <c r="U953" s="1" t="s">
        <v>37</v>
      </c>
      <c r="V953" s="1" t="s">
        <v>37</v>
      </c>
      <c r="W953" s="1" t="s">
        <v>37</v>
      </c>
    </row>
    <row r="954" spans="1:23">
      <c r="A954" s="3" t="s">
        <v>5240</v>
      </c>
      <c r="B954" s="3" t="s">
        <v>115</v>
      </c>
      <c r="C954" s="3" t="s">
        <v>116</v>
      </c>
      <c r="D954" s="3" t="s">
        <v>24</v>
      </c>
      <c r="E954" s="3" t="s">
        <v>25</v>
      </c>
      <c r="F954" s="3" t="s">
        <v>117</v>
      </c>
      <c r="G954" s="2">
        <v>62.85</v>
      </c>
      <c r="H954" s="2">
        <v>4</v>
      </c>
      <c r="I954" s="2">
        <v>12.57</v>
      </c>
      <c r="J954" s="2">
        <v>263.97000000000003</v>
      </c>
      <c r="K954" s="5">
        <v>43521</v>
      </c>
      <c r="L954" s="4">
        <v>0.55694444444444446</v>
      </c>
      <c r="M954" s="3" t="s">
        <v>33</v>
      </c>
      <c r="N954" s="2">
        <v>251.4</v>
      </c>
      <c r="O954" s="2">
        <v>4.7619047620000003</v>
      </c>
      <c r="P954" s="2">
        <v>12.57</v>
      </c>
      <c r="Q954" s="2">
        <v>8.6999999999999993</v>
      </c>
      <c r="R954" s="3"/>
      <c r="S954" s="1"/>
      <c r="T954" s="1"/>
      <c r="U954" s="1" t="s">
        <v>37</v>
      </c>
      <c r="V954" s="1" t="s">
        <v>37</v>
      </c>
      <c r="W954" s="1" t="s">
        <v>37</v>
      </c>
    </row>
    <row r="955" spans="1:23">
      <c r="A955" s="3" t="s">
        <v>5242</v>
      </c>
      <c r="B955" s="3" t="s">
        <v>39</v>
      </c>
      <c r="C955" s="3" t="s">
        <v>40</v>
      </c>
      <c r="D955" s="3" t="s">
        <v>24</v>
      </c>
      <c r="E955" s="3" t="s">
        <v>25</v>
      </c>
      <c r="F955" s="3" t="s">
        <v>117</v>
      </c>
      <c r="G955" s="2">
        <v>21.04</v>
      </c>
      <c r="H955" s="2">
        <v>4</v>
      </c>
      <c r="I955" s="2">
        <v>4.2080000000000002</v>
      </c>
      <c r="J955" s="2">
        <v>88.367999999999995</v>
      </c>
      <c r="K955" s="5">
        <v>43478</v>
      </c>
      <c r="L955" s="4">
        <v>0.58194444444444449</v>
      </c>
      <c r="M955" s="3" t="s">
        <v>49</v>
      </c>
      <c r="N955" s="2">
        <v>84.16</v>
      </c>
      <c r="O955" s="2">
        <v>4.7619047620000003</v>
      </c>
      <c r="P955" s="2">
        <v>4.2080000000000002</v>
      </c>
      <c r="Q955" s="2">
        <v>7.6</v>
      </c>
      <c r="R955" s="3"/>
      <c r="S955" s="1"/>
      <c r="T955" s="1"/>
      <c r="U955" s="1" t="s">
        <v>37</v>
      </c>
      <c r="V955" s="1" t="s">
        <v>37</v>
      </c>
      <c r="W955" s="1" t="s">
        <v>37</v>
      </c>
    </row>
    <row r="956" spans="1:23">
      <c r="A956" s="3" t="s">
        <v>5247</v>
      </c>
      <c r="B956" s="3" t="s">
        <v>115</v>
      </c>
      <c r="C956" s="3" t="s">
        <v>116</v>
      </c>
      <c r="D956" s="3" t="s">
        <v>24</v>
      </c>
      <c r="E956" s="3" t="s">
        <v>992</v>
      </c>
      <c r="F956" s="3" t="s">
        <v>53</v>
      </c>
      <c r="G956" s="2">
        <v>65.91</v>
      </c>
      <c r="H956" s="2">
        <v>6</v>
      </c>
      <c r="I956" s="2">
        <v>19.773</v>
      </c>
      <c r="J956" s="2">
        <v>415.233</v>
      </c>
      <c r="K956" s="5">
        <v>43505</v>
      </c>
      <c r="L956" s="4">
        <v>0.48958333333333331</v>
      </c>
      <c r="M956" s="3" t="s">
        <v>49</v>
      </c>
      <c r="N956" s="2">
        <v>395.46</v>
      </c>
      <c r="O956" s="2">
        <v>4.7619047620000003</v>
      </c>
      <c r="P956" s="2">
        <v>19.773</v>
      </c>
      <c r="Q956" s="2">
        <v>5.7</v>
      </c>
      <c r="R956" s="3"/>
      <c r="S956" s="1"/>
      <c r="T956" s="1"/>
      <c r="U956" s="1" t="s">
        <v>37</v>
      </c>
      <c r="V956" s="1" t="s">
        <v>37</v>
      </c>
      <c r="W956" s="1" t="s">
        <v>37</v>
      </c>
    </row>
    <row r="957" spans="1:23">
      <c r="A957" s="3" t="s">
        <v>5252</v>
      </c>
      <c r="B957" s="3" t="s">
        <v>22</v>
      </c>
      <c r="C957" s="3" t="s">
        <v>23</v>
      </c>
      <c r="D957" s="3" t="s">
        <v>41</v>
      </c>
      <c r="E957" s="3" t="s">
        <v>25</v>
      </c>
      <c r="F957" s="3" t="s">
        <v>127</v>
      </c>
      <c r="G957" s="2">
        <v>42.57</v>
      </c>
      <c r="H957" s="2">
        <v>7</v>
      </c>
      <c r="I957" s="2">
        <v>14.8995</v>
      </c>
      <c r="J957" s="2">
        <v>312.8895</v>
      </c>
      <c r="K957" s="5">
        <v>43471</v>
      </c>
      <c r="L957" s="4">
        <v>0.49375000000000002</v>
      </c>
      <c r="M957" s="3" t="s">
        <v>49</v>
      </c>
      <c r="N957" s="2">
        <v>297.99</v>
      </c>
      <c r="O957" s="2">
        <v>4.7619047620000003</v>
      </c>
      <c r="P957" s="2">
        <v>14.8995</v>
      </c>
      <c r="Q957" s="2">
        <v>6.8</v>
      </c>
      <c r="R957" s="3"/>
      <c r="S957" s="1"/>
      <c r="T957" s="1"/>
      <c r="U957" s="1" t="s">
        <v>37</v>
      </c>
      <c r="V957" s="1" t="s">
        <v>37</v>
      </c>
      <c r="W957" s="1" t="s">
        <v>37</v>
      </c>
    </row>
    <row r="958" spans="1:23">
      <c r="A958" s="3" t="s">
        <v>5256</v>
      </c>
      <c r="B958" s="3" t="s">
        <v>39</v>
      </c>
      <c r="C958" s="3" t="s">
        <v>40</v>
      </c>
      <c r="D958" s="3" t="s">
        <v>24</v>
      </c>
      <c r="E958" s="3" t="s">
        <v>992</v>
      </c>
      <c r="F958" s="3" t="s">
        <v>117</v>
      </c>
      <c r="G958" s="2">
        <v>50.49</v>
      </c>
      <c r="H958" s="2">
        <v>9</v>
      </c>
      <c r="I958" s="2">
        <v>22.720500000000001</v>
      </c>
      <c r="J958" s="2">
        <v>477.13049999999998</v>
      </c>
      <c r="K958" s="5">
        <v>43475</v>
      </c>
      <c r="L958" s="4">
        <v>0.71944444444444444</v>
      </c>
      <c r="M958" s="3" t="s">
        <v>49</v>
      </c>
      <c r="N958" s="2">
        <v>454.41</v>
      </c>
      <c r="O958" s="2">
        <v>4.7619047620000003</v>
      </c>
      <c r="P958" s="2">
        <v>22.720500000000001</v>
      </c>
      <c r="Q958" s="2">
        <v>5.4</v>
      </c>
      <c r="R958" s="3"/>
      <c r="S958" s="1"/>
      <c r="T958" s="1"/>
      <c r="U958" s="1" t="s">
        <v>37</v>
      </c>
      <c r="V958" s="1" t="s">
        <v>37</v>
      </c>
      <c r="W958" s="1" t="s">
        <v>37</v>
      </c>
    </row>
    <row r="959" spans="1:23">
      <c r="A959" s="3" t="s">
        <v>5261</v>
      </c>
      <c r="B959" s="3" t="s">
        <v>115</v>
      </c>
      <c r="C959" s="3" t="s">
        <v>116</v>
      </c>
      <c r="D959" s="3" t="s">
        <v>41</v>
      </c>
      <c r="E959" s="3" t="s">
        <v>992</v>
      </c>
      <c r="F959" s="3" t="s">
        <v>42</v>
      </c>
      <c r="G959" s="2">
        <v>46.02</v>
      </c>
      <c r="H959" s="2">
        <v>6</v>
      </c>
      <c r="I959" s="2">
        <v>13.805999999999999</v>
      </c>
      <c r="J959" s="2">
        <v>289.92599999999999</v>
      </c>
      <c r="K959" s="5">
        <v>43503</v>
      </c>
      <c r="L959" s="4">
        <v>0.66319444444444442</v>
      </c>
      <c r="M959" s="3" t="s">
        <v>49</v>
      </c>
      <c r="N959" s="2">
        <v>276.12</v>
      </c>
      <c r="O959" s="2">
        <v>4.7619047620000003</v>
      </c>
      <c r="P959" s="2">
        <v>13.805999999999999</v>
      </c>
      <c r="Q959" s="2">
        <v>7.1</v>
      </c>
      <c r="R959" s="3"/>
      <c r="S959" s="1"/>
      <c r="T959" s="1"/>
      <c r="U959" s="1" t="s">
        <v>37</v>
      </c>
      <c r="V959" s="1" t="s">
        <v>37</v>
      </c>
      <c r="W959" s="1" t="s">
        <v>37</v>
      </c>
    </row>
    <row r="960" spans="1:23">
      <c r="A960" s="3" t="s">
        <v>5266</v>
      </c>
      <c r="B960" s="3" t="s">
        <v>39</v>
      </c>
      <c r="C960" s="3" t="s">
        <v>40</v>
      </c>
      <c r="D960" s="3" t="s">
        <v>41</v>
      </c>
      <c r="E960" s="3" t="s">
        <v>25</v>
      </c>
      <c r="F960" s="3" t="s">
        <v>53</v>
      </c>
      <c r="G960" s="2">
        <v>15.8</v>
      </c>
      <c r="H960" s="2">
        <v>10</v>
      </c>
      <c r="I960" s="2">
        <v>7.9</v>
      </c>
      <c r="J960" s="2">
        <v>165.9</v>
      </c>
      <c r="K960" s="5">
        <v>43474</v>
      </c>
      <c r="L960" s="4">
        <v>0.50486111111111109</v>
      </c>
      <c r="M960" s="3" t="s">
        <v>49</v>
      </c>
      <c r="N960" s="2">
        <v>158</v>
      </c>
      <c r="O960" s="2">
        <v>4.7619047620000003</v>
      </c>
      <c r="P960" s="2">
        <v>7.9</v>
      </c>
      <c r="Q960" s="2">
        <v>7.8</v>
      </c>
      <c r="R960" s="3"/>
      <c r="S960" s="1"/>
      <c r="T960" s="1"/>
      <c r="U960" s="1" t="s">
        <v>37</v>
      </c>
      <c r="V960" s="1" t="s">
        <v>37</v>
      </c>
      <c r="W960" s="1" t="s">
        <v>37</v>
      </c>
    </row>
    <row r="961" spans="1:23">
      <c r="A961" s="3" t="s">
        <v>5270</v>
      </c>
      <c r="B961" s="3" t="s">
        <v>22</v>
      </c>
      <c r="C961" s="3" t="s">
        <v>23</v>
      </c>
      <c r="D961" s="3" t="s">
        <v>24</v>
      </c>
      <c r="E961" s="3" t="s">
        <v>25</v>
      </c>
      <c r="F961" s="3" t="s">
        <v>117</v>
      </c>
      <c r="G961" s="2">
        <v>98.66</v>
      </c>
      <c r="H961" s="2">
        <v>9</v>
      </c>
      <c r="I961" s="2">
        <v>44.396999999999998</v>
      </c>
      <c r="J961" s="2">
        <v>932.33699999999999</v>
      </c>
      <c r="K961" s="5">
        <v>43515</v>
      </c>
      <c r="L961" s="4">
        <v>0.62986111111111109</v>
      </c>
      <c r="M961" s="3" t="s">
        <v>49</v>
      </c>
      <c r="N961" s="2">
        <v>887.94</v>
      </c>
      <c r="O961" s="2">
        <v>4.7619047620000003</v>
      </c>
      <c r="P961" s="2">
        <v>44.396999999999998</v>
      </c>
      <c r="Q961" s="2">
        <v>8.4</v>
      </c>
      <c r="R961" s="3"/>
      <c r="S961" s="1"/>
      <c r="T961" s="1"/>
      <c r="U961" s="1" t="s">
        <v>37</v>
      </c>
      <c r="V961" s="1" t="s">
        <v>37</v>
      </c>
      <c r="W961" s="1" t="s">
        <v>37</v>
      </c>
    </row>
    <row r="962" spans="1:23">
      <c r="A962" s="3" t="s">
        <v>5275</v>
      </c>
      <c r="B962" s="3" t="s">
        <v>39</v>
      </c>
      <c r="C962" s="3" t="s">
        <v>40</v>
      </c>
      <c r="D962" s="3" t="s">
        <v>24</v>
      </c>
      <c r="E962" s="3" t="s">
        <v>992</v>
      </c>
      <c r="F962" s="3" t="s">
        <v>127</v>
      </c>
      <c r="G962" s="2">
        <v>91.98</v>
      </c>
      <c r="H962" s="2">
        <v>1</v>
      </c>
      <c r="I962" s="2">
        <v>4.5990000000000002</v>
      </c>
      <c r="J962" s="2">
        <v>96.578999999999994</v>
      </c>
      <c r="K962" s="5">
        <v>43542</v>
      </c>
      <c r="L962" s="4">
        <v>0.64513888888888893</v>
      </c>
      <c r="M962" s="3" t="s">
        <v>49</v>
      </c>
      <c r="N962" s="2">
        <v>91.98</v>
      </c>
      <c r="O962" s="2">
        <v>4.7619047620000003</v>
      </c>
      <c r="P962" s="2">
        <v>4.5990000000000002</v>
      </c>
      <c r="Q962" s="2">
        <v>9.8000000000000007</v>
      </c>
      <c r="R962" s="3"/>
      <c r="S962" s="1"/>
      <c r="T962" s="1"/>
      <c r="U962" s="1" t="s">
        <v>37</v>
      </c>
      <c r="V962" s="1" t="s">
        <v>37</v>
      </c>
      <c r="W962" s="1" t="s">
        <v>37</v>
      </c>
    </row>
    <row r="963" spans="1:23">
      <c r="A963" s="3" t="s">
        <v>5279</v>
      </c>
      <c r="B963" s="3" t="s">
        <v>22</v>
      </c>
      <c r="C963" s="3" t="s">
        <v>23</v>
      </c>
      <c r="D963" s="3" t="s">
        <v>24</v>
      </c>
      <c r="E963" s="3" t="s">
        <v>992</v>
      </c>
      <c r="F963" s="3" t="s">
        <v>42</v>
      </c>
      <c r="G963" s="2">
        <v>20.89</v>
      </c>
      <c r="H963" s="2">
        <v>2</v>
      </c>
      <c r="I963" s="2">
        <v>2.089</v>
      </c>
      <c r="J963" s="2">
        <v>43.869</v>
      </c>
      <c r="K963" s="5">
        <v>43501</v>
      </c>
      <c r="L963" s="4">
        <v>0.78125</v>
      </c>
      <c r="M963" s="3" t="s">
        <v>49</v>
      </c>
      <c r="N963" s="2">
        <v>41.78</v>
      </c>
      <c r="O963" s="2">
        <v>4.7619047620000003</v>
      </c>
      <c r="P963" s="2">
        <v>2.089</v>
      </c>
      <c r="Q963" s="2">
        <v>9.8000000000000007</v>
      </c>
      <c r="R963" s="3"/>
      <c r="S963" s="1"/>
      <c r="T963" s="1"/>
      <c r="U963" s="1" t="s">
        <v>37</v>
      </c>
      <c r="V963" s="1" t="s">
        <v>37</v>
      </c>
      <c r="W963" s="1" t="s">
        <v>37</v>
      </c>
    </row>
    <row r="964" spans="1:23">
      <c r="A964" s="3" t="s">
        <v>5284</v>
      </c>
      <c r="B964" s="3" t="s">
        <v>22</v>
      </c>
      <c r="C964" s="3" t="s">
        <v>23</v>
      </c>
      <c r="D964" s="3" t="s">
        <v>41</v>
      </c>
      <c r="E964" s="3" t="s">
        <v>25</v>
      </c>
      <c r="F964" s="3" t="s">
        <v>127</v>
      </c>
      <c r="G964" s="2">
        <v>15.5</v>
      </c>
      <c r="H964" s="2">
        <v>1</v>
      </c>
      <c r="I964" s="2">
        <v>0.77500000000000002</v>
      </c>
      <c r="J964" s="2">
        <v>16.274999999999999</v>
      </c>
      <c r="K964" s="5">
        <v>43543</v>
      </c>
      <c r="L964" s="4">
        <v>0.64097222222222228</v>
      </c>
      <c r="M964" s="3" t="s">
        <v>59</v>
      </c>
      <c r="N964" s="2">
        <v>15.5</v>
      </c>
      <c r="O964" s="2">
        <v>4.7619047620000003</v>
      </c>
      <c r="P964" s="2">
        <v>0.77500000000000002</v>
      </c>
      <c r="Q964" s="2">
        <v>7.4</v>
      </c>
      <c r="R964" s="3"/>
      <c r="S964" s="1"/>
      <c r="T964" s="1"/>
      <c r="U964" s="1" t="s">
        <v>37</v>
      </c>
      <c r="V964" s="1" t="s">
        <v>37</v>
      </c>
      <c r="W964" s="1" t="s">
        <v>37</v>
      </c>
    </row>
    <row r="965" spans="1:23">
      <c r="A965" s="3" t="s">
        <v>5288</v>
      </c>
      <c r="B965" s="3" t="s">
        <v>39</v>
      </c>
      <c r="C965" s="3" t="s">
        <v>40</v>
      </c>
      <c r="D965" s="3" t="s">
        <v>24</v>
      </c>
      <c r="E965" s="3" t="s">
        <v>992</v>
      </c>
      <c r="F965" s="3" t="s">
        <v>42</v>
      </c>
      <c r="G965" s="2">
        <v>96.82</v>
      </c>
      <c r="H965" s="2">
        <v>3</v>
      </c>
      <c r="I965" s="2">
        <v>14.523</v>
      </c>
      <c r="J965" s="2">
        <v>304.983</v>
      </c>
      <c r="K965" s="5">
        <v>43554</v>
      </c>
      <c r="L965" s="4">
        <v>0.85902777777777772</v>
      </c>
      <c r="M965" s="3" t="s">
        <v>49</v>
      </c>
      <c r="N965" s="2">
        <v>290.45999999999998</v>
      </c>
      <c r="O965" s="2">
        <v>4.7619047620000003</v>
      </c>
      <c r="P965" s="2">
        <v>14.523</v>
      </c>
      <c r="Q965" s="2">
        <v>6.7</v>
      </c>
      <c r="R965" s="3"/>
      <c r="S965" s="1"/>
      <c r="T965" s="1"/>
      <c r="U965" s="1" t="s">
        <v>37</v>
      </c>
      <c r="V965" s="1" t="s">
        <v>37</v>
      </c>
      <c r="W965" s="1" t="s">
        <v>37</v>
      </c>
    </row>
    <row r="966" spans="1:23">
      <c r="A966" s="3" t="s">
        <v>5293</v>
      </c>
      <c r="B966" s="3" t="s">
        <v>115</v>
      </c>
      <c r="C966" s="3" t="s">
        <v>116</v>
      </c>
      <c r="D966" s="3" t="s">
        <v>41</v>
      </c>
      <c r="E966" s="3" t="s">
        <v>992</v>
      </c>
      <c r="F966" s="3" t="s">
        <v>117</v>
      </c>
      <c r="G966" s="2">
        <v>33.33</v>
      </c>
      <c r="H966" s="2">
        <v>2</v>
      </c>
      <c r="I966" s="2">
        <v>3.3330000000000002</v>
      </c>
      <c r="J966" s="2">
        <v>69.992999999999995</v>
      </c>
      <c r="K966" s="5">
        <v>43491</v>
      </c>
      <c r="L966" s="4">
        <v>0.6118055555555556</v>
      </c>
      <c r="M966" s="3" t="s">
        <v>59</v>
      </c>
      <c r="N966" s="2">
        <v>66.66</v>
      </c>
      <c r="O966" s="2">
        <v>4.7619047620000003</v>
      </c>
      <c r="P966" s="2">
        <v>3.3330000000000002</v>
      </c>
      <c r="Q966" s="2">
        <v>6.4</v>
      </c>
      <c r="R966" s="3"/>
      <c r="S966" s="1"/>
      <c r="T966" s="1"/>
      <c r="U966" s="1" t="s">
        <v>37</v>
      </c>
      <c r="V966" s="1" t="s">
        <v>37</v>
      </c>
      <c r="W966" s="1" t="s">
        <v>37</v>
      </c>
    </row>
    <row r="967" spans="1:23">
      <c r="A967" s="3" t="s">
        <v>5298</v>
      </c>
      <c r="B967" s="3" t="s">
        <v>115</v>
      </c>
      <c r="C967" s="3" t="s">
        <v>116</v>
      </c>
      <c r="D967" s="3" t="s">
        <v>41</v>
      </c>
      <c r="E967" s="3" t="s">
        <v>25</v>
      </c>
      <c r="F967" s="3" t="s">
        <v>42</v>
      </c>
      <c r="G967" s="2">
        <v>38.270000000000003</v>
      </c>
      <c r="H967" s="2">
        <v>2</v>
      </c>
      <c r="I967" s="2">
        <v>3.827</v>
      </c>
      <c r="J967" s="2">
        <v>80.367000000000004</v>
      </c>
      <c r="K967" s="5">
        <v>43526</v>
      </c>
      <c r="L967" s="4">
        <v>0.76249999999999996</v>
      </c>
      <c r="M967" s="3" t="s">
        <v>59</v>
      </c>
      <c r="N967" s="2">
        <v>76.540000000000006</v>
      </c>
      <c r="O967" s="2">
        <v>4.7619047620000003</v>
      </c>
      <c r="P967" s="2">
        <v>3.827</v>
      </c>
      <c r="Q967" s="2">
        <v>5.8</v>
      </c>
      <c r="R967" s="3"/>
      <c r="S967" s="1"/>
      <c r="T967" s="1"/>
      <c r="U967" s="1" t="s">
        <v>37</v>
      </c>
      <c r="V967" s="1" t="s">
        <v>37</v>
      </c>
      <c r="W967" s="1" t="s">
        <v>37</v>
      </c>
    </row>
    <row r="968" spans="1:23">
      <c r="A968" s="3" t="s">
        <v>5304</v>
      </c>
      <c r="B968" s="3" t="s">
        <v>22</v>
      </c>
      <c r="C968" s="3" t="s">
        <v>23</v>
      </c>
      <c r="D968" s="3" t="s">
        <v>41</v>
      </c>
      <c r="E968" s="3" t="s">
        <v>25</v>
      </c>
      <c r="F968" s="3" t="s">
        <v>53</v>
      </c>
      <c r="G968" s="2">
        <v>33.299999999999997</v>
      </c>
      <c r="H968" s="2">
        <v>9</v>
      </c>
      <c r="I968" s="2">
        <v>14.984999999999999</v>
      </c>
      <c r="J968" s="2">
        <v>314.685</v>
      </c>
      <c r="K968" s="5">
        <v>43528</v>
      </c>
      <c r="L968" s="4">
        <v>0.64375000000000004</v>
      </c>
      <c r="M968" s="3" t="s">
        <v>33</v>
      </c>
      <c r="N968" s="2">
        <v>299.7</v>
      </c>
      <c r="O968" s="2">
        <v>4.7619047620000003</v>
      </c>
      <c r="P968" s="2">
        <v>14.984999999999999</v>
      </c>
      <c r="Q968" s="2">
        <v>7.2</v>
      </c>
      <c r="R968" s="3"/>
      <c r="S968" s="1"/>
      <c r="T968" s="1"/>
      <c r="U968" s="1" t="s">
        <v>37</v>
      </c>
      <c r="V968" s="1" t="s">
        <v>37</v>
      </c>
      <c r="W968" s="1" t="s">
        <v>37</v>
      </c>
    </row>
    <row r="969" spans="1:23">
      <c r="A969" s="3" t="s">
        <v>5309</v>
      </c>
      <c r="B969" s="3" t="s">
        <v>22</v>
      </c>
      <c r="C969" s="3" t="s">
        <v>23</v>
      </c>
      <c r="D969" s="3" t="s">
        <v>24</v>
      </c>
      <c r="E969" s="3" t="s">
        <v>992</v>
      </c>
      <c r="F969" s="3" t="s">
        <v>53</v>
      </c>
      <c r="G969" s="2">
        <v>81.010000000000005</v>
      </c>
      <c r="H969" s="2">
        <v>3</v>
      </c>
      <c r="I969" s="2">
        <v>12.1515</v>
      </c>
      <c r="J969" s="2">
        <v>255.1815</v>
      </c>
      <c r="K969" s="5">
        <v>43478</v>
      </c>
      <c r="L969" s="4">
        <v>0.53819444444444442</v>
      </c>
      <c r="M969" s="3" t="s">
        <v>59</v>
      </c>
      <c r="N969" s="2">
        <v>243.03</v>
      </c>
      <c r="O969" s="2">
        <v>4.7619047620000003</v>
      </c>
      <c r="P969" s="2">
        <v>12.1515</v>
      </c>
      <c r="Q969" s="2">
        <v>9.3000000000000007</v>
      </c>
      <c r="R969" s="3"/>
      <c r="S969" s="1"/>
      <c r="T969" s="1"/>
      <c r="U969" s="1" t="s">
        <v>37</v>
      </c>
      <c r="V969" s="1" t="s">
        <v>37</v>
      </c>
      <c r="W969" s="1" t="s">
        <v>37</v>
      </c>
    </row>
    <row r="970" spans="1:23">
      <c r="A970" s="3" t="s">
        <v>5314</v>
      </c>
      <c r="B970" s="3" t="s">
        <v>22</v>
      </c>
      <c r="C970" s="3" t="s">
        <v>23</v>
      </c>
      <c r="D970" s="3" t="s">
        <v>41</v>
      </c>
      <c r="E970" s="3" t="s">
        <v>25</v>
      </c>
      <c r="F970" s="3" t="s">
        <v>26</v>
      </c>
      <c r="G970" s="2">
        <v>15.8</v>
      </c>
      <c r="H970" s="2">
        <v>3</v>
      </c>
      <c r="I970" s="2">
        <v>2.37</v>
      </c>
      <c r="J970" s="2">
        <v>49.77</v>
      </c>
      <c r="K970" s="5">
        <v>43549</v>
      </c>
      <c r="L970" s="4">
        <v>0.75138888888888888</v>
      </c>
      <c r="M970" s="3" t="s">
        <v>49</v>
      </c>
      <c r="N970" s="2">
        <v>47.4</v>
      </c>
      <c r="O970" s="2">
        <v>4.7619047620000003</v>
      </c>
      <c r="P970" s="2">
        <v>2.37</v>
      </c>
      <c r="Q970" s="2">
        <v>9.5</v>
      </c>
      <c r="R970" s="3"/>
      <c r="S970" s="1"/>
      <c r="T970" s="1"/>
      <c r="U970" s="1" t="s">
        <v>37</v>
      </c>
      <c r="V970" s="1" t="s">
        <v>37</v>
      </c>
      <c r="W970" s="1" t="s">
        <v>37</v>
      </c>
    </row>
    <row r="971" spans="1:23">
      <c r="A971" s="3" t="s">
        <v>5318</v>
      </c>
      <c r="B971" s="3" t="s">
        <v>115</v>
      </c>
      <c r="C971" s="3" t="s">
        <v>116</v>
      </c>
      <c r="D971" s="3" t="s">
        <v>24</v>
      </c>
      <c r="E971" s="3" t="s">
        <v>25</v>
      </c>
      <c r="F971" s="3" t="s">
        <v>42</v>
      </c>
      <c r="G971" s="2">
        <v>34.49</v>
      </c>
      <c r="H971" s="2">
        <v>5</v>
      </c>
      <c r="I971" s="2">
        <v>8.6225000000000005</v>
      </c>
      <c r="J971" s="2">
        <v>181.07249999999999</v>
      </c>
      <c r="K971" s="5">
        <v>43535</v>
      </c>
      <c r="L971" s="4">
        <v>0.82222222222222219</v>
      </c>
      <c r="M971" s="3" t="s">
        <v>59</v>
      </c>
      <c r="N971" s="2">
        <v>172.45</v>
      </c>
      <c r="O971" s="2">
        <v>4.7619047620000003</v>
      </c>
      <c r="P971" s="2">
        <v>8.6225000000000005</v>
      </c>
      <c r="Q971" s="2">
        <v>9</v>
      </c>
      <c r="R971" s="3"/>
      <c r="S971" s="1"/>
      <c r="T971" s="1"/>
      <c r="U971" s="1" t="s">
        <v>37</v>
      </c>
      <c r="V971" s="1" t="s">
        <v>37</v>
      </c>
      <c r="W971" s="1" t="s">
        <v>37</v>
      </c>
    </row>
    <row r="972" spans="1:23">
      <c r="A972" s="3" t="s">
        <v>5323</v>
      </c>
      <c r="B972" s="3" t="s">
        <v>115</v>
      </c>
      <c r="C972" s="3" t="s">
        <v>116</v>
      </c>
      <c r="D972" s="3" t="s">
        <v>24</v>
      </c>
      <c r="E972" s="3" t="s">
        <v>25</v>
      </c>
      <c r="F972" s="3" t="s">
        <v>117</v>
      </c>
      <c r="G972" s="2">
        <v>84.63</v>
      </c>
      <c r="H972" s="2">
        <v>10</v>
      </c>
      <c r="I972" s="2">
        <v>42.314999999999998</v>
      </c>
      <c r="J972" s="2">
        <v>888.61500000000001</v>
      </c>
      <c r="K972" s="5">
        <v>43466</v>
      </c>
      <c r="L972" s="4">
        <v>0.48333333333333334</v>
      </c>
      <c r="M972" s="3" t="s">
        <v>59</v>
      </c>
      <c r="N972" s="2">
        <v>846.3</v>
      </c>
      <c r="O972" s="2">
        <v>4.7619047620000003</v>
      </c>
      <c r="P972" s="2">
        <v>42.314999999999998</v>
      </c>
      <c r="Q972" s="2">
        <v>9</v>
      </c>
      <c r="R972" s="3"/>
      <c r="S972" s="1"/>
      <c r="T972" s="1"/>
      <c r="U972" s="1" t="s">
        <v>37</v>
      </c>
      <c r="V972" s="1" t="s">
        <v>37</v>
      </c>
      <c r="W972" s="1" t="s">
        <v>37</v>
      </c>
    </row>
    <row r="973" spans="1:23">
      <c r="A973" s="3" t="s">
        <v>5327</v>
      </c>
      <c r="B973" s="3" t="s">
        <v>115</v>
      </c>
      <c r="C973" s="3" t="s">
        <v>116</v>
      </c>
      <c r="D973" s="3" t="s">
        <v>24</v>
      </c>
      <c r="E973" s="3" t="s">
        <v>992</v>
      </c>
      <c r="F973" s="3" t="s">
        <v>53</v>
      </c>
      <c r="G973" s="2">
        <v>36.909999999999997</v>
      </c>
      <c r="H973" s="2">
        <v>7</v>
      </c>
      <c r="I973" s="2">
        <v>12.9185</v>
      </c>
      <c r="J973" s="2">
        <v>271.2885</v>
      </c>
      <c r="K973" s="5">
        <v>43506</v>
      </c>
      <c r="L973" s="4">
        <v>0.57708333333333328</v>
      </c>
      <c r="M973" s="3" t="s">
        <v>33</v>
      </c>
      <c r="N973" s="2">
        <v>258.37</v>
      </c>
      <c r="O973" s="2">
        <v>4.7619047620000003</v>
      </c>
      <c r="P973" s="2">
        <v>12.9185</v>
      </c>
      <c r="Q973" s="2">
        <v>6.7</v>
      </c>
      <c r="R973" s="3"/>
      <c r="S973" s="1"/>
      <c r="T973" s="1"/>
      <c r="U973" s="1" t="s">
        <v>37</v>
      </c>
      <c r="V973" s="1" t="s">
        <v>37</v>
      </c>
      <c r="W973" s="1" t="s">
        <v>37</v>
      </c>
    </row>
    <row r="974" spans="1:23">
      <c r="A974" s="3" t="s">
        <v>5332</v>
      </c>
      <c r="B974" s="3" t="s">
        <v>115</v>
      </c>
      <c r="C974" s="3" t="s">
        <v>116</v>
      </c>
      <c r="D974" s="3" t="s">
        <v>41</v>
      </c>
      <c r="E974" s="3" t="s">
        <v>992</v>
      </c>
      <c r="F974" s="3" t="s">
        <v>42</v>
      </c>
      <c r="G974" s="2">
        <v>87.08</v>
      </c>
      <c r="H974" s="2">
        <v>7</v>
      </c>
      <c r="I974" s="2">
        <v>30.478000000000002</v>
      </c>
      <c r="J974" s="2">
        <v>640.03800000000001</v>
      </c>
      <c r="K974" s="5">
        <v>43491</v>
      </c>
      <c r="L974" s="4">
        <v>0.63680555555555551</v>
      </c>
      <c r="M974" s="3" t="s">
        <v>49</v>
      </c>
      <c r="N974" s="2">
        <v>609.55999999999995</v>
      </c>
      <c r="O974" s="2">
        <v>4.7619047620000003</v>
      </c>
      <c r="P974" s="2">
        <v>30.478000000000002</v>
      </c>
      <c r="Q974" s="2">
        <v>5.5</v>
      </c>
      <c r="R974" s="3"/>
      <c r="S974" s="1"/>
      <c r="T974" s="1"/>
      <c r="U974" s="1" t="s">
        <v>37</v>
      </c>
      <c r="V974" s="1" t="s">
        <v>37</v>
      </c>
      <c r="W974" s="1" t="s">
        <v>37</v>
      </c>
    </row>
    <row r="975" spans="1:23">
      <c r="A975" s="3" t="s">
        <v>5338</v>
      </c>
      <c r="B975" s="3" t="s">
        <v>22</v>
      </c>
      <c r="C975" s="3" t="s">
        <v>23</v>
      </c>
      <c r="D975" s="3" t="s">
        <v>41</v>
      </c>
      <c r="E975" s="3" t="s">
        <v>992</v>
      </c>
      <c r="F975" s="3" t="s">
        <v>53</v>
      </c>
      <c r="G975" s="2">
        <v>80.08</v>
      </c>
      <c r="H975" s="2">
        <v>3</v>
      </c>
      <c r="I975" s="2">
        <v>12.012</v>
      </c>
      <c r="J975" s="2">
        <v>252.25200000000001</v>
      </c>
      <c r="K975" s="5">
        <v>43507</v>
      </c>
      <c r="L975" s="4">
        <v>0.64513888888888893</v>
      </c>
      <c r="M975" s="3" t="s">
        <v>49</v>
      </c>
      <c r="N975" s="2">
        <v>240.24</v>
      </c>
      <c r="O975" s="2">
        <v>4.7619047620000003</v>
      </c>
      <c r="P975" s="2">
        <v>12.012</v>
      </c>
      <c r="Q975" s="2">
        <v>5.4</v>
      </c>
      <c r="R975" s="3"/>
      <c r="S975" s="1"/>
      <c r="T975" s="1"/>
      <c r="U975" s="1" t="s">
        <v>37</v>
      </c>
      <c r="V975" s="1" t="s">
        <v>37</v>
      </c>
      <c r="W975" s="1" t="s">
        <v>37</v>
      </c>
    </row>
    <row r="976" spans="1:23">
      <c r="A976" s="3" t="s">
        <v>5343</v>
      </c>
      <c r="B976" s="3" t="s">
        <v>39</v>
      </c>
      <c r="C976" s="3" t="s">
        <v>40</v>
      </c>
      <c r="D976" s="3" t="s">
        <v>41</v>
      </c>
      <c r="E976" s="3" t="s">
        <v>992</v>
      </c>
      <c r="F976" s="3" t="s">
        <v>127</v>
      </c>
      <c r="G976" s="2">
        <v>86.13</v>
      </c>
      <c r="H976" s="2">
        <v>2</v>
      </c>
      <c r="I976" s="2">
        <v>8.6129999999999995</v>
      </c>
      <c r="J976" s="2">
        <v>180.87299999999999</v>
      </c>
      <c r="K976" s="5">
        <v>43503</v>
      </c>
      <c r="L976" s="4">
        <v>0.74930555555555556</v>
      </c>
      <c r="M976" s="3" t="s">
        <v>49</v>
      </c>
      <c r="N976" s="2">
        <v>172.26</v>
      </c>
      <c r="O976" s="2">
        <v>4.7619047620000003</v>
      </c>
      <c r="P976" s="2">
        <v>8.6129999999999995</v>
      </c>
      <c r="Q976" s="2">
        <v>8.1999999999999993</v>
      </c>
      <c r="R976" s="3"/>
      <c r="S976" s="1"/>
      <c r="T976" s="1"/>
      <c r="U976" s="1" t="s">
        <v>37</v>
      </c>
      <c r="V976" s="1" t="s">
        <v>37</v>
      </c>
      <c r="W976" s="1" t="s">
        <v>37</v>
      </c>
    </row>
    <row r="977" spans="1:23">
      <c r="A977" s="3" t="s">
        <v>5348</v>
      </c>
      <c r="B977" s="3" t="s">
        <v>115</v>
      </c>
      <c r="C977" s="3" t="s">
        <v>116</v>
      </c>
      <c r="D977" s="3" t="s">
        <v>24</v>
      </c>
      <c r="E977" s="3" t="s">
        <v>992</v>
      </c>
      <c r="F977" s="3" t="s">
        <v>127</v>
      </c>
      <c r="G977" s="2">
        <v>49.92</v>
      </c>
      <c r="H977" s="2">
        <v>2</v>
      </c>
      <c r="I977" s="2">
        <v>4.992</v>
      </c>
      <c r="J977" s="2">
        <v>104.83199999999999</v>
      </c>
      <c r="K977" s="5">
        <v>43530</v>
      </c>
      <c r="L977" s="4">
        <v>0.49652777777777779</v>
      </c>
      <c r="M977" s="3" t="s">
        <v>59</v>
      </c>
      <c r="N977" s="2">
        <v>99.84</v>
      </c>
      <c r="O977" s="2">
        <v>4.7619047620000003</v>
      </c>
      <c r="P977" s="2">
        <v>4.992</v>
      </c>
      <c r="Q977" s="2">
        <v>7</v>
      </c>
      <c r="R977" s="3"/>
      <c r="S977" s="1"/>
      <c r="T977" s="1"/>
      <c r="U977" s="1" t="s">
        <v>37</v>
      </c>
      <c r="V977" s="1" t="s">
        <v>37</v>
      </c>
      <c r="W977" s="1" t="s">
        <v>37</v>
      </c>
    </row>
    <row r="978" spans="1:23">
      <c r="A978" s="3" t="s">
        <v>5353</v>
      </c>
      <c r="B978" s="3" t="s">
        <v>22</v>
      </c>
      <c r="C978" s="3" t="s">
        <v>23</v>
      </c>
      <c r="D978" s="3" t="s">
        <v>41</v>
      </c>
      <c r="E978" s="3" t="s">
        <v>25</v>
      </c>
      <c r="F978" s="3" t="s">
        <v>117</v>
      </c>
      <c r="G978" s="2">
        <v>74.66</v>
      </c>
      <c r="H978" s="2">
        <v>4</v>
      </c>
      <c r="I978" s="2">
        <v>14.932</v>
      </c>
      <c r="J978" s="2">
        <v>313.572</v>
      </c>
      <c r="K978" s="5">
        <v>43528</v>
      </c>
      <c r="L978" s="4">
        <v>0.44374999999999998</v>
      </c>
      <c r="M978" s="3" t="s">
        <v>49</v>
      </c>
      <c r="N978" s="2">
        <v>298.64</v>
      </c>
      <c r="O978" s="2">
        <v>4.7619047620000003</v>
      </c>
      <c r="P978" s="2">
        <v>14.932</v>
      </c>
      <c r="Q978" s="2">
        <v>8.5</v>
      </c>
      <c r="R978" s="3"/>
      <c r="S978" s="1"/>
      <c r="T978" s="1"/>
      <c r="U978" s="1" t="s">
        <v>37</v>
      </c>
      <c r="V978" s="1" t="s">
        <v>37</v>
      </c>
      <c r="W978" s="1" t="s">
        <v>37</v>
      </c>
    </row>
    <row r="979" spans="1:23">
      <c r="A979" s="3" t="s">
        <v>5358</v>
      </c>
      <c r="B979" s="3" t="s">
        <v>115</v>
      </c>
      <c r="C979" s="3" t="s">
        <v>116</v>
      </c>
      <c r="D979" s="3" t="s">
        <v>24</v>
      </c>
      <c r="E979" s="3" t="s">
        <v>992</v>
      </c>
      <c r="F979" s="3" t="s">
        <v>117</v>
      </c>
      <c r="G979" s="2">
        <v>26.6</v>
      </c>
      <c r="H979" s="2">
        <v>6</v>
      </c>
      <c r="I979" s="2">
        <v>7.98</v>
      </c>
      <c r="J979" s="2">
        <v>167.58</v>
      </c>
      <c r="K979" s="5">
        <v>43522</v>
      </c>
      <c r="L979" s="4">
        <v>0.63194444444444442</v>
      </c>
      <c r="M979" s="3" t="s">
        <v>33</v>
      </c>
      <c r="N979" s="2">
        <v>159.6</v>
      </c>
      <c r="O979" s="2">
        <v>4.7619047620000003</v>
      </c>
      <c r="P979" s="2">
        <v>7.98</v>
      </c>
      <c r="Q979" s="2">
        <v>4.9000000000000004</v>
      </c>
      <c r="R979" s="3"/>
      <c r="S979" s="1"/>
      <c r="T979" s="1"/>
      <c r="U979" s="1" t="s">
        <v>37</v>
      </c>
      <c r="V979" s="1" t="s">
        <v>37</v>
      </c>
      <c r="W979" s="1" t="s">
        <v>37</v>
      </c>
    </row>
    <row r="980" spans="1:23">
      <c r="A980" s="3" t="s">
        <v>5363</v>
      </c>
      <c r="B980" s="3" t="s">
        <v>115</v>
      </c>
      <c r="C980" s="3" t="s">
        <v>116</v>
      </c>
      <c r="D980" s="3" t="s">
        <v>41</v>
      </c>
      <c r="E980" s="3" t="s">
        <v>25</v>
      </c>
      <c r="F980" s="3" t="s">
        <v>42</v>
      </c>
      <c r="G980" s="2">
        <v>25.45</v>
      </c>
      <c r="H980" s="2">
        <v>1</v>
      </c>
      <c r="I980" s="2">
        <v>1.2725</v>
      </c>
      <c r="J980" s="2">
        <v>26.7225</v>
      </c>
      <c r="K980" s="5">
        <v>43534</v>
      </c>
      <c r="L980" s="4">
        <v>0.75694444444444442</v>
      </c>
      <c r="M980" s="3" t="s">
        <v>59</v>
      </c>
      <c r="N980" s="2">
        <v>25.45</v>
      </c>
      <c r="O980" s="2">
        <v>4.7619047620000003</v>
      </c>
      <c r="P980" s="2">
        <v>1.2725</v>
      </c>
      <c r="Q980" s="2">
        <v>5.0999999999999996</v>
      </c>
      <c r="R980" s="3"/>
      <c r="S980" s="1"/>
      <c r="T980" s="1"/>
      <c r="U980" s="1" t="s">
        <v>37</v>
      </c>
      <c r="V980" s="1" t="s">
        <v>37</v>
      </c>
      <c r="W980" s="1" t="s">
        <v>37</v>
      </c>
    </row>
    <row r="981" spans="1:23">
      <c r="A981" s="3" t="s">
        <v>5367</v>
      </c>
      <c r="B981" s="3" t="s">
        <v>115</v>
      </c>
      <c r="C981" s="3" t="s">
        <v>116</v>
      </c>
      <c r="D981" s="3" t="s">
        <v>41</v>
      </c>
      <c r="E981" s="3" t="s">
        <v>25</v>
      </c>
      <c r="F981" s="3" t="s">
        <v>117</v>
      </c>
      <c r="G981" s="2">
        <v>67.77</v>
      </c>
      <c r="H981" s="2">
        <v>1</v>
      </c>
      <c r="I981" s="2">
        <v>3.3885000000000001</v>
      </c>
      <c r="J981" s="2">
        <v>71.158500000000004</v>
      </c>
      <c r="K981" s="5">
        <v>43500</v>
      </c>
      <c r="L981" s="4">
        <v>0.86319444444444449</v>
      </c>
      <c r="M981" s="3" t="s">
        <v>59</v>
      </c>
      <c r="N981" s="2">
        <v>67.77</v>
      </c>
      <c r="O981" s="2">
        <v>4.7619047620000003</v>
      </c>
      <c r="P981" s="2">
        <v>3.3885000000000001</v>
      </c>
      <c r="Q981" s="2">
        <v>6.5</v>
      </c>
      <c r="R981" s="3"/>
      <c r="S981" s="1"/>
      <c r="T981" s="1"/>
      <c r="U981" s="1" t="s">
        <v>37</v>
      </c>
      <c r="V981" s="1" t="s">
        <v>37</v>
      </c>
      <c r="W981" s="1" t="s">
        <v>37</v>
      </c>
    </row>
    <row r="982" spans="1:23">
      <c r="A982" s="3" t="s">
        <v>5371</v>
      </c>
      <c r="B982" s="3" t="s">
        <v>39</v>
      </c>
      <c r="C982" s="3" t="s">
        <v>40</v>
      </c>
      <c r="D982" s="3" t="s">
        <v>24</v>
      </c>
      <c r="E982" s="3" t="s">
        <v>992</v>
      </c>
      <c r="F982" s="3" t="s">
        <v>117</v>
      </c>
      <c r="G982" s="2">
        <v>59.59</v>
      </c>
      <c r="H982" s="2">
        <v>4</v>
      </c>
      <c r="I982" s="2">
        <v>11.917999999999999</v>
      </c>
      <c r="J982" s="2">
        <v>250.27799999999999</v>
      </c>
      <c r="K982" s="5">
        <v>43484</v>
      </c>
      <c r="L982" s="4">
        <v>0.53194444444444444</v>
      </c>
      <c r="M982" s="3" t="s">
        <v>49</v>
      </c>
      <c r="N982" s="2">
        <v>238.36</v>
      </c>
      <c r="O982" s="2">
        <v>4.7619047620000003</v>
      </c>
      <c r="P982" s="2">
        <v>11.917999999999999</v>
      </c>
      <c r="Q982" s="2">
        <v>9.8000000000000007</v>
      </c>
      <c r="R982" s="3"/>
      <c r="S982" s="1"/>
      <c r="T982" s="1"/>
      <c r="U982" s="1" t="s">
        <v>37</v>
      </c>
      <c r="V982" s="1" t="s">
        <v>37</v>
      </c>
      <c r="W982" s="1" t="s">
        <v>37</v>
      </c>
    </row>
    <row r="983" spans="1:23">
      <c r="A983" s="3" t="s">
        <v>5376</v>
      </c>
      <c r="B983" s="3" t="s">
        <v>22</v>
      </c>
      <c r="C983" s="3" t="s">
        <v>23</v>
      </c>
      <c r="D983" s="3" t="s">
        <v>41</v>
      </c>
      <c r="E983" s="3" t="s">
        <v>992</v>
      </c>
      <c r="F983" s="3" t="s">
        <v>26</v>
      </c>
      <c r="G983" s="2">
        <v>58.15</v>
      </c>
      <c r="H983" s="2">
        <v>4</v>
      </c>
      <c r="I983" s="2">
        <v>11.63</v>
      </c>
      <c r="J983" s="2">
        <v>244.23</v>
      </c>
      <c r="K983" s="5">
        <v>43488</v>
      </c>
      <c r="L983" s="4">
        <v>0.73888888888888893</v>
      </c>
      <c r="M983" s="3" t="s">
        <v>49</v>
      </c>
      <c r="N983" s="2">
        <v>232.6</v>
      </c>
      <c r="O983" s="2">
        <v>4.7619047620000003</v>
      </c>
      <c r="P983" s="2">
        <v>11.63</v>
      </c>
      <c r="Q983" s="2">
        <v>8.4</v>
      </c>
      <c r="R983" s="3"/>
      <c r="S983" s="1"/>
      <c r="T983" s="1"/>
      <c r="U983" s="1" t="s">
        <v>37</v>
      </c>
      <c r="V983" s="1" t="s">
        <v>37</v>
      </c>
      <c r="W983" s="1" t="s">
        <v>37</v>
      </c>
    </row>
    <row r="984" spans="1:23">
      <c r="A984" s="3" t="s">
        <v>5381</v>
      </c>
      <c r="B984" s="3" t="s">
        <v>22</v>
      </c>
      <c r="C984" s="3" t="s">
        <v>23</v>
      </c>
      <c r="D984" s="3" t="s">
        <v>24</v>
      </c>
      <c r="E984" s="3" t="s">
        <v>25</v>
      </c>
      <c r="F984" s="3" t="s">
        <v>72</v>
      </c>
      <c r="G984" s="2">
        <v>97.48</v>
      </c>
      <c r="H984" s="2">
        <v>9</v>
      </c>
      <c r="I984" s="2">
        <v>43.866</v>
      </c>
      <c r="J984" s="2">
        <v>921.18600000000004</v>
      </c>
      <c r="K984" s="5">
        <v>43538</v>
      </c>
      <c r="L984" s="4">
        <v>0.59652777777777777</v>
      </c>
      <c r="M984" s="3" t="s">
        <v>33</v>
      </c>
      <c r="N984" s="2">
        <v>877.32</v>
      </c>
      <c r="O984" s="2">
        <v>4.7619047620000003</v>
      </c>
      <c r="P984" s="2">
        <v>43.866</v>
      </c>
      <c r="Q984" s="2">
        <v>7.4</v>
      </c>
      <c r="R984" s="3"/>
      <c r="S984" s="1"/>
      <c r="T984" s="1"/>
      <c r="U984" s="1" t="s">
        <v>37</v>
      </c>
      <c r="V984" s="1" t="s">
        <v>37</v>
      </c>
      <c r="W984" s="1" t="s">
        <v>37</v>
      </c>
    </row>
    <row r="985" spans="1:23">
      <c r="A985" s="3" t="s">
        <v>5386</v>
      </c>
      <c r="B985" s="3" t="s">
        <v>39</v>
      </c>
      <c r="C985" s="3" t="s">
        <v>40</v>
      </c>
      <c r="D985" s="3" t="s">
        <v>41</v>
      </c>
      <c r="E985" s="3" t="s">
        <v>992</v>
      </c>
      <c r="F985" s="3" t="s">
        <v>26</v>
      </c>
      <c r="G985" s="2">
        <v>99.96</v>
      </c>
      <c r="H985" s="2">
        <v>7</v>
      </c>
      <c r="I985" s="2">
        <v>34.985999999999997</v>
      </c>
      <c r="J985" s="2">
        <v>734.70600000000002</v>
      </c>
      <c r="K985" s="5">
        <v>43488</v>
      </c>
      <c r="L985" s="4">
        <v>0.43958333333333333</v>
      </c>
      <c r="M985" s="3" t="s">
        <v>49</v>
      </c>
      <c r="N985" s="2">
        <v>699.72</v>
      </c>
      <c r="O985" s="2">
        <v>4.7619047620000003</v>
      </c>
      <c r="P985" s="2">
        <v>34.985999999999997</v>
      </c>
      <c r="Q985" s="2">
        <v>6.1</v>
      </c>
      <c r="R985" s="3"/>
      <c r="S985" s="1"/>
      <c r="T985" s="1"/>
      <c r="U985" s="1" t="s">
        <v>37</v>
      </c>
      <c r="V985" s="1" t="s">
        <v>37</v>
      </c>
      <c r="W985" s="1" t="s">
        <v>37</v>
      </c>
    </row>
    <row r="986" spans="1:23">
      <c r="A986" s="3" t="s">
        <v>5390</v>
      </c>
      <c r="B986" s="3" t="s">
        <v>39</v>
      </c>
      <c r="C986" s="3" t="s">
        <v>40</v>
      </c>
      <c r="D986" s="3" t="s">
        <v>41</v>
      </c>
      <c r="E986" s="3" t="s">
        <v>992</v>
      </c>
      <c r="F986" s="3" t="s">
        <v>42</v>
      </c>
      <c r="G986" s="2">
        <v>96.37</v>
      </c>
      <c r="H986" s="2">
        <v>7</v>
      </c>
      <c r="I986" s="2">
        <v>33.729500000000002</v>
      </c>
      <c r="J986" s="2">
        <v>708.31949999999995</v>
      </c>
      <c r="K986" s="5">
        <v>43474</v>
      </c>
      <c r="L986" s="4">
        <v>0.4861111111111111</v>
      </c>
      <c r="M986" s="3" t="s">
        <v>49</v>
      </c>
      <c r="N986" s="2">
        <v>674.59</v>
      </c>
      <c r="O986" s="2">
        <v>4.7619047620000003</v>
      </c>
      <c r="P986" s="2">
        <v>33.729500000000002</v>
      </c>
      <c r="Q986" s="2">
        <v>6</v>
      </c>
      <c r="R986" s="3"/>
      <c r="S986" s="1"/>
      <c r="T986" s="1"/>
      <c r="U986" s="1" t="s">
        <v>37</v>
      </c>
      <c r="V986" s="1" t="s">
        <v>37</v>
      </c>
      <c r="W986" s="1" t="s">
        <v>37</v>
      </c>
    </row>
    <row r="987" spans="1:23">
      <c r="A987" s="3" t="s">
        <v>5395</v>
      </c>
      <c r="B987" s="3" t="s">
        <v>115</v>
      </c>
      <c r="C987" s="3" t="s">
        <v>116</v>
      </c>
      <c r="D987" s="3" t="s">
        <v>41</v>
      </c>
      <c r="E987" s="3" t="s">
        <v>25</v>
      </c>
      <c r="F987" s="3" t="s">
        <v>127</v>
      </c>
      <c r="G987" s="2">
        <v>63.71</v>
      </c>
      <c r="H987" s="2">
        <v>5</v>
      </c>
      <c r="I987" s="2">
        <v>15.9275</v>
      </c>
      <c r="J987" s="2">
        <v>334.47750000000002</v>
      </c>
      <c r="K987" s="5">
        <v>43503</v>
      </c>
      <c r="L987" s="4">
        <v>0.8125</v>
      </c>
      <c r="M987" s="3" t="s">
        <v>33</v>
      </c>
      <c r="N987" s="2">
        <v>318.55</v>
      </c>
      <c r="O987" s="2">
        <v>4.7619047620000003</v>
      </c>
      <c r="P987" s="2">
        <v>15.9275</v>
      </c>
      <c r="Q987" s="2">
        <v>8.5</v>
      </c>
      <c r="R987" s="3"/>
      <c r="S987" s="1"/>
      <c r="T987" s="1"/>
      <c r="U987" s="1" t="s">
        <v>37</v>
      </c>
      <c r="V987" s="1" t="s">
        <v>37</v>
      </c>
      <c r="W987" s="1" t="s">
        <v>37</v>
      </c>
    </row>
    <row r="988" spans="1:23">
      <c r="A988" s="3" t="s">
        <v>5400</v>
      </c>
      <c r="B988" s="3" t="s">
        <v>115</v>
      </c>
      <c r="C988" s="3" t="s">
        <v>116</v>
      </c>
      <c r="D988" s="3" t="s">
        <v>41</v>
      </c>
      <c r="E988" s="3" t="s">
        <v>25</v>
      </c>
      <c r="F988" s="3" t="s">
        <v>26</v>
      </c>
      <c r="G988" s="2">
        <v>14.76</v>
      </c>
      <c r="H988" s="2">
        <v>2</v>
      </c>
      <c r="I988" s="2">
        <v>1.476</v>
      </c>
      <c r="J988" s="2">
        <v>30.995999999999999</v>
      </c>
      <c r="K988" s="5">
        <v>43514</v>
      </c>
      <c r="L988" s="4">
        <v>0.61250000000000004</v>
      </c>
      <c r="M988" s="3" t="s">
        <v>33</v>
      </c>
      <c r="N988" s="2">
        <v>29.52</v>
      </c>
      <c r="O988" s="2">
        <v>4.7619047620000003</v>
      </c>
      <c r="P988" s="2">
        <v>1.476</v>
      </c>
      <c r="Q988" s="2">
        <v>4.3</v>
      </c>
      <c r="R988" s="3"/>
      <c r="S988" s="1"/>
      <c r="T988" s="1"/>
      <c r="U988" s="1" t="s">
        <v>37</v>
      </c>
      <c r="V988" s="1" t="s">
        <v>37</v>
      </c>
      <c r="W988" s="1" t="s">
        <v>37</v>
      </c>
    </row>
    <row r="989" spans="1:23">
      <c r="A989" s="3" t="s">
        <v>5405</v>
      </c>
      <c r="B989" s="3" t="s">
        <v>115</v>
      </c>
      <c r="C989" s="3" t="s">
        <v>116</v>
      </c>
      <c r="D989" s="3" t="s">
        <v>24</v>
      </c>
      <c r="E989" s="3" t="s">
        <v>992</v>
      </c>
      <c r="F989" s="3" t="s">
        <v>26</v>
      </c>
      <c r="G989" s="2">
        <v>62</v>
      </c>
      <c r="H989" s="2">
        <v>8</v>
      </c>
      <c r="I989" s="2">
        <v>24.8</v>
      </c>
      <c r="J989" s="2">
        <v>520.79999999999995</v>
      </c>
      <c r="K989" s="5">
        <v>43468</v>
      </c>
      <c r="L989" s="4">
        <v>0.79722222222222228</v>
      </c>
      <c r="M989" s="3" t="s">
        <v>59</v>
      </c>
      <c r="N989" s="2">
        <v>496</v>
      </c>
      <c r="O989" s="2">
        <v>4.7619047620000003</v>
      </c>
      <c r="P989" s="2">
        <v>24.8</v>
      </c>
      <c r="Q989" s="2">
        <v>6.2</v>
      </c>
      <c r="R989" s="3"/>
      <c r="S989" s="1"/>
      <c r="T989" s="1"/>
      <c r="U989" s="1" t="s">
        <v>37</v>
      </c>
      <c r="V989" s="1" t="s">
        <v>37</v>
      </c>
      <c r="W989" s="1" t="s">
        <v>37</v>
      </c>
    </row>
    <row r="990" spans="1:23">
      <c r="A990" s="3" t="s">
        <v>5410</v>
      </c>
      <c r="B990" s="3" t="s">
        <v>39</v>
      </c>
      <c r="C990" s="3" t="s">
        <v>40</v>
      </c>
      <c r="D990" s="3" t="s">
        <v>24</v>
      </c>
      <c r="E990" s="3" t="s">
        <v>992</v>
      </c>
      <c r="F990" s="3" t="s">
        <v>42</v>
      </c>
      <c r="G990" s="2">
        <v>82.34</v>
      </c>
      <c r="H990" s="2">
        <v>10</v>
      </c>
      <c r="I990" s="2">
        <v>41.17</v>
      </c>
      <c r="J990" s="2">
        <v>864.57</v>
      </c>
      <c r="K990" s="5">
        <v>43553</v>
      </c>
      <c r="L990" s="4">
        <v>0.8</v>
      </c>
      <c r="M990" s="3" t="s">
        <v>33</v>
      </c>
      <c r="N990" s="2">
        <v>823.4</v>
      </c>
      <c r="O990" s="2">
        <v>4.7619047620000003</v>
      </c>
      <c r="P990" s="2">
        <v>41.17</v>
      </c>
      <c r="Q990" s="2">
        <v>4.3</v>
      </c>
      <c r="R990" s="3"/>
      <c r="S990" s="1"/>
      <c r="T990" s="1"/>
      <c r="U990" s="1" t="s">
        <v>37</v>
      </c>
      <c r="V990" s="1" t="s">
        <v>37</v>
      </c>
      <c r="W990" s="1" t="s">
        <v>37</v>
      </c>
    </row>
    <row r="991" spans="1:23">
      <c r="A991" s="3" t="s">
        <v>5416</v>
      </c>
      <c r="B991" s="3" t="s">
        <v>115</v>
      </c>
      <c r="C991" s="3" t="s">
        <v>116</v>
      </c>
      <c r="D991" s="3" t="s">
        <v>24</v>
      </c>
      <c r="E991" s="3" t="s">
        <v>992</v>
      </c>
      <c r="F991" s="3" t="s">
        <v>26</v>
      </c>
      <c r="G991" s="2">
        <v>75.37</v>
      </c>
      <c r="H991" s="2">
        <v>8</v>
      </c>
      <c r="I991" s="2">
        <v>30.148</v>
      </c>
      <c r="J991" s="2">
        <v>633.10799999999995</v>
      </c>
      <c r="K991" s="5">
        <v>43493</v>
      </c>
      <c r="L991" s="4">
        <v>0.65694444444444444</v>
      </c>
      <c r="M991" s="3" t="s">
        <v>59</v>
      </c>
      <c r="N991" s="2">
        <v>602.96</v>
      </c>
      <c r="O991" s="2">
        <v>4.7619047620000003</v>
      </c>
      <c r="P991" s="2">
        <v>30.148</v>
      </c>
      <c r="Q991" s="2">
        <v>8.4</v>
      </c>
      <c r="R991" s="3"/>
      <c r="S991" s="1"/>
      <c r="T991" s="1"/>
      <c r="U991" s="1" t="s">
        <v>37</v>
      </c>
      <c r="V991" s="1" t="s">
        <v>37</v>
      </c>
      <c r="W991" s="1" t="s">
        <v>37</v>
      </c>
    </row>
    <row r="992" spans="1:23">
      <c r="A992" s="3" t="s">
        <v>5421</v>
      </c>
      <c r="B992" s="3" t="s">
        <v>22</v>
      </c>
      <c r="C992" s="3" t="s">
        <v>23</v>
      </c>
      <c r="D992" s="3" t="s">
        <v>41</v>
      </c>
      <c r="E992" s="3" t="s">
        <v>25</v>
      </c>
      <c r="F992" s="3" t="s">
        <v>117</v>
      </c>
      <c r="G992" s="2">
        <v>56.56</v>
      </c>
      <c r="H992" s="2">
        <v>5</v>
      </c>
      <c r="I992" s="2">
        <v>14.14</v>
      </c>
      <c r="J992" s="2">
        <v>296.94</v>
      </c>
      <c r="K992" s="5">
        <v>43546</v>
      </c>
      <c r="L992" s="4">
        <v>0.79583333333333328</v>
      </c>
      <c r="M992" s="3" t="s">
        <v>59</v>
      </c>
      <c r="N992" s="2">
        <v>282.8</v>
      </c>
      <c r="O992" s="2">
        <v>4.7619047620000003</v>
      </c>
      <c r="P992" s="2">
        <v>14.14</v>
      </c>
      <c r="Q992" s="2">
        <v>4.5</v>
      </c>
      <c r="R992" s="3"/>
      <c r="S992" s="1"/>
      <c r="T992" s="1"/>
      <c r="U992" s="1" t="s">
        <v>37</v>
      </c>
      <c r="V992" s="1" t="s">
        <v>37</v>
      </c>
      <c r="W992" s="1" t="s">
        <v>37</v>
      </c>
    </row>
    <row r="993" spans="1:23">
      <c r="A993" s="3" t="s">
        <v>5426</v>
      </c>
      <c r="B993" s="3" t="s">
        <v>115</v>
      </c>
      <c r="C993" s="3" t="s">
        <v>116</v>
      </c>
      <c r="D993" s="3" t="s">
        <v>41</v>
      </c>
      <c r="E993" s="3" t="s">
        <v>25</v>
      </c>
      <c r="F993" s="3" t="s">
        <v>72</v>
      </c>
      <c r="G993" s="2">
        <v>76.599999999999994</v>
      </c>
      <c r="H993" s="2">
        <v>10</v>
      </c>
      <c r="I993" s="2">
        <v>38.299999999999997</v>
      </c>
      <c r="J993" s="2">
        <v>804.3</v>
      </c>
      <c r="K993" s="5">
        <v>43489</v>
      </c>
      <c r="L993" s="4">
        <v>0.75694444444444442</v>
      </c>
      <c r="M993" s="3" t="s">
        <v>33</v>
      </c>
      <c r="N993" s="2">
        <v>766</v>
      </c>
      <c r="O993" s="2">
        <v>4.7619047620000003</v>
      </c>
      <c r="P993" s="2">
        <v>38.299999999999997</v>
      </c>
      <c r="Q993" s="2">
        <v>6</v>
      </c>
      <c r="R993" s="3"/>
      <c r="S993" s="1"/>
      <c r="T993" s="1"/>
      <c r="U993" s="1" t="s">
        <v>37</v>
      </c>
      <c r="V993" s="1" t="s">
        <v>37</v>
      </c>
      <c r="W993" s="1" t="s">
        <v>37</v>
      </c>
    </row>
    <row r="994" spans="1:23">
      <c r="A994" s="3" t="s">
        <v>5430</v>
      </c>
      <c r="B994" s="3" t="s">
        <v>22</v>
      </c>
      <c r="C994" s="3" t="s">
        <v>23</v>
      </c>
      <c r="D994" s="3" t="s">
        <v>41</v>
      </c>
      <c r="E994" s="3" t="s">
        <v>992</v>
      </c>
      <c r="F994" s="3" t="s">
        <v>42</v>
      </c>
      <c r="G994" s="2">
        <v>58.03</v>
      </c>
      <c r="H994" s="2">
        <v>2</v>
      </c>
      <c r="I994" s="2">
        <v>5.8029999999999999</v>
      </c>
      <c r="J994" s="2">
        <v>121.863</v>
      </c>
      <c r="K994" s="5">
        <v>43534</v>
      </c>
      <c r="L994" s="4">
        <v>0.86527777777777781</v>
      </c>
      <c r="M994" s="3" t="s">
        <v>33</v>
      </c>
      <c r="N994" s="2">
        <v>116.06</v>
      </c>
      <c r="O994" s="2">
        <v>4.7619047620000003</v>
      </c>
      <c r="P994" s="2">
        <v>5.8029999999999999</v>
      </c>
      <c r="Q994" s="2">
        <v>8.8000000000000007</v>
      </c>
      <c r="R994" s="3"/>
      <c r="S994" s="1"/>
      <c r="T994" s="1"/>
      <c r="U994" s="1" t="s">
        <v>37</v>
      </c>
      <c r="V994" s="1" t="s">
        <v>37</v>
      </c>
      <c r="W994" s="1" t="s">
        <v>37</v>
      </c>
    </row>
    <row r="995" spans="1:23">
      <c r="A995" s="3" t="s">
        <v>5435</v>
      </c>
      <c r="B995" s="3" t="s">
        <v>115</v>
      </c>
      <c r="C995" s="3" t="s">
        <v>116</v>
      </c>
      <c r="D995" s="3" t="s">
        <v>41</v>
      </c>
      <c r="E995" s="3" t="s">
        <v>992</v>
      </c>
      <c r="F995" s="3" t="s">
        <v>127</v>
      </c>
      <c r="G995" s="2">
        <v>17.489999999999998</v>
      </c>
      <c r="H995" s="2">
        <v>10</v>
      </c>
      <c r="I995" s="2">
        <v>8.7449999999999992</v>
      </c>
      <c r="J995" s="2">
        <v>183.64500000000001</v>
      </c>
      <c r="K995" s="5">
        <v>43518</v>
      </c>
      <c r="L995" s="4">
        <v>0.77430555555555558</v>
      </c>
      <c r="M995" s="3" t="s">
        <v>33</v>
      </c>
      <c r="N995" s="2">
        <v>174.9</v>
      </c>
      <c r="O995" s="2">
        <v>4.7619047620000003</v>
      </c>
      <c r="P995" s="2">
        <v>8.7449999999999992</v>
      </c>
      <c r="Q995" s="2">
        <v>6.6</v>
      </c>
      <c r="R995" s="3"/>
      <c r="S995" s="1"/>
      <c r="T995" s="1"/>
      <c r="U995" s="1" t="s">
        <v>37</v>
      </c>
      <c r="V995" s="1" t="s">
        <v>37</v>
      </c>
      <c r="W995" s="1" t="s">
        <v>37</v>
      </c>
    </row>
    <row r="996" spans="1:23">
      <c r="A996" s="3" t="s">
        <v>5440</v>
      </c>
      <c r="B996" s="3" t="s">
        <v>39</v>
      </c>
      <c r="C996" s="3" t="s">
        <v>40</v>
      </c>
      <c r="D996" s="3" t="s">
        <v>24</v>
      </c>
      <c r="E996" s="3" t="s">
        <v>25</v>
      </c>
      <c r="F996" s="3" t="s">
        <v>42</v>
      </c>
      <c r="G996" s="2">
        <v>60.95</v>
      </c>
      <c r="H996" s="2">
        <v>1</v>
      </c>
      <c r="I996" s="2">
        <v>3.0474999999999999</v>
      </c>
      <c r="J996" s="2">
        <v>63.997500000000002</v>
      </c>
      <c r="K996" s="5">
        <v>43514</v>
      </c>
      <c r="L996" s="4">
        <v>0.4861111111111111</v>
      </c>
      <c r="M996" s="3" t="s">
        <v>33</v>
      </c>
      <c r="N996" s="2">
        <v>60.95</v>
      </c>
      <c r="O996" s="2">
        <v>4.7619047620000003</v>
      </c>
      <c r="P996" s="2">
        <v>3.0474999999999999</v>
      </c>
      <c r="Q996" s="2">
        <v>5.9</v>
      </c>
      <c r="R996" s="3"/>
      <c r="S996" s="1"/>
      <c r="T996" s="1"/>
      <c r="U996" s="1" t="s">
        <v>37</v>
      </c>
      <c r="V996" s="1" t="s">
        <v>37</v>
      </c>
      <c r="W996" s="1" t="s">
        <v>37</v>
      </c>
    </row>
    <row r="997" spans="1:23">
      <c r="A997" s="3" t="s">
        <v>5443</v>
      </c>
      <c r="B997" s="3" t="s">
        <v>39</v>
      </c>
      <c r="C997" s="3" t="s">
        <v>40</v>
      </c>
      <c r="D997" s="3" t="s">
        <v>41</v>
      </c>
      <c r="E997" s="3" t="s">
        <v>992</v>
      </c>
      <c r="F997" s="3" t="s">
        <v>26</v>
      </c>
      <c r="G997" s="2">
        <v>40.35</v>
      </c>
      <c r="H997" s="2">
        <v>1</v>
      </c>
      <c r="I997" s="2">
        <v>2.0175000000000001</v>
      </c>
      <c r="J997" s="2">
        <v>42.3675</v>
      </c>
      <c r="K997" s="5">
        <v>43494</v>
      </c>
      <c r="L997" s="4">
        <v>0.57361111111111107</v>
      </c>
      <c r="M997" s="3" t="s">
        <v>33</v>
      </c>
      <c r="N997" s="2">
        <v>40.35</v>
      </c>
      <c r="O997" s="2">
        <v>4.7619047620000003</v>
      </c>
      <c r="P997" s="2">
        <v>2.0175000000000001</v>
      </c>
      <c r="Q997" s="2">
        <v>6.2</v>
      </c>
      <c r="R997" s="3"/>
      <c r="S997" s="1"/>
      <c r="T997" s="1"/>
      <c r="U997" s="1" t="s">
        <v>37</v>
      </c>
      <c r="V997" s="1" t="s">
        <v>37</v>
      </c>
      <c r="W997" s="1" t="s">
        <v>37</v>
      </c>
    </row>
    <row r="998" spans="1:23">
      <c r="A998" s="3" t="s">
        <v>5447</v>
      </c>
      <c r="B998" s="3" t="s">
        <v>115</v>
      </c>
      <c r="C998" s="3" t="s">
        <v>116</v>
      </c>
      <c r="D998" s="3" t="s">
        <v>41</v>
      </c>
      <c r="E998" s="3" t="s">
        <v>25</v>
      </c>
      <c r="F998" s="3" t="s">
        <v>53</v>
      </c>
      <c r="G998" s="2">
        <v>97.38</v>
      </c>
      <c r="H998" s="2">
        <v>10</v>
      </c>
      <c r="I998" s="2">
        <v>48.69</v>
      </c>
      <c r="J998" s="2">
        <v>1022.49</v>
      </c>
      <c r="K998" s="5">
        <v>43526</v>
      </c>
      <c r="L998" s="4">
        <v>0.71944444444444444</v>
      </c>
      <c r="M998" s="3" t="s">
        <v>33</v>
      </c>
      <c r="N998" s="2">
        <v>973.8</v>
      </c>
      <c r="O998" s="2">
        <v>4.7619047620000003</v>
      </c>
      <c r="P998" s="2">
        <v>48.69</v>
      </c>
      <c r="Q998" s="2">
        <v>4.4000000000000004</v>
      </c>
      <c r="R998" s="3"/>
      <c r="S998" s="1"/>
      <c r="T998" s="1"/>
      <c r="U998" s="1" t="s">
        <v>37</v>
      </c>
      <c r="V998" s="1" t="s">
        <v>37</v>
      </c>
      <c r="W998" s="1" t="s">
        <v>37</v>
      </c>
    </row>
    <row r="999" spans="1:23">
      <c r="A999" s="3" t="s">
        <v>5452</v>
      </c>
      <c r="B999" s="3" t="s">
        <v>22</v>
      </c>
      <c r="C999" s="3" t="s">
        <v>23</v>
      </c>
      <c r="D999" s="3" t="s">
        <v>24</v>
      </c>
      <c r="E999" s="3" t="s">
        <v>992</v>
      </c>
      <c r="F999" s="3" t="s">
        <v>117</v>
      </c>
      <c r="G999" s="2">
        <v>31.84</v>
      </c>
      <c r="H999" s="2">
        <v>1</v>
      </c>
      <c r="I999" s="2">
        <v>1.5920000000000001</v>
      </c>
      <c r="J999" s="2">
        <v>33.432000000000002</v>
      </c>
      <c r="K999" s="5">
        <v>43505</v>
      </c>
      <c r="L999" s="4">
        <v>0.55694444444444446</v>
      </c>
      <c r="M999" s="3" t="s">
        <v>49</v>
      </c>
      <c r="N999" s="2">
        <v>31.84</v>
      </c>
      <c r="O999" s="2">
        <v>4.7619047620000003</v>
      </c>
      <c r="P999" s="2">
        <v>1.5920000000000001</v>
      </c>
      <c r="Q999" s="2">
        <v>7.7</v>
      </c>
      <c r="R999" s="3"/>
      <c r="S999" s="1"/>
      <c r="T999" s="1"/>
      <c r="U999" s="1" t="s">
        <v>37</v>
      </c>
      <c r="V999" s="1" t="s">
        <v>37</v>
      </c>
      <c r="W999" s="1" t="s">
        <v>37</v>
      </c>
    </row>
    <row r="1000" spans="1:23">
      <c r="A1000" s="3" t="s">
        <v>5456</v>
      </c>
      <c r="B1000" s="3" t="s">
        <v>22</v>
      </c>
      <c r="C1000" s="3" t="s">
        <v>23</v>
      </c>
      <c r="D1000" s="3" t="s">
        <v>41</v>
      </c>
      <c r="E1000" s="3" t="s">
        <v>992</v>
      </c>
      <c r="F1000" s="3" t="s">
        <v>53</v>
      </c>
      <c r="G1000" s="2">
        <v>65.819999999999993</v>
      </c>
      <c r="H1000" s="2">
        <v>1</v>
      </c>
      <c r="I1000" s="2">
        <v>3.2909999999999999</v>
      </c>
      <c r="J1000" s="2">
        <v>69.111000000000004</v>
      </c>
      <c r="K1000" s="5">
        <v>43518</v>
      </c>
      <c r="L1000" s="4">
        <v>0.6479166666666667</v>
      </c>
      <c r="M1000" s="3" t="s">
        <v>49</v>
      </c>
      <c r="N1000" s="2">
        <v>65.819999999999993</v>
      </c>
      <c r="O1000" s="2">
        <v>4.7619047620000003</v>
      </c>
      <c r="P1000" s="2">
        <v>3.2909999999999999</v>
      </c>
      <c r="Q1000" s="2">
        <v>4.0999999999999996</v>
      </c>
      <c r="R1000" s="3"/>
      <c r="S1000" s="1"/>
      <c r="T1000" s="1"/>
      <c r="U1000" s="1" t="s">
        <v>37</v>
      </c>
      <c r="V1000" s="1" t="s">
        <v>37</v>
      </c>
      <c r="W1000" s="1" t="s">
        <v>37</v>
      </c>
    </row>
    <row r="1001" spans="1:23">
      <c r="A1001" s="3" t="s">
        <v>5460</v>
      </c>
      <c r="B1001" s="3" t="s">
        <v>22</v>
      </c>
      <c r="C1001" s="3" t="s">
        <v>23</v>
      </c>
      <c r="D1001" s="3" t="s">
        <v>24</v>
      </c>
      <c r="E1001" s="3" t="s">
        <v>25</v>
      </c>
      <c r="F1001" s="3" t="s">
        <v>127</v>
      </c>
      <c r="G1001" s="2">
        <v>88.34</v>
      </c>
      <c r="H1001" s="2">
        <v>7</v>
      </c>
      <c r="I1001" s="2">
        <v>30.919</v>
      </c>
      <c r="J1001" s="2">
        <v>649.29899999999998</v>
      </c>
      <c r="K1001" s="5">
        <v>43514</v>
      </c>
      <c r="L1001" s="4">
        <v>0.56111111111111112</v>
      </c>
      <c r="M1001" s="3" t="s">
        <v>49</v>
      </c>
      <c r="N1001" s="2">
        <v>618.38</v>
      </c>
      <c r="O1001" s="2">
        <v>4.7619047620000003</v>
      </c>
      <c r="P1001" s="2">
        <v>30.919</v>
      </c>
      <c r="Q1001" s="2">
        <v>6.6</v>
      </c>
      <c r="R1001" s="3"/>
      <c r="S1001" s="1"/>
      <c r="T1001" s="1"/>
      <c r="U1001" s="1" t="s">
        <v>37</v>
      </c>
      <c r="V1001" s="1" t="s">
        <v>37</v>
      </c>
      <c r="W1001" s="1" t="s">
        <v>37</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4C9E5-635D-4F14-8D46-1352ADAB6E69}">
  <dimension ref="A1:Z1002"/>
  <sheetViews>
    <sheetView topLeftCell="Q1" workbookViewId="0">
      <selection activeCell="X11" sqref="X11"/>
    </sheetView>
  </sheetViews>
  <sheetFormatPr defaultRowHeight="14.45"/>
  <cols>
    <col min="1" max="1" width="19.5703125" style="2" customWidth="1"/>
    <col min="2" max="2" width="16.7109375" style="2" customWidth="1"/>
    <col min="3" max="3" width="15" style="2" customWidth="1"/>
    <col min="4" max="4" width="20.42578125" style="2" customWidth="1"/>
    <col min="5" max="5" width="14.7109375" style="2" customWidth="1"/>
    <col min="6" max="6" width="27.85546875" style="2" customWidth="1"/>
    <col min="7" max="7" width="18.7109375" style="2" customWidth="1"/>
    <col min="8" max="8" width="10.5703125" style="2" bestFit="1" customWidth="1"/>
    <col min="9" max="9" width="16.7109375" style="2" customWidth="1"/>
    <col min="10" max="10" width="17.28515625" style="2" customWidth="1"/>
    <col min="11" max="11" width="15.85546875" style="2" customWidth="1"/>
    <col min="12" max="12" width="12.85546875" style="2" customWidth="1"/>
    <col min="13" max="13" width="17.85546875" style="2" customWidth="1"/>
    <col min="14" max="14" width="15" style="2" customWidth="1"/>
    <col min="15" max="15" width="24.140625" style="2" bestFit="1" customWidth="1"/>
    <col min="16" max="16" width="18.28515625" style="2" customWidth="1"/>
    <col min="17" max="17" width="12.7109375" style="2" customWidth="1"/>
    <col min="18" max="18" width="15" style="2" customWidth="1"/>
    <col min="19" max="19" width="18.5703125" style="2" customWidth="1"/>
    <col min="20" max="20" width="18.28515625" style="2" customWidth="1"/>
    <col min="21" max="21" width="17.5703125" customWidth="1"/>
    <col min="22" max="22" width="20" style="2" customWidth="1"/>
    <col min="23" max="23" width="20.85546875" style="19" customWidth="1"/>
    <col min="24" max="24" width="20.42578125" style="18" customWidth="1"/>
    <col min="25" max="25" width="15.42578125" style="19" customWidth="1"/>
  </cols>
  <sheetData>
    <row r="1" spans="1:26" s="21" customFormat="1">
      <c r="A1" s="20" t="s">
        <v>5465</v>
      </c>
      <c r="B1" s="20" t="s">
        <v>1</v>
      </c>
      <c r="C1" s="20" t="s">
        <v>2</v>
      </c>
      <c r="D1" s="20" t="s">
        <v>3</v>
      </c>
      <c r="E1" s="20" t="s">
        <v>4</v>
      </c>
      <c r="F1" s="20" t="s">
        <v>5</v>
      </c>
      <c r="G1" s="20" t="s">
        <v>6</v>
      </c>
      <c r="H1" s="20" t="s">
        <v>7</v>
      </c>
      <c r="I1" s="20" t="s">
        <v>8</v>
      </c>
      <c r="J1" s="20" t="s">
        <v>9</v>
      </c>
      <c r="K1" s="20" t="s">
        <v>10</v>
      </c>
      <c r="L1" s="20" t="s">
        <v>11</v>
      </c>
      <c r="M1" s="20" t="s">
        <v>12</v>
      </c>
      <c r="N1" s="20" t="s">
        <v>13</v>
      </c>
      <c r="O1" s="20" t="s">
        <v>14</v>
      </c>
      <c r="P1" s="20" t="s">
        <v>15</v>
      </c>
      <c r="Q1" s="20" t="s">
        <v>16</v>
      </c>
      <c r="R1" s="20" t="s">
        <v>5468</v>
      </c>
      <c r="S1" s="20" t="s">
        <v>5469</v>
      </c>
      <c r="T1" s="20" t="s">
        <v>5470</v>
      </c>
      <c r="U1" s="21" t="s">
        <v>5471</v>
      </c>
      <c r="V1" s="21" t="s">
        <v>17</v>
      </c>
      <c r="W1" s="22" t="s">
        <v>5472</v>
      </c>
      <c r="X1" s="22" t="s">
        <v>5473</v>
      </c>
      <c r="Y1" s="23" t="s">
        <v>5474</v>
      </c>
      <c r="Z1" s="21" t="s">
        <v>20</v>
      </c>
    </row>
    <row r="2" spans="1:26">
      <c r="A2" s="3" t="s">
        <v>21</v>
      </c>
      <c r="B2" s="3" t="s">
        <v>22</v>
      </c>
      <c r="C2" s="3" t="s">
        <v>23</v>
      </c>
      <c r="D2" s="3" t="s">
        <v>24</v>
      </c>
      <c r="E2" s="3" t="s">
        <v>25</v>
      </c>
      <c r="F2" s="3" t="s">
        <v>26</v>
      </c>
      <c r="G2" s="2">
        <v>74.69</v>
      </c>
      <c r="H2" s="2">
        <v>7</v>
      </c>
      <c r="I2" s="2">
        <v>26.141500000000001</v>
      </c>
      <c r="J2" s="2">
        <v>548.97149999999999</v>
      </c>
      <c r="K2" s="5">
        <v>43470</v>
      </c>
      <c r="L2" s="4">
        <v>0.54722222222222228</v>
      </c>
      <c r="M2" s="3" t="s">
        <v>33</v>
      </c>
      <c r="N2" s="2">
        <v>522.83000000000004</v>
      </c>
      <c r="O2" s="2">
        <v>4.7619047620000003</v>
      </c>
      <c r="P2" s="2">
        <v>26.141500000000001</v>
      </c>
      <c r="Q2" s="2">
        <v>9.1</v>
      </c>
      <c r="R2" s="3" t="str">
        <f>TEXT(K2,"mmmm")</f>
        <v>January</v>
      </c>
      <c r="S2" s="2">
        <f t="shared" ref="S2:S65" si="0">MONTH(K2)</f>
        <v>1</v>
      </c>
      <c r="T2" s="3" t="str">
        <f>IF(tbl_sales[[#This Row],[Sales]]&gt;=500,"High Value","Standard")</f>
        <v>High Value</v>
      </c>
      <c r="U2" s="1" t="str">
        <f>IF(tbl_sales[[#This Row],[Order Size]]="High Value","High Value Order","Standard Order")</f>
        <v>High Value Order</v>
      </c>
      <c r="V2" s="1"/>
      <c r="W2" s="16" t="s">
        <v>5475</v>
      </c>
      <c r="X2" s="16">
        <f t="shared" ref="X2" si="1">SUM(J2:J1001)</f>
        <v>322966.74900000007</v>
      </c>
      <c r="Y2" s="6"/>
      <c r="Z2" s="1" t="s">
        <v>37</v>
      </c>
    </row>
    <row r="3" spans="1:26">
      <c r="A3" s="3" t="s">
        <v>38</v>
      </c>
      <c r="B3" s="3" t="s">
        <v>39</v>
      </c>
      <c r="C3" s="3" t="s">
        <v>40</v>
      </c>
      <c r="D3" s="3" t="s">
        <v>41</v>
      </c>
      <c r="E3" s="3" t="s">
        <v>25</v>
      </c>
      <c r="F3" s="3" t="s">
        <v>42</v>
      </c>
      <c r="G3" s="2">
        <v>15.28</v>
      </c>
      <c r="H3" s="2">
        <v>5</v>
      </c>
      <c r="I3" s="2">
        <v>3.82</v>
      </c>
      <c r="J3" s="2">
        <v>80.22</v>
      </c>
      <c r="K3" s="5">
        <v>43532</v>
      </c>
      <c r="L3" s="4">
        <v>0.43680555555555556</v>
      </c>
      <c r="M3" s="3" t="s">
        <v>49</v>
      </c>
      <c r="N3" s="2">
        <v>76.400000000000006</v>
      </c>
      <c r="O3" s="2">
        <v>4.7619047620000003</v>
      </c>
      <c r="P3" s="2">
        <v>3.82</v>
      </c>
      <c r="Q3" s="2">
        <v>9.6</v>
      </c>
      <c r="R3" s="3" t="str">
        <f t="shared" ref="R3:R66" si="2">TEXT(K3,"mmmm")</f>
        <v>March</v>
      </c>
      <c r="S3" s="3">
        <f t="shared" si="0"/>
        <v>3</v>
      </c>
      <c r="T3" s="3" t="str">
        <f>IF(tbl_sales[[#This Row],[Sales]]&gt;=500,"High Value","Standard")</f>
        <v>Standard</v>
      </c>
      <c r="U3" s="1" t="str">
        <f>IF(tbl_sales[[#This Row],[Order Size]]="High Value","High Value Order","Standard Order")</f>
        <v>Standard Order</v>
      </c>
      <c r="V3" s="1"/>
      <c r="W3" s="16" t="s">
        <v>5476</v>
      </c>
      <c r="X3" s="16">
        <f>SUM(H2:H1001)</f>
        <v>5510</v>
      </c>
      <c r="Y3" s="6"/>
      <c r="Z3" s="1" t="s">
        <v>37</v>
      </c>
    </row>
    <row r="4" spans="1:26">
      <c r="A4" s="3" t="s">
        <v>52</v>
      </c>
      <c r="B4" s="3" t="s">
        <v>22</v>
      </c>
      <c r="C4" s="3" t="s">
        <v>23</v>
      </c>
      <c r="D4" s="3" t="s">
        <v>41</v>
      </c>
      <c r="E4" s="3" t="s">
        <v>25</v>
      </c>
      <c r="F4" s="3" t="s">
        <v>53</v>
      </c>
      <c r="G4" s="2">
        <v>46.33</v>
      </c>
      <c r="H4" s="2">
        <v>7</v>
      </c>
      <c r="I4" s="2">
        <v>16.215499999999999</v>
      </c>
      <c r="J4" s="2">
        <v>340.52550000000002</v>
      </c>
      <c r="K4" s="5">
        <v>43527</v>
      </c>
      <c r="L4" s="4">
        <v>0.55763888888888891</v>
      </c>
      <c r="M4" s="3" t="s">
        <v>59</v>
      </c>
      <c r="N4" s="2">
        <v>324.31</v>
      </c>
      <c r="O4" s="2">
        <v>4.7619047620000003</v>
      </c>
      <c r="P4" s="2">
        <v>16.215499999999999</v>
      </c>
      <c r="Q4" s="2">
        <v>7.4</v>
      </c>
      <c r="R4" s="3" t="str">
        <f t="shared" si="2"/>
        <v>March</v>
      </c>
      <c r="S4" s="3">
        <f t="shared" si="0"/>
        <v>3</v>
      </c>
      <c r="T4" s="3" t="str">
        <f>IF(tbl_sales[[#This Row],[Sales]]&gt;=500,"High Value","Standard")</f>
        <v>Standard</v>
      </c>
      <c r="U4" s="1" t="str">
        <f>IF(tbl_sales[[#This Row],[Order Size]]="High Value","High Value Order","Standard Order")</f>
        <v>Standard Order</v>
      </c>
      <c r="V4" s="1"/>
      <c r="W4" s="16" t="s">
        <v>5477</v>
      </c>
      <c r="X4" s="16">
        <f>SUM(N2:N1001)</f>
        <v>307587.38000000035</v>
      </c>
      <c r="Y4" s="6"/>
      <c r="Z4" s="1" t="s">
        <v>37</v>
      </c>
    </row>
    <row r="5" spans="1:26">
      <c r="A5" s="3" t="s">
        <v>62</v>
      </c>
      <c r="B5" s="3" t="s">
        <v>22</v>
      </c>
      <c r="C5" s="3" t="s">
        <v>23</v>
      </c>
      <c r="D5" s="3" t="s">
        <v>24</v>
      </c>
      <c r="E5" s="3" t="s">
        <v>25</v>
      </c>
      <c r="F5" s="3" t="s">
        <v>26</v>
      </c>
      <c r="G5" s="2">
        <v>58.22</v>
      </c>
      <c r="H5" s="2">
        <v>8</v>
      </c>
      <c r="I5" s="2">
        <v>23.288</v>
      </c>
      <c r="J5" s="2">
        <v>489.048</v>
      </c>
      <c r="K5" s="5">
        <v>43492</v>
      </c>
      <c r="L5" s="4">
        <v>0.85624999999999996</v>
      </c>
      <c r="M5" s="3" t="s">
        <v>33</v>
      </c>
      <c r="N5" s="2">
        <v>465.76</v>
      </c>
      <c r="O5" s="2">
        <v>4.7619047620000003</v>
      </c>
      <c r="P5" s="2">
        <v>23.288</v>
      </c>
      <c r="Q5" s="2">
        <v>8.4</v>
      </c>
      <c r="R5" s="3" t="str">
        <f t="shared" si="2"/>
        <v>January</v>
      </c>
      <c r="S5" s="3">
        <f t="shared" si="0"/>
        <v>1</v>
      </c>
      <c r="T5" s="3" t="str">
        <f>IF(tbl_sales[[#This Row],[Sales]]&gt;=500,"High Value","Standard")</f>
        <v>Standard</v>
      </c>
      <c r="U5" s="1" t="str">
        <f>IF(tbl_sales[[#This Row],[Order Size]]="High Value","High Value Order","Standard Order")</f>
        <v>Standard Order</v>
      </c>
      <c r="V5" s="1"/>
      <c r="W5" s="16" t="s">
        <v>5478</v>
      </c>
      <c r="X5" s="16">
        <f>SUM(P2:P1001)</f>
        <v>15379.369000000002</v>
      </c>
      <c r="Y5" s="6"/>
      <c r="Z5" s="1" t="s">
        <v>37</v>
      </c>
    </row>
    <row r="6" spans="1:26">
      <c r="A6" s="3" t="s">
        <v>71</v>
      </c>
      <c r="B6" s="3" t="s">
        <v>22</v>
      </c>
      <c r="C6" s="3" t="s">
        <v>23</v>
      </c>
      <c r="D6" s="3" t="s">
        <v>24</v>
      </c>
      <c r="E6" s="3" t="s">
        <v>25</v>
      </c>
      <c r="F6" s="3" t="s">
        <v>72</v>
      </c>
      <c r="G6" s="2">
        <v>86.31</v>
      </c>
      <c r="H6" s="2">
        <v>7</v>
      </c>
      <c r="I6" s="2">
        <v>30.208500000000001</v>
      </c>
      <c r="J6" s="2">
        <v>634.37850000000003</v>
      </c>
      <c r="K6" s="5">
        <v>43504</v>
      </c>
      <c r="L6" s="4">
        <v>0.44236111111111109</v>
      </c>
      <c r="M6" s="3" t="s">
        <v>33</v>
      </c>
      <c r="N6" s="2">
        <v>604.16999999999996</v>
      </c>
      <c r="O6" s="2">
        <v>4.7619047620000003</v>
      </c>
      <c r="P6" s="2">
        <v>30.208500000000001</v>
      </c>
      <c r="Q6" s="2">
        <v>5.3</v>
      </c>
      <c r="R6" s="3" t="str">
        <f t="shared" si="2"/>
        <v>February</v>
      </c>
      <c r="S6" s="3">
        <f t="shared" si="0"/>
        <v>2</v>
      </c>
      <c r="T6" s="3" t="str">
        <f>IF(tbl_sales[[#This Row],[Sales]]&gt;=500,"High Value","Standard")</f>
        <v>High Value</v>
      </c>
      <c r="U6" s="1" t="str">
        <f>IF(tbl_sales[[#This Row],[Order Size]]="High Value","High Value Order","Standard Order")</f>
        <v>High Value Order</v>
      </c>
      <c r="V6" s="1"/>
      <c r="W6" s="16" t="s">
        <v>5479</v>
      </c>
      <c r="X6" s="16">
        <f>AVERAGE(Q2:Q1001)</f>
        <v>6.9727000000000032</v>
      </c>
      <c r="Y6" s="6"/>
      <c r="Z6" s="1" t="s">
        <v>37</v>
      </c>
    </row>
    <row r="7" spans="1:26">
      <c r="A7" s="3" t="s">
        <v>80</v>
      </c>
      <c r="B7" s="3" t="s">
        <v>39</v>
      </c>
      <c r="C7" s="3" t="s">
        <v>40</v>
      </c>
      <c r="D7" s="3" t="s">
        <v>24</v>
      </c>
      <c r="E7" s="3" t="s">
        <v>25</v>
      </c>
      <c r="F7" s="3" t="s">
        <v>42</v>
      </c>
      <c r="G7" s="2">
        <v>85.39</v>
      </c>
      <c r="H7" s="2">
        <v>7</v>
      </c>
      <c r="I7" s="2">
        <v>29.886500000000002</v>
      </c>
      <c r="J7" s="2">
        <v>627.61649999999997</v>
      </c>
      <c r="K7" s="5">
        <v>43549</v>
      </c>
      <c r="L7" s="4">
        <v>0.77083333333333337</v>
      </c>
      <c r="M7" s="3" t="s">
        <v>33</v>
      </c>
      <c r="N7" s="2">
        <v>597.73</v>
      </c>
      <c r="O7" s="2">
        <v>4.7619047620000003</v>
      </c>
      <c r="P7" s="2">
        <v>29.886500000000002</v>
      </c>
      <c r="Q7" s="2">
        <v>4.0999999999999996</v>
      </c>
      <c r="R7" s="3" t="str">
        <f t="shared" si="2"/>
        <v>March</v>
      </c>
      <c r="S7" s="3">
        <f t="shared" si="0"/>
        <v>3</v>
      </c>
      <c r="T7" s="3" t="str">
        <f>IF(tbl_sales[[#This Row],[Sales]]&gt;=500,"High Value","Standard")</f>
        <v>High Value</v>
      </c>
      <c r="U7" s="1" t="str">
        <f>IF(tbl_sales[[#This Row],[Order Size]]="High Value","High Value Order","Standard Order")</f>
        <v>High Value Order</v>
      </c>
      <c r="V7" s="1"/>
      <c r="W7" s="17" t="s">
        <v>37</v>
      </c>
      <c r="X7" s="17"/>
      <c r="Y7" s="6"/>
      <c r="Z7" s="1" t="s">
        <v>37</v>
      </c>
    </row>
    <row r="8" spans="1:26" ht="15.6">
      <c r="A8" s="3" t="s">
        <v>88</v>
      </c>
      <c r="B8" s="3" t="s">
        <v>22</v>
      </c>
      <c r="C8" s="3" t="s">
        <v>23</v>
      </c>
      <c r="D8" s="3" t="s">
        <v>24</v>
      </c>
      <c r="E8" s="3" t="s">
        <v>25</v>
      </c>
      <c r="F8" s="3" t="s">
        <v>42</v>
      </c>
      <c r="G8" s="2">
        <v>68.84</v>
      </c>
      <c r="H8" s="2">
        <v>6</v>
      </c>
      <c r="I8" s="2">
        <v>20.652000000000001</v>
      </c>
      <c r="J8" s="2">
        <v>433.69200000000001</v>
      </c>
      <c r="K8" s="5">
        <v>43521</v>
      </c>
      <c r="L8" s="4">
        <v>0.60833333333333328</v>
      </c>
      <c r="M8" s="3" t="s">
        <v>33</v>
      </c>
      <c r="N8" s="2">
        <v>413.04</v>
      </c>
      <c r="O8" s="2">
        <v>4.7619047620000003</v>
      </c>
      <c r="P8" s="2">
        <v>20.652000000000001</v>
      </c>
      <c r="Q8" s="2">
        <v>5.8</v>
      </c>
      <c r="R8" s="3" t="str">
        <f t="shared" si="2"/>
        <v>February</v>
      </c>
      <c r="S8" s="3">
        <f t="shared" si="0"/>
        <v>2</v>
      </c>
      <c r="T8" s="3" t="str">
        <f>IF(tbl_sales[[#This Row],[Sales]]&gt;=500,"High Value","Standard")</f>
        <v>Standard</v>
      </c>
      <c r="U8" s="1" t="str">
        <f>IF(tbl_sales[[#This Row],[Order Size]]="High Value","High Value Order","Standard Order")</f>
        <v>Standard Order</v>
      </c>
      <c r="V8" s="1"/>
      <c r="W8" s="14" t="s">
        <v>1</v>
      </c>
      <c r="X8" s="14" t="s">
        <v>5475</v>
      </c>
      <c r="Y8" s="6"/>
      <c r="Z8" s="1" t="s">
        <v>37</v>
      </c>
    </row>
    <row r="9" spans="1:26">
      <c r="A9" s="3" t="s">
        <v>97</v>
      </c>
      <c r="B9" s="3" t="s">
        <v>39</v>
      </c>
      <c r="C9" s="3" t="s">
        <v>40</v>
      </c>
      <c r="D9" s="3" t="s">
        <v>24</v>
      </c>
      <c r="E9" s="3" t="s">
        <v>25</v>
      </c>
      <c r="F9" s="3" t="s">
        <v>53</v>
      </c>
      <c r="G9" s="2">
        <v>73.56</v>
      </c>
      <c r="H9" s="2">
        <v>10</v>
      </c>
      <c r="I9" s="2">
        <v>36.78</v>
      </c>
      <c r="J9" s="2">
        <v>772.38</v>
      </c>
      <c r="K9" s="5">
        <v>43520</v>
      </c>
      <c r="L9" s="4">
        <v>0.48472222222222222</v>
      </c>
      <c r="M9" s="3" t="s">
        <v>33</v>
      </c>
      <c r="N9" s="2">
        <v>735.6</v>
      </c>
      <c r="O9" s="2">
        <v>4.7619047620000003</v>
      </c>
      <c r="P9" s="2">
        <v>36.78</v>
      </c>
      <c r="Q9" s="2">
        <v>8</v>
      </c>
      <c r="R9" s="3" t="str">
        <f t="shared" si="2"/>
        <v>February</v>
      </c>
      <c r="S9" s="3">
        <f t="shared" si="0"/>
        <v>2</v>
      </c>
      <c r="T9" s="3" t="str">
        <f>IF(tbl_sales[[#This Row],[Sales]]&gt;=500,"High Value","Standard")</f>
        <v>High Value</v>
      </c>
      <c r="U9" s="1" t="str">
        <f>IF(tbl_sales[[#This Row],[Order Size]]="High Value","High Value Order","Standard Order")</f>
        <v>High Value Order</v>
      </c>
      <c r="V9" s="1"/>
      <c r="W9" s="17" t="s">
        <v>22</v>
      </c>
      <c r="X9" s="17">
        <f>SUMIF(tbl_sales[Branch],"Alex",tbl_sales[Sales])</f>
        <v>106200.37050000011</v>
      </c>
      <c r="Y9" s="6"/>
      <c r="Z9" s="1" t="s">
        <v>37</v>
      </c>
    </row>
    <row r="10" spans="1:26">
      <c r="A10" s="3" t="s">
        <v>105</v>
      </c>
      <c r="B10" s="3" t="s">
        <v>22</v>
      </c>
      <c r="C10" s="3" t="s">
        <v>23</v>
      </c>
      <c r="D10" s="3" t="s">
        <v>24</v>
      </c>
      <c r="E10" s="3" t="s">
        <v>25</v>
      </c>
      <c r="F10" s="3" t="s">
        <v>26</v>
      </c>
      <c r="G10" s="2">
        <v>36.26</v>
      </c>
      <c r="H10" s="2">
        <v>2</v>
      </c>
      <c r="I10" s="2">
        <v>3.6259999999999999</v>
      </c>
      <c r="J10" s="2">
        <v>76.146000000000001</v>
      </c>
      <c r="K10" s="5">
        <v>43475</v>
      </c>
      <c r="L10" s="4">
        <v>0.71875</v>
      </c>
      <c r="M10" s="3" t="s">
        <v>59</v>
      </c>
      <c r="N10" s="2">
        <v>72.52</v>
      </c>
      <c r="O10" s="2">
        <v>4.7619047620000003</v>
      </c>
      <c r="P10" s="2">
        <v>3.6259999999999999</v>
      </c>
      <c r="Q10" s="2">
        <v>7.2</v>
      </c>
      <c r="R10" s="3" t="str">
        <f t="shared" si="2"/>
        <v>January</v>
      </c>
      <c r="S10" s="3">
        <f t="shared" si="0"/>
        <v>1</v>
      </c>
      <c r="T10" s="3" t="str">
        <f>IF(tbl_sales[[#This Row],[Sales]]&gt;=500,"High Value","Standard")</f>
        <v>Standard</v>
      </c>
      <c r="U10" s="1" t="str">
        <f>IF(tbl_sales[[#This Row],[Order Size]]="High Value","High Value Order","Standard Order")</f>
        <v>Standard Order</v>
      </c>
      <c r="V10" s="1"/>
      <c r="W10" s="17" t="s">
        <v>115</v>
      </c>
      <c r="X10" s="17">
        <f>SUMIF(tbl_sales[Branch],"Cairo",tbl_sales[Sales])</f>
        <v>106197.67199999996</v>
      </c>
      <c r="Y10" s="6"/>
      <c r="Z10" s="1" t="s">
        <v>37</v>
      </c>
    </row>
    <row r="11" spans="1:26">
      <c r="A11" s="3" t="s">
        <v>114</v>
      </c>
      <c r="B11" s="3" t="s">
        <v>115</v>
      </c>
      <c r="C11" s="3" t="s">
        <v>116</v>
      </c>
      <c r="D11" s="3" t="s">
        <v>24</v>
      </c>
      <c r="E11" s="3" t="s">
        <v>25</v>
      </c>
      <c r="F11" s="3" t="s">
        <v>117</v>
      </c>
      <c r="G11" s="2">
        <v>54.84</v>
      </c>
      <c r="H11" s="2">
        <v>3</v>
      </c>
      <c r="I11" s="2">
        <v>8.2260000000000009</v>
      </c>
      <c r="J11" s="2">
        <v>172.74600000000001</v>
      </c>
      <c r="K11" s="5">
        <v>43516</v>
      </c>
      <c r="L11" s="4">
        <v>0.56041666666666667</v>
      </c>
      <c r="M11" s="3" t="s">
        <v>59</v>
      </c>
      <c r="N11" s="2">
        <v>164.52</v>
      </c>
      <c r="O11" s="2">
        <v>4.7619047620000003</v>
      </c>
      <c r="P11" s="2">
        <v>8.2260000000000009</v>
      </c>
      <c r="Q11" s="2">
        <v>5.9</v>
      </c>
      <c r="R11" s="3" t="str">
        <f t="shared" si="2"/>
        <v>February</v>
      </c>
      <c r="S11" s="3">
        <f t="shared" si="0"/>
        <v>2</v>
      </c>
      <c r="T11" s="3" t="str">
        <f>IF(tbl_sales[[#This Row],[Sales]]&gt;=500,"High Value","Standard")</f>
        <v>Standard</v>
      </c>
      <c r="U11" s="1" t="str">
        <f>IF(tbl_sales[[#This Row],[Order Size]]="High Value","High Value Order","Standard Order")</f>
        <v>Standard Order</v>
      </c>
      <c r="V11" s="1"/>
      <c r="W11" s="17" t="s">
        <v>39</v>
      </c>
      <c r="X11" s="17">
        <f>SUMIF(tbl_sales[Branch],"Giza",tbl_sales[Sales])</f>
        <v>110568.70649999994</v>
      </c>
      <c r="Y11" s="6"/>
      <c r="Z11" s="1"/>
    </row>
    <row r="12" spans="1:26">
      <c r="A12" s="3" t="s">
        <v>126</v>
      </c>
      <c r="B12" s="3" t="s">
        <v>115</v>
      </c>
      <c r="C12" s="3" t="s">
        <v>116</v>
      </c>
      <c r="D12" s="3" t="s">
        <v>24</v>
      </c>
      <c r="E12" s="3" t="s">
        <v>25</v>
      </c>
      <c r="F12" s="3" t="s">
        <v>127</v>
      </c>
      <c r="G12" s="2">
        <v>14.48</v>
      </c>
      <c r="H12" s="2">
        <v>4</v>
      </c>
      <c r="I12" s="2">
        <v>2.8959999999999999</v>
      </c>
      <c r="J12" s="2">
        <v>60.816000000000003</v>
      </c>
      <c r="K12" s="5">
        <v>43502</v>
      </c>
      <c r="L12" s="4">
        <v>0.75486111111111109</v>
      </c>
      <c r="M12" s="3" t="s">
        <v>33</v>
      </c>
      <c r="N12" s="2">
        <v>57.92</v>
      </c>
      <c r="O12" s="2">
        <v>4.7619047620000003</v>
      </c>
      <c r="P12" s="2">
        <v>2.8959999999999999</v>
      </c>
      <c r="Q12" s="2">
        <v>4.5</v>
      </c>
      <c r="R12" s="3" t="str">
        <f t="shared" si="2"/>
        <v>February</v>
      </c>
      <c r="S12" s="3">
        <f t="shared" si="0"/>
        <v>2</v>
      </c>
      <c r="T12" s="3" t="str">
        <f>IF(tbl_sales[[#This Row],[Sales]]&gt;=500,"High Value","Standard")</f>
        <v>Standard</v>
      </c>
      <c r="U12" s="1" t="str">
        <f>IF(tbl_sales[[#This Row],[Order Size]]="High Value","High Value Order","Standard Order")</f>
        <v>Standard Order</v>
      </c>
      <c r="V12" s="1"/>
      <c r="W12" s="17" t="s">
        <v>37</v>
      </c>
      <c r="X12" s="17"/>
      <c r="Y12" s="6"/>
      <c r="Z12" s="1"/>
    </row>
    <row r="13" spans="1:26" ht="15.6">
      <c r="A13" s="3" t="s">
        <v>136</v>
      </c>
      <c r="B13" s="3" t="s">
        <v>115</v>
      </c>
      <c r="C13" s="3" t="s">
        <v>116</v>
      </c>
      <c r="D13" s="3" t="s">
        <v>24</v>
      </c>
      <c r="E13" s="3" t="s">
        <v>25</v>
      </c>
      <c r="F13" s="3" t="s">
        <v>42</v>
      </c>
      <c r="G13" s="2">
        <v>25.51</v>
      </c>
      <c r="H13" s="2">
        <v>4</v>
      </c>
      <c r="I13" s="2">
        <v>5.1020000000000003</v>
      </c>
      <c r="J13" s="2">
        <v>107.142</v>
      </c>
      <c r="K13" s="5">
        <v>43533</v>
      </c>
      <c r="L13" s="4">
        <v>0.7104166666666667</v>
      </c>
      <c r="M13" s="3" t="s">
        <v>49</v>
      </c>
      <c r="N13" s="2">
        <v>102.04</v>
      </c>
      <c r="O13" s="2">
        <v>4.7619047620000003</v>
      </c>
      <c r="P13" s="2">
        <v>5.1020000000000003</v>
      </c>
      <c r="Q13" s="2">
        <v>6.8</v>
      </c>
      <c r="R13" s="3" t="str">
        <f t="shared" si="2"/>
        <v>March</v>
      </c>
      <c r="S13" s="3">
        <f t="shared" si="0"/>
        <v>3</v>
      </c>
      <c r="T13" s="3" t="str">
        <f>IF(tbl_sales[[#This Row],[Sales]]&gt;=500,"High Value","Standard")</f>
        <v>Standard</v>
      </c>
      <c r="U13" s="1" t="str">
        <f>IF(tbl_sales[[#This Row],[Order Size]]="High Value","High Value Order","Standard Order")</f>
        <v>Standard Order</v>
      </c>
      <c r="V13" s="1"/>
      <c r="W13" s="14" t="s">
        <v>5468</v>
      </c>
      <c r="X13" s="14" t="s">
        <v>5475</v>
      </c>
      <c r="Y13" s="6"/>
      <c r="Z13" s="1"/>
    </row>
    <row r="14" spans="1:26">
      <c r="A14" s="3" t="s">
        <v>144</v>
      </c>
      <c r="B14" s="3" t="s">
        <v>22</v>
      </c>
      <c r="C14" s="3" t="s">
        <v>23</v>
      </c>
      <c r="D14" s="3" t="s">
        <v>24</v>
      </c>
      <c r="E14" s="3" t="s">
        <v>25</v>
      </c>
      <c r="F14" s="3" t="s">
        <v>42</v>
      </c>
      <c r="G14" s="2">
        <v>46.95</v>
      </c>
      <c r="H14" s="2">
        <v>5</v>
      </c>
      <c r="I14" s="2">
        <v>11.737500000000001</v>
      </c>
      <c r="J14" s="2">
        <v>246.48750000000001</v>
      </c>
      <c r="K14" s="5">
        <v>43508</v>
      </c>
      <c r="L14" s="4">
        <v>0.43402777777777779</v>
      </c>
      <c r="M14" s="3" t="s">
        <v>33</v>
      </c>
      <c r="N14" s="2">
        <v>234.75</v>
      </c>
      <c r="O14" s="2">
        <v>4.7619047620000003</v>
      </c>
      <c r="P14" s="2">
        <v>11.737500000000001</v>
      </c>
      <c r="Q14" s="2">
        <v>7.1</v>
      </c>
      <c r="R14" s="3" t="str">
        <f t="shared" si="2"/>
        <v>February</v>
      </c>
      <c r="S14" s="3">
        <f t="shared" si="0"/>
        <v>2</v>
      </c>
      <c r="T14" s="3" t="str">
        <f>IF(tbl_sales[[#This Row],[Sales]]&gt;=500,"High Value","Standard")</f>
        <v>Standard</v>
      </c>
      <c r="U14" s="1" t="str">
        <f>IF(tbl_sales[[#This Row],[Order Size]]="High Value","High Value Order","Standard Order")</f>
        <v>Standard Order</v>
      </c>
      <c r="V14" s="1"/>
      <c r="W14" s="17" t="s">
        <v>5480</v>
      </c>
      <c r="X14" s="17">
        <f>SUMIF(tbl_sales[Month],"January",tbl_sales[Sales])</f>
        <v>116291.86800000005</v>
      </c>
      <c r="Y14" s="6"/>
      <c r="Z14" s="1"/>
    </row>
    <row r="15" spans="1:26">
      <c r="A15" s="3" t="s">
        <v>152</v>
      </c>
      <c r="B15" s="3" t="s">
        <v>22</v>
      </c>
      <c r="C15" s="3" t="s">
        <v>23</v>
      </c>
      <c r="D15" s="3" t="s">
        <v>24</v>
      </c>
      <c r="E15" s="3" t="s">
        <v>25</v>
      </c>
      <c r="F15" s="3" t="s">
        <v>117</v>
      </c>
      <c r="G15" s="2">
        <v>43.19</v>
      </c>
      <c r="H15" s="2">
        <v>10</v>
      </c>
      <c r="I15" s="2">
        <v>21.594999999999999</v>
      </c>
      <c r="J15" s="2">
        <v>453.495</v>
      </c>
      <c r="K15" s="5">
        <v>43503</v>
      </c>
      <c r="L15" s="4">
        <v>0.7</v>
      </c>
      <c r="M15" s="3" t="s">
        <v>33</v>
      </c>
      <c r="N15" s="2">
        <v>431.9</v>
      </c>
      <c r="O15" s="2">
        <v>4.7619047620000003</v>
      </c>
      <c r="P15" s="2">
        <v>21.594999999999999</v>
      </c>
      <c r="Q15" s="2">
        <v>8.1999999999999993</v>
      </c>
      <c r="R15" s="3" t="str">
        <f t="shared" si="2"/>
        <v>February</v>
      </c>
      <c r="S15" s="3">
        <f t="shared" si="0"/>
        <v>2</v>
      </c>
      <c r="T15" s="3" t="str">
        <f>IF(tbl_sales[[#This Row],[Sales]]&gt;=500,"High Value","Standard")</f>
        <v>Standard</v>
      </c>
      <c r="U15" s="1" t="str">
        <f>IF(tbl_sales[[#This Row],[Order Size]]="High Value","High Value Order","Standard Order")</f>
        <v>Standard Order</v>
      </c>
      <c r="V15" s="1"/>
      <c r="W15" s="17" t="s">
        <v>5481</v>
      </c>
      <c r="X15" s="17">
        <f>SUMIF(tbl_sales[Month],"February",tbl_sales[Sales])</f>
        <v>97219.373999999967</v>
      </c>
      <c r="Y15" s="6"/>
      <c r="Z15" s="1"/>
    </row>
    <row r="16" spans="1:26">
      <c r="A16" s="3" t="s">
        <v>160</v>
      </c>
      <c r="B16" s="3" t="s">
        <v>22</v>
      </c>
      <c r="C16" s="3" t="s">
        <v>23</v>
      </c>
      <c r="D16" s="3" t="s">
        <v>24</v>
      </c>
      <c r="E16" s="3" t="s">
        <v>25</v>
      </c>
      <c r="F16" s="3" t="s">
        <v>26</v>
      </c>
      <c r="G16" s="2">
        <v>71.38</v>
      </c>
      <c r="H16" s="2">
        <v>10</v>
      </c>
      <c r="I16" s="2">
        <v>35.69</v>
      </c>
      <c r="J16" s="2">
        <v>749.49</v>
      </c>
      <c r="K16" s="5">
        <v>43553</v>
      </c>
      <c r="L16" s="4">
        <v>0.80625000000000002</v>
      </c>
      <c r="M16" s="3" t="s">
        <v>49</v>
      </c>
      <c r="N16" s="2">
        <v>713.8</v>
      </c>
      <c r="O16" s="2">
        <v>4.7619047620000003</v>
      </c>
      <c r="P16" s="2">
        <v>35.69</v>
      </c>
      <c r="Q16" s="2">
        <v>5.7</v>
      </c>
      <c r="R16" s="3" t="str">
        <f t="shared" si="2"/>
        <v>March</v>
      </c>
      <c r="S16" s="3">
        <f t="shared" si="0"/>
        <v>3</v>
      </c>
      <c r="T16" s="3" t="str">
        <f>IF(tbl_sales[[#This Row],[Sales]]&gt;=500,"High Value","Standard")</f>
        <v>High Value</v>
      </c>
      <c r="U16" s="1" t="str">
        <f>IF(tbl_sales[[#This Row],[Order Size]]="High Value","High Value Order","Standard Order")</f>
        <v>High Value Order</v>
      </c>
      <c r="V16" s="1"/>
      <c r="W16" s="17" t="s">
        <v>5482</v>
      </c>
      <c r="X16" s="17">
        <f>SUMIF(tbl_sales[Month],"March",tbl_sales[Sales])</f>
        <v>109455.50700000004</v>
      </c>
      <c r="Y16" s="6"/>
      <c r="Z16" s="1"/>
    </row>
    <row r="17" spans="1:26">
      <c r="A17" s="3" t="s">
        <v>168</v>
      </c>
      <c r="B17" s="3" t="s">
        <v>115</v>
      </c>
      <c r="C17" s="3" t="s">
        <v>116</v>
      </c>
      <c r="D17" s="3" t="s">
        <v>24</v>
      </c>
      <c r="E17" s="3" t="s">
        <v>25</v>
      </c>
      <c r="F17" s="3" t="s">
        <v>72</v>
      </c>
      <c r="G17" s="2">
        <v>93.72</v>
      </c>
      <c r="H17" s="2">
        <v>6</v>
      </c>
      <c r="I17" s="2">
        <v>28.116</v>
      </c>
      <c r="J17" s="2">
        <v>590.43600000000004</v>
      </c>
      <c r="K17" s="5">
        <v>43480</v>
      </c>
      <c r="L17" s="4">
        <v>0.67986111111111114</v>
      </c>
      <c r="M17" s="3" t="s">
        <v>49</v>
      </c>
      <c r="N17" s="2">
        <v>562.32000000000005</v>
      </c>
      <c r="O17" s="2">
        <v>4.7619047620000003</v>
      </c>
      <c r="P17" s="2">
        <v>28.116</v>
      </c>
      <c r="Q17" s="2">
        <v>4.5</v>
      </c>
      <c r="R17" s="3" t="str">
        <f t="shared" si="2"/>
        <v>January</v>
      </c>
      <c r="S17" s="3">
        <f t="shared" si="0"/>
        <v>1</v>
      </c>
      <c r="T17" s="3" t="str">
        <f>IF(tbl_sales[[#This Row],[Sales]]&gt;=500,"High Value","Standard")</f>
        <v>High Value</v>
      </c>
      <c r="U17" s="1" t="str">
        <f>IF(tbl_sales[[#This Row],[Order Size]]="High Value","High Value Order","Standard Order")</f>
        <v>High Value Order</v>
      </c>
      <c r="V17" s="1"/>
      <c r="W17" s="17" t="s">
        <v>37</v>
      </c>
      <c r="X17" s="17"/>
      <c r="Y17" s="6"/>
      <c r="Z17" s="1"/>
    </row>
    <row r="18" spans="1:26" ht="15.6">
      <c r="A18" s="3" t="s">
        <v>175</v>
      </c>
      <c r="B18" s="3" t="s">
        <v>22</v>
      </c>
      <c r="C18" s="3" t="s">
        <v>23</v>
      </c>
      <c r="D18" s="3" t="s">
        <v>24</v>
      </c>
      <c r="E18" s="3" t="s">
        <v>25</v>
      </c>
      <c r="F18" s="3" t="s">
        <v>26</v>
      </c>
      <c r="G18" s="2">
        <v>68.930000000000007</v>
      </c>
      <c r="H18" s="2">
        <v>7</v>
      </c>
      <c r="I18" s="2">
        <v>24.125499999999999</v>
      </c>
      <c r="J18" s="2">
        <v>506.63549999999998</v>
      </c>
      <c r="K18" s="5">
        <v>43535</v>
      </c>
      <c r="L18" s="4">
        <v>0.46041666666666664</v>
      </c>
      <c r="M18" s="3" t="s">
        <v>59</v>
      </c>
      <c r="N18" s="2">
        <v>482.51</v>
      </c>
      <c r="O18" s="2">
        <v>4.7619047620000003</v>
      </c>
      <c r="P18" s="2">
        <v>24.125499999999999</v>
      </c>
      <c r="Q18" s="2">
        <v>4.5999999999999996</v>
      </c>
      <c r="R18" s="3" t="str">
        <f t="shared" si="2"/>
        <v>March</v>
      </c>
      <c r="S18" s="3">
        <f t="shared" si="0"/>
        <v>3</v>
      </c>
      <c r="T18" s="3" t="str">
        <f>IF(tbl_sales[[#This Row],[Sales]]&gt;=500,"High Value","Standard")</f>
        <v>High Value</v>
      </c>
      <c r="U18" s="1" t="str">
        <f>IF(tbl_sales[[#This Row],[Order Size]]="High Value","High Value Order","Standard Order")</f>
        <v>High Value Order</v>
      </c>
      <c r="V18" s="1"/>
      <c r="W18" s="14" t="s">
        <v>5470</v>
      </c>
      <c r="X18" s="14" t="s">
        <v>5483</v>
      </c>
      <c r="Y18" s="6"/>
      <c r="Z18" s="1"/>
    </row>
    <row r="19" spans="1:26">
      <c r="A19" s="3" t="s">
        <v>183</v>
      </c>
      <c r="B19" s="3" t="s">
        <v>22</v>
      </c>
      <c r="C19" s="3" t="s">
        <v>23</v>
      </c>
      <c r="D19" s="3" t="s">
        <v>24</v>
      </c>
      <c r="E19" s="3" t="s">
        <v>25</v>
      </c>
      <c r="F19" s="3" t="s">
        <v>72</v>
      </c>
      <c r="G19" s="2">
        <v>72.61</v>
      </c>
      <c r="H19" s="2">
        <v>6</v>
      </c>
      <c r="I19" s="2">
        <v>21.783000000000001</v>
      </c>
      <c r="J19" s="2">
        <v>457.44299999999998</v>
      </c>
      <c r="K19" s="5">
        <v>43466</v>
      </c>
      <c r="L19" s="4">
        <v>0.44374999999999998</v>
      </c>
      <c r="M19" s="3" t="s">
        <v>59</v>
      </c>
      <c r="N19" s="2">
        <v>435.66</v>
      </c>
      <c r="O19" s="2">
        <v>4.7619047620000003</v>
      </c>
      <c r="P19" s="2">
        <v>21.783000000000001</v>
      </c>
      <c r="Q19" s="2">
        <v>6.9</v>
      </c>
      <c r="R19" s="3" t="str">
        <f t="shared" si="2"/>
        <v>January</v>
      </c>
      <c r="S19" s="3">
        <f t="shared" si="0"/>
        <v>1</v>
      </c>
      <c r="T19" s="3" t="str">
        <f>IF(tbl_sales[[#This Row],[Sales]]&gt;=500,"High Value","Standard")</f>
        <v>Standard</v>
      </c>
      <c r="U19" s="1" t="str">
        <f>IF(tbl_sales[[#This Row],[Order Size]]="High Value","High Value Order","Standard Order")</f>
        <v>Standard Order</v>
      </c>
      <c r="V19" s="1"/>
      <c r="W19" s="17" t="s">
        <v>5484</v>
      </c>
      <c r="X19" s="17">
        <f>COUNTIF(tbl_sales[Order Size],"Standard")</f>
        <v>774</v>
      </c>
      <c r="Y19" s="6"/>
      <c r="Z19" s="1"/>
    </row>
    <row r="20" spans="1:26">
      <c r="A20" s="3" t="s">
        <v>191</v>
      </c>
      <c r="B20" s="3" t="s">
        <v>22</v>
      </c>
      <c r="C20" s="3" t="s">
        <v>23</v>
      </c>
      <c r="D20" s="3" t="s">
        <v>24</v>
      </c>
      <c r="E20" s="3" t="s">
        <v>25</v>
      </c>
      <c r="F20" s="3" t="s">
        <v>117</v>
      </c>
      <c r="G20" s="2">
        <v>54.67</v>
      </c>
      <c r="H20" s="2">
        <v>3</v>
      </c>
      <c r="I20" s="2">
        <v>8.2004999999999999</v>
      </c>
      <c r="J20" s="2">
        <v>172.2105</v>
      </c>
      <c r="K20" s="5">
        <v>43486</v>
      </c>
      <c r="L20" s="4">
        <v>0.75</v>
      </c>
      <c r="M20" s="3" t="s">
        <v>59</v>
      </c>
      <c r="N20" s="2">
        <v>164.01</v>
      </c>
      <c r="O20" s="2">
        <v>4.7619047620000003</v>
      </c>
      <c r="P20" s="2">
        <v>8.2004999999999999</v>
      </c>
      <c r="Q20" s="2">
        <v>8.6</v>
      </c>
      <c r="R20" s="3" t="str">
        <f t="shared" si="2"/>
        <v>January</v>
      </c>
      <c r="S20" s="3">
        <f t="shared" si="0"/>
        <v>1</v>
      </c>
      <c r="T20" s="3" t="str">
        <f>IF(tbl_sales[[#This Row],[Sales]]&gt;=500,"High Value","Standard")</f>
        <v>Standard</v>
      </c>
      <c r="U20" s="1" t="str">
        <f>IF(tbl_sales[[#This Row],[Order Size]]="High Value","High Value Order","Standard Order")</f>
        <v>Standard Order</v>
      </c>
      <c r="V20" s="1"/>
      <c r="W20" s="17" t="s">
        <v>5485</v>
      </c>
      <c r="X20" s="17">
        <f>COUNTIF(tbl_sales[Order Size],"High Value")</f>
        <v>227</v>
      </c>
      <c r="Y20" s="6"/>
      <c r="Z20" s="1" t="s">
        <v>37</v>
      </c>
    </row>
    <row r="21" spans="1:26">
      <c r="A21" s="3" t="s">
        <v>199</v>
      </c>
      <c r="B21" s="3" t="s">
        <v>115</v>
      </c>
      <c r="C21" s="3" t="s">
        <v>116</v>
      </c>
      <c r="D21" s="3" t="s">
        <v>24</v>
      </c>
      <c r="E21" s="3" t="s">
        <v>25</v>
      </c>
      <c r="F21" s="3" t="s">
        <v>53</v>
      </c>
      <c r="G21" s="2">
        <v>40.299999999999997</v>
      </c>
      <c r="H21" s="2">
        <v>2</v>
      </c>
      <c r="I21" s="2">
        <v>4.03</v>
      </c>
      <c r="J21" s="2">
        <v>84.63</v>
      </c>
      <c r="K21" s="5">
        <v>43535</v>
      </c>
      <c r="L21" s="4">
        <v>0.64583333333333337</v>
      </c>
      <c r="M21" s="3" t="s">
        <v>33</v>
      </c>
      <c r="N21" s="2">
        <v>80.599999999999994</v>
      </c>
      <c r="O21" s="2">
        <v>4.7619047620000003</v>
      </c>
      <c r="P21" s="2">
        <v>4.03</v>
      </c>
      <c r="Q21" s="2">
        <v>4.4000000000000004</v>
      </c>
      <c r="R21" s="3" t="str">
        <f t="shared" si="2"/>
        <v>March</v>
      </c>
      <c r="S21" s="3">
        <f t="shared" si="0"/>
        <v>3</v>
      </c>
      <c r="T21" s="3" t="str">
        <f>IF(tbl_sales[[#This Row],[Sales]]&gt;=500,"High Value","Standard")</f>
        <v>Standard</v>
      </c>
      <c r="U21" s="1" t="str">
        <f>IF(tbl_sales[[#This Row],[Order Size]]="High Value","High Value Order","Standard Order")</f>
        <v>Standard Order</v>
      </c>
      <c r="V21" s="1"/>
      <c r="W21" s="17" t="s">
        <v>37</v>
      </c>
      <c r="X21" s="17"/>
      <c r="Y21" s="6"/>
      <c r="Z21" s="1" t="s">
        <v>37</v>
      </c>
    </row>
    <row r="22" spans="1:26" ht="15.6">
      <c r="A22" s="3" t="s">
        <v>206</v>
      </c>
      <c r="B22" s="3" t="s">
        <v>39</v>
      </c>
      <c r="C22" s="3" t="s">
        <v>40</v>
      </c>
      <c r="D22" s="3" t="s">
        <v>24</v>
      </c>
      <c r="E22" s="3" t="s">
        <v>25</v>
      </c>
      <c r="F22" s="3" t="s">
        <v>42</v>
      </c>
      <c r="G22" s="2">
        <v>86.04</v>
      </c>
      <c r="H22" s="2">
        <v>5</v>
      </c>
      <c r="I22" s="2">
        <v>21.51</v>
      </c>
      <c r="J22" s="2">
        <v>451.71</v>
      </c>
      <c r="K22" s="5">
        <v>43521</v>
      </c>
      <c r="L22" s="4">
        <v>0.47499999999999998</v>
      </c>
      <c r="M22" s="3" t="s">
        <v>33</v>
      </c>
      <c r="N22" s="2">
        <v>430.2</v>
      </c>
      <c r="O22" s="2">
        <v>4.7619047620000003</v>
      </c>
      <c r="P22" s="2">
        <v>21.51</v>
      </c>
      <c r="Q22" s="2">
        <v>4.8</v>
      </c>
      <c r="R22" s="3" t="str">
        <f t="shared" si="2"/>
        <v>February</v>
      </c>
      <c r="S22" s="3">
        <f t="shared" si="0"/>
        <v>2</v>
      </c>
      <c r="T22" s="3" t="str">
        <f>IF(tbl_sales[[#This Row],[Sales]]&gt;=500,"High Value","Standard")</f>
        <v>Standard</v>
      </c>
      <c r="U22" s="1" t="str">
        <f>IF(tbl_sales[[#This Row],[Order Size]]="High Value","High Value Order","Standard Order")</f>
        <v>Standard Order</v>
      </c>
      <c r="V22" s="1"/>
      <c r="W22" s="14" t="s">
        <v>5486</v>
      </c>
      <c r="X22" s="14" t="s">
        <v>5475</v>
      </c>
      <c r="Y22" s="6"/>
      <c r="Z22" s="1" t="s">
        <v>37</v>
      </c>
    </row>
    <row r="23" spans="1:26">
      <c r="A23" s="3" t="s">
        <v>213</v>
      </c>
      <c r="B23" s="3" t="s">
        <v>115</v>
      </c>
      <c r="C23" s="3" t="s">
        <v>116</v>
      </c>
      <c r="D23" s="3" t="s">
        <v>24</v>
      </c>
      <c r="E23" s="3" t="s">
        <v>25</v>
      </c>
      <c r="F23" s="3" t="s">
        <v>26</v>
      </c>
      <c r="G23" s="2">
        <v>87.98</v>
      </c>
      <c r="H23" s="2">
        <v>3</v>
      </c>
      <c r="I23" s="2">
        <v>13.196999999999999</v>
      </c>
      <c r="J23" s="2">
        <v>277.137</v>
      </c>
      <c r="K23" s="5">
        <v>43529</v>
      </c>
      <c r="L23" s="4">
        <v>0.44444444444444442</v>
      </c>
      <c r="M23" s="3" t="s">
        <v>33</v>
      </c>
      <c r="N23" s="2">
        <v>263.94</v>
      </c>
      <c r="O23" s="2">
        <v>4.7619047620000003</v>
      </c>
      <c r="P23" s="2">
        <v>13.196999999999999</v>
      </c>
      <c r="Q23" s="2">
        <v>5.0999999999999996</v>
      </c>
      <c r="R23" s="3" t="str">
        <f t="shared" si="2"/>
        <v>March</v>
      </c>
      <c r="S23" s="3">
        <f t="shared" si="0"/>
        <v>3</v>
      </c>
      <c r="T23" s="3" t="str">
        <f>IF(tbl_sales[[#This Row],[Sales]]&gt;=500,"High Value","Standard")</f>
        <v>Standard</v>
      </c>
      <c r="U23" s="1" t="str">
        <f>IF(tbl_sales[[#This Row],[Order Size]]="High Value","High Value Order","Standard Order")</f>
        <v>Standard Order</v>
      </c>
      <c r="V23" s="1"/>
      <c r="W23" s="17" t="s">
        <v>42</v>
      </c>
      <c r="X23" s="17">
        <f>SUMIF(tbl_sales[Product line],"Electronic accessories",tbl_sales[Sales])</f>
        <v>54337.531500000005</v>
      </c>
      <c r="Y23" s="6"/>
      <c r="Z23" s="1" t="s">
        <v>37</v>
      </c>
    </row>
    <row r="24" spans="1:26">
      <c r="A24" s="3" t="s">
        <v>221</v>
      </c>
      <c r="B24" s="3" t="s">
        <v>115</v>
      </c>
      <c r="C24" s="3" t="s">
        <v>116</v>
      </c>
      <c r="D24" s="3" t="s">
        <v>24</v>
      </c>
      <c r="E24" s="3" t="s">
        <v>25</v>
      </c>
      <c r="F24" s="3" t="s">
        <v>53</v>
      </c>
      <c r="G24" s="2">
        <v>33.200000000000003</v>
      </c>
      <c r="H24" s="2">
        <v>2</v>
      </c>
      <c r="I24" s="2">
        <v>3.32</v>
      </c>
      <c r="J24" s="2">
        <v>69.72</v>
      </c>
      <c r="K24" s="5">
        <v>43539</v>
      </c>
      <c r="L24" s="4">
        <v>0.51388888888888884</v>
      </c>
      <c r="M24" s="3" t="s">
        <v>59</v>
      </c>
      <c r="N24" s="2">
        <v>66.400000000000006</v>
      </c>
      <c r="O24" s="2">
        <v>4.7619047620000003</v>
      </c>
      <c r="P24" s="2">
        <v>3.32</v>
      </c>
      <c r="Q24" s="2">
        <v>4.4000000000000004</v>
      </c>
      <c r="R24" s="3" t="str">
        <f t="shared" si="2"/>
        <v>March</v>
      </c>
      <c r="S24" s="3">
        <f t="shared" si="0"/>
        <v>3</v>
      </c>
      <c r="T24" s="3" t="str">
        <f>IF(tbl_sales[[#This Row],[Sales]]&gt;=500,"High Value","Standard")</f>
        <v>Standard</v>
      </c>
      <c r="U24" s="1" t="str">
        <f>IF(tbl_sales[[#This Row],[Order Size]]="High Value","High Value Order","Standard Order")</f>
        <v>Standard Order</v>
      </c>
      <c r="V24" s="1"/>
      <c r="W24" s="17" t="s">
        <v>53</v>
      </c>
      <c r="X24" s="17">
        <f>SUMIF(tbl_sales[Product line],"Home and lifestyle",tbl_sales[Sales])</f>
        <v>53861.913000000008</v>
      </c>
      <c r="Y24" s="6"/>
      <c r="Z24" s="1" t="s">
        <v>37</v>
      </c>
    </row>
    <row r="25" spans="1:26">
      <c r="A25" s="3" t="s">
        <v>228</v>
      </c>
      <c r="B25" s="3" t="s">
        <v>22</v>
      </c>
      <c r="C25" s="3" t="s">
        <v>23</v>
      </c>
      <c r="D25" s="3" t="s">
        <v>24</v>
      </c>
      <c r="E25" s="3" t="s">
        <v>25</v>
      </c>
      <c r="F25" s="3" t="s">
        <v>42</v>
      </c>
      <c r="G25" s="2">
        <v>34.56</v>
      </c>
      <c r="H25" s="2">
        <v>5</v>
      </c>
      <c r="I25" s="2">
        <v>8.64</v>
      </c>
      <c r="J25" s="2">
        <v>181.44</v>
      </c>
      <c r="K25" s="5">
        <v>43513</v>
      </c>
      <c r="L25" s="4">
        <v>0.46875</v>
      </c>
      <c r="M25" s="3" t="s">
        <v>33</v>
      </c>
      <c r="N25" s="2">
        <v>172.8</v>
      </c>
      <c r="O25" s="2">
        <v>4.7619047620000003</v>
      </c>
      <c r="P25" s="2">
        <v>8.64</v>
      </c>
      <c r="Q25" s="2">
        <v>9.9</v>
      </c>
      <c r="R25" s="3" t="str">
        <f t="shared" si="2"/>
        <v>February</v>
      </c>
      <c r="S25" s="3">
        <f t="shared" si="0"/>
        <v>2</v>
      </c>
      <c r="T25" s="3" t="str">
        <f>IF(tbl_sales[[#This Row],[Sales]]&gt;=500,"High Value","Standard")</f>
        <v>Standard</v>
      </c>
      <c r="U25" s="1" t="str">
        <f>IF(tbl_sales[[#This Row],[Order Size]]="High Value","High Value Order","Standard Order")</f>
        <v>Standard Order</v>
      </c>
      <c r="V25" s="1"/>
      <c r="W25" s="17" t="s">
        <v>26</v>
      </c>
      <c r="X25" s="17">
        <f>SUMIF(tbl_sales[Product line],"Health and beauty",tbl_sales[Sales])</f>
        <v>49193.739000000016</v>
      </c>
      <c r="Y25" s="6"/>
      <c r="Z25" s="1" t="s">
        <v>37</v>
      </c>
    </row>
    <row r="26" spans="1:26">
      <c r="A26" s="3" t="s">
        <v>236</v>
      </c>
      <c r="B26" s="3" t="s">
        <v>22</v>
      </c>
      <c r="C26" s="3" t="s">
        <v>23</v>
      </c>
      <c r="D26" s="3" t="s">
        <v>24</v>
      </c>
      <c r="E26" s="3" t="s">
        <v>25</v>
      </c>
      <c r="F26" s="3" t="s">
        <v>72</v>
      </c>
      <c r="G26" s="2">
        <v>88.63</v>
      </c>
      <c r="H26" s="2">
        <v>3</v>
      </c>
      <c r="I26" s="2">
        <v>13.294499999999999</v>
      </c>
      <c r="J26" s="2">
        <v>279.18450000000001</v>
      </c>
      <c r="K26" s="5">
        <v>43526</v>
      </c>
      <c r="L26" s="4">
        <v>0.73333333333333328</v>
      </c>
      <c r="M26" s="3" t="s">
        <v>33</v>
      </c>
      <c r="N26" s="2">
        <v>265.89</v>
      </c>
      <c r="O26" s="2">
        <v>4.7619047620000003</v>
      </c>
      <c r="P26" s="2">
        <v>13.294499999999999</v>
      </c>
      <c r="Q26" s="2">
        <v>6</v>
      </c>
      <c r="R26" s="3" t="str">
        <f t="shared" si="2"/>
        <v>March</v>
      </c>
      <c r="S26" s="3">
        <f t="shared" si="0"/>
        <v>3</v>
      </c>
      <c r="T26" s="3" t="str">
        <f>IF(tbl_sales[[#This Row],[Sales]]&gt;=500,"High Value","Standard")</f>
        <v>Standard</v>
      </c>
      <c r="U26" s="1" t="str">
        <f>IF(tbl_sales[[#This Row],[Order Size]]="High Value","High Value Order","Standard Order")</f>
        <v>Standard Order</v>
      </c>
      <c r="V26" s="1"/>
      <c r="W26" s="17" t="s">
        <v>117</v>
      </c>
      <c r="X26" s="17">
        <f>SUMIF(tbl_sales[Product line],"Food and beverages",tbl_sales[Sales])</f>
        <v>56144.844000000005</v>
      </c>
      <c r="Y26" s="6"/>
      <c r="Z26" s="1" t="s">
        <v>37</v>
      </c>
    </row>
    <row r="27" spans="1:26">
      <c r="A27" s="3" t="s">
        <v>243</v>
      </c>
      <c r="B27" s="3" t="s">
        <v>22</v>
      </c>
      <c r="C27" s="3" t="s">
        <v>23</v>
      </c>
      <c r="D27" s="3" t="s">
        <v>24</v>
      </c>
      <c r="E27" s="3" t="s">
        <v>25</v>
      </c>
      <c r="F27" s="3" t="s">
        <v>53</v>
      </c>
      <c r="G27" s="2">
        <v>52.59</v>
      </c>
      <c r="H27" s="2">
        <v>8</v>
      </c>
      <c r="I27" s="2">
        <v>21.036000000000001</v>
      </c>
      <c r="J27" s="2">
        <v>441.75599999999997</v>
      </c>
      <c r="K27" s="5">
        <v>43546</v>
      </c>
      <c r="L27" s="4">
        <v>0.80555555555555558</v>
      </c>
      <c r="M27" s="3" t="s">
        <v>59</v>
      </c>
      <c r="N27" s="2">
        <v>420.72</v>
      </c>
      <c r="O27" s="2">
        <v>4.7619047620000003</v>
      </c>
      <c r="P27" s="2">
        <v>21.036000000000001</v>
      </c>
      <c r="Q27" s="2">
        <v>8.5</v>
      </c>
      <c r="R27" s="3" t="str">
        <f t="shared" si="2"/>
        <v>March</v>
      </c>
      <c r="S27" s="3">
        <f t="shared" si="0"/>
        <v>3</v>
      </c>
      <c r="T27" s="3" t="str">
        <f>IF(tbl_sales[[#This Row],[Sales]]&gt;=500,"High Value","Standard")</f>
        <v>Standard</v>
      </c>
      <c r="U27" s="1" t="str">
        <f>IF(tbl_sales[[#This Row],[Order Size]]="High Value","High Value Order","Standard Order")</f>
        <v>Standard Order</v>
      </c>
      <c r="V27" s="1"/>
      <c r="W27" s="17" t="s">
        <v>127</v>
      </c>
      <c r="X27" s="17">
        <f>SUMIF(tbl_sales[Product line],"Fashion accessories",tbl_sales[Sales])</f>
        <v>54305.894999999997</v>
      </c>
      <c r="Y27" s="6"/>
      <c r="Z27" s="1" t="s">
        <v>37</v>
      </c>
    </row>
    <row r="28" spans="1:26">
      <c r="A28" s="3" t="s">
        <v>251</v>
      </c>
      <c r="B28" s="3" t="s">
        <v>115</v>
      </c>
      <c r="C28" s="3" t="s">
        <v>116</v>
      </c>
      <c r="D28" s="3" t="s">
        <v>24</v>
      </c>
      <c r="E28" s="3" t="s">
        <v>25</v>
      </c>
      <c r="F28" s="3" t="s">
        <v>127</v>
      </c>
      <c r="G28" s="2">
        <v>33.520000000000003</v>
      </c>
      <c r="H28" s="2">
        <v>1</v>
      </c>
      <c r="I28" s="2">
        <v>1.6759999999999999</v>
      </c>
      <c r="J28" s="2">
        <v>35.195999999999998</v>
      </c>
      <c r="K28" s="5">
        <v>43504</v>
      </c>
      <c r="L28" s="4">
        <v>0.64652777777777781</v>
      </c>
      <c r="M28" s="3" t="s">
        <v>49</v>
      </c>
      <c r="N28" s="2">
        <v>33.520000000000003</v>
      </c>
      <c r="O28" s="2">
        <v>4.7619047620000003</v>
      </c>
      <c r="P28" s="2">
        <v>1.6759999999999999</v>
      </c>
      <c r="Q28" s="2">
        <v>6.7</v>
      </c>
      <c r="R28" s="3" t="str">
        <f t="shared" si="2"/>
        <v>February</v>
      </c>
      <c r="S28" s="3">
        <f t="shared" si="0"/>
        <v>2</v>
      </c>
      <c r="T28" s="3" t="str">
        <f>IF(tbl_sales[[#This Row],[Sales]]&gt;=500,"High Value","Standard")</f>
        <v>Standard</v>
      </c>
      <c r="U28" s="1" t="str">
        <f>IF(tbl_sales[[#This Row],[Order Size]]="High Value","High Value Order","Standard Order")</f>
        <v>Standard Order</v>
      </c>
      <c r="V28" s="1"/>
      <c r="W28" s="17" t="s">
        <v>72</v>
      </c>
      <c r="X28" s="17">
        <f>SUMIF(tbl_sales[Product line],"Sports and travel",tbl_sales[Sales])</f>
        <v>55122.826499999996</v>
      </c>
      <c r="Y28" s="6"/>
      <c r="Z28" s="1" t="s">
        <v>37</v>
      </c>
    </row>
    <row r="29" spans="1:26">
      <c r="A29" s="3" t="s">
        <v>258</v>
      </c>
      <c r="B29" s="3" t="s">
        <v>22</v>
      </c>
      <c r="C29" s="3" t="s">
        <v>23</v>
      </c>
      <c r="D29" s="3" t="s">
        <v>24</v>
      </c>
      <c r="E29" s="3" t="s">
        <v>25</v>
      </c>
      <c r="F29" s="3" t="s">
        <v>127</v>
      </c>
      <c r="G29" s="2">
        <v>87.67</v>
      </c>
      <c r="H29" s="2">
        <v>2</v>
      </c>
      <c r="I29" s="2">
        <v>8.7669999999999995</v>
      </c>
      <c r="J29" s="2">
        <v>184.107</v>
      </c>
      <c r="K29" s="5">
        <v>43534</v>
      </c>
      <c r="L29" s="4">
        <v>0.51180555555555551</v>
      </c>
      <c r="M29" s="3" t="s">
        <v>59</v>
      </c>
      <c r="N29" s="2">
        <v>175.34</v>
      </c>
      <c r="O29" s="2">
        <v>4.7619047620000003</v>
      </c>
      <c r="P29" s="2">
        <v>8.7669999999999995</v>
      </c>
      <c r="Q29" s="2">
        <v>7.7</v>
      </c>
      <c r="R29" s="3" t="str">
        <f t="shared" si="2"/>
        <v>March</v>
      </c>
      <c r="S29" s="3">
        <f t="shared" si="0"/>
        <v>3</v>
      </c>
      <c r="T29" s="3" t="str">
        <f>IF(tbl_sales[[#This Row],[Sales]]&gt;=500,"High Value","Standard")</f>
        <v>Standard</v>
      </c>
      <c r="U29" s="1" t="str">
        <f>IF(tbl_sales[[#This Row],[Order Size]]="High Value","High Value Order","Standard Order")</f>
        <v>Standard Order</v>
      </c>
      <c r="V29" s="1"/>
      <c r="W29" s="17" t="s">
        <v>37</v>
      </c>
      <c r="X29" s="17"/>
      <c r="Y29" s="6"/>
      <c r="Z29" s="1" t="s">
        <v>37</v>
      </c>
    </row>
    <row r="30" spans="1:26" ht="15.6">
      <c r="A30" s="3" t="s">
        <v>266</v>
      </c>
      <c r="B30" s="3" t="s">
        <v>115</v>
      </c>
      <c r="C30" s="3" t="s">
        <v>116</v>
      </c>
      <c r="D30" s="3" t="s">
        <v>24</v>
      </c>
      <c r="E30" s="3" t="s">
        <v>25</v>
      </c>
      <c r="F30" s="3" t="s">
        <v>117</v>
      </c>
      <c r="G30" s="2">
        <v>88.36</v>
      </c>
      <c r="H30" s="2">
        <v>5</v>
      </c>
      <c r="I30" s="2">
        <v>22.09</v>
      </c>
      <c r="J30" s="2">
        <v>463.89</v>
      </c>
      <c r="K30" s="5">
        <v>43490</v>
      </c>
      <c r="L30" s="4">
        <v>0.82499999999999996</v>
      </c>
      <c r="M30" s="3" t="s">
        <v>49</v>
      </c>
      <c r="N30" s="2">
        <v>441.8</v>
      </c>
      <c r="O30" s="2">
        <v>4.7619047620000003</v>
      </c>
      <c r="P30" s="2">
        <v>22.09</v>
      </c>
      <c r="Q30" s="2">
        <v>9.6</v>
      </c>
      <c r="R30" s="3" t="str">
        <f t="shared" si="2"/>
        <v>January</v>
      </c>
      <c r="S30" s="3">
        <f t="shared" si="0"/>
        <v>1</v>
      </c>
      <c r="T30" s="3" t="str">
        <f>IF(tbl_sales[[#This Row],[Sales]]&gt;=500,"High Value","Standard")</f>
        <v>Standard</v>
      </c>
      <c r="U30" s="1" t="str">
        <f>IF(tbl_sales[[#This Row],[Order Size]]="High Value","High Value Order","Standard Order")</f>
        <v>Standard Order</v>
      </c>
      <c r="V30" s="1"/>
      <c r="W30" s="14" t="s">
        <v>5472</v>
      </c>
      <c r="X30" s="14" t="s">
        <v>5473</v>
      </c>
      <c r="Y30" s="6"/>
      <c r="Z30" s="1" t="s">
        <v>37</v>
      </c>
    </row>
    <row r="31" spans="1:26">
      <c r="A31" s="3" t="s">
        <v>273</v>
      </c>
      <c r="B31" s="3" t="s">
        <v>22</v>
      </c>
      <c r="C31" s="3" t="s">
        <v>23</v>
      </c>
      <c r="D31" s="3" t="s">
        <v>24</v>
      </c>
      <c r="E31" s="3" t="s">
        <v>25</v>
      </c>
      <c r="F31" s="3" t="s">
        <v>26</v>
      </c>
      <c r="G31" s="2">
        <v>24.89</v>
      </c>
      <c r="H31" s="2">
        <v>9</v>
      </c>
      <c r="I31" s="2">
        <v>11.2005</v>
      </c>
      <c r="J31" s="2">
        <v>235.2105</v>
      </c>
      <c r="K31" s="5">
        <v>43539</v>
      </c>
      <c r="L31" s="4">
        <v>0.65</v>
      </c>
      <c r="M31" s="3" t="s">
        <v>49</v>
      </c>
      <c r="N31" s="2">
        <v>224.01</v>
      </c>
      <c r="O31" s="2">
        <v>4.7619047620000003</v>
      </c>
      <c r="P31" s="2">
        <v>11.2005</v>
      </c>
      <c r="Q31" s="2">
        <v>7.4</v>
      </c>
      <c r="R31" s="3" t="str">
        <f t="shared" si="2"/>
        <v>March</v>
      </c>
      <c r="S31" s="3">
        <f t="shared" si="0"/>
        <v>3</v>
      </c>
      <c r="T31" s="3" t="str">
        <f>IF(tbl_sales[[#This Row],[Sales]]&gt;=500,"High Value","Standard")</f>
        <v>Standard</v>
      </c>
      <c r="U31" s="1" t="str">
        <f>IF(tbl_sales[[#This Row],[Order Size]]="High Value","High Value Order","Standard Order")</f>
        <v>Standard Order</v>
      </c>
      <c r="V31" s="1"/>
      <c r="W31" s="17" t="s">
        <v>5487</v>
      </c>
      <c r="X31" s="17">
        <f>SUM(tbl_sales[gross income])</f>
        <v>15379.369000000002</v>
      </c>
      <c r="Y31" s="6"/>
      <c r="Z31" s="1" t="s">
        <v>37</v>
      </c>
    </row>
    <row r="32" spans="1:26">
      <c r="A32" s="3" t="s">
        <v>280</v>
      </c>
      <c r="B32" s="3" t="s">
        <v>115</v>
      </c>
      <c r="C32" s="3" t="s">
        <v>116</v>
      </c>
      <c r="D32" s="3" t="s">
        <v>24</v>
      </c>
      <c r="E32" s="3" t="s">
        <v>25</v>
      </c>
      <c r="F32" s="3" t="s">
        <v>127</v>
      </c>
      <c r="G32" s="2">
        <v>94.13</v>
      </c>
      <c r="H32" s="2">
        <v>5</v>
      </c>
      <c r="I32" s="2">
        <v>23.532499999999999</v>
      </c>
      <c r="J32" s="2">
        <v>494.1825</v>
      </c>
      <c r="K32" s="5">
        <v>43521</v>
      </c>
      <c r="L32" s="4">
        <v>0.81874999999999998</v>
      </c>
      <c r="M32" s="3" t="s">
        <v>59</v>
      </c>
      <c r="N32" s="2">
        <v>470.65</v>
      </c>
      <c r="O32" s="2">
        <v>4.7619047620000003</v>
      </c>
      <c r="P32" s="2">
        <v>23.532499999999999</v>
      </c>
      <c r="Q32" s="2">
        <v>4.8</v>
      </c>
      <c r="R32" s="3" t="str">
        <f t="shared" si="2"/>
        <v>February</v>
      </c>
      <c r="S32" s="3">
        <f t="shared" si="0"/>
        <v>2</v>
      </c>
      <c r="T32" s="3" t="str">
        <f>IF(tbl_sales[[#This Row],[Sales]]&gt;=500,"High Value","Standard")</f>
        <v>Standard</v>
      </c>
      <c r="U32" s="1" t="str">
        <f>IF(tbl_sales[[#This Row],[Order Size]]="High Value","High Value Order","Standard Order")</f>
        <v>Standard Order</v>
      </c>
      <c r="V32" s="1"/>
      <c r="W32" s="17" t="s">
        <v>5488</v>
      </c>
      <c r="X32" s="17">
        <f>SUM(tbl_sales[gross income])/SUM(tbl_sales[Sales])</f>
        <v>4.7619047619047616E-2</v>
      </c>
      <c r="Y32" s="6"/>
      <c r="Z32" s="1" t="s">
        <v>37</v>
      </c>
    </row>
    <row r="33" spans="1:26">
      <c r="A33" s="3" t="s">
        <v>286</v>
      </c>
      <c r="B33" s="3" t="s">
        <v>115</v>
      </c>
      <c r="C33" s="3" t="s">
        <v>116</v>
      </c>
      <c r="D33" s="3" t="s">
        <v>24</v>
      </c>
      <c r="E33" s="3" t="s">
        <v>25</v>
      </c>
      <c r="F33" s="3" t="s">
        <v>72</v>
      </c>
      <c r="G33" s="2">
        <v>78.069999999999993</v>
      </c>
      <c r="H33" s="2">
        <v>9</v>
      </c>
      <c r="I33" s="2">
        <v>35.131500000000003</v>
      </c>
      <c r="J33" s="2">
        <v>737.76149999999996</v>
      </c>
      <c r="K33" s="5">
        <v>43493</v>
      </c>
      <c r="L33" s="4">
        <v>0.52986111111111112</v>
      </c>
      <c r="M33" s="3" t="s">
        <v>49</v>
      </c>
      <c r="N33" s="2">
        <v>702.63</v>
      </c>
      <c r="O33" s="2">
        <v>4.7619047620000003</v>
      </c>
      <c r="P33" s="2">
        <v>35.131500000000003</v>
      </c>
      <c r="Q33" s="2">
        <v>4.5</v>
      </c>
      <c r="R33" s="3" t="str">
        <f t="shared" si="2"/>
        <v>January</v>
      </c>
      <c r="S33" s="3">
        <f t="shared" si="0"/>
        <v>1</v>
      </c>
      <c r="T33" s="3" t="str">
        <f>IF(tbl_sales[[#This Row],[Sales]]&gt;=500,"High Value","Standard")</f>
        <v>High Value</v>
      </c>
      <c r="U33" s="1" t="str">
        <f>IF(tbl_sales[[#This Row],[Order Size]]="High Value","High Value Order","Standard Order")</f>
        <v>High Value Order</v>
      </c>
      <c r="V33" s="1"/>
      <c r="W33" s="17" t="s">
        <v>37</v>
      </c>
      <c r="X33" s="17"/>
      <c r="Y33" s="6"/>
      <c r="Z33" s="1" t="s">
        <v>37</v>
      </c>
    </row>
    <row r="34" spans="1:26" ht="15.6">
      <c r="A34" s="3" t="s">
        <v>293</v>
      </c>
      <c r="B34" s="3" t="s">
        <v>115</v>
      </c>
      <c r="C34" s="3" t="s">
        <v>116</v>
      </c>
      <c r="D34" s="3" t="s">
        <v>24</v>
      </c>
      <c r="E34" s="3" t="s">
        <v>25</v>
      </c>
      <c r="F34" s="3" t="s">
        <v>72</v>
      </c>
      <c r="G34" s="2">
        <v>83.78</v>
      </c>
      <c r="H34" s="2">
        <v>8</v>
      </c>
      <c r="I34" s="2">
        <v>33.512</v>
      </c>
      <c r="J34" s="2">
        <v>703.75199999999995</v>
      </c>
      <c r="K34" s="5">
        <v>43475</v>
      </c>
      <c r="L34" s="4">
        <v>0.61736111111111114</v>
      </c>
      <c r="M34" s="3" t="s">
        <v>49</v>
      </c>
      <c r="N34" s="2">
        <v>670.24</v>
      </c>
      <c r="O34" s="2">
        <v>4.7619047620000003</v>
      </c>
      <c r="P34" s="2">
        <v>33.512</v>
      </c>
      <c r="Q34" s="2">
        <v>5.0999999999999996</v>
      </c>
      <c r="R34" s="3" t="str">
        <f t="shared" si="2"/>
        <v>January</v>
      </c>
      <c r="S34" s="3">
        <f t="shared" si="0"/>
        <v>1</v>
      </c>
      <c r="T34" s="3" t="str">
        <f>IF(tbl_sales[[#This Row],[Sales]]&gt;=500,"High Value","Standard")</f>
        <v>High Value</v>
      </c>
      <c r="U34" s="1" t="str">
        <f>IF(tbl_sales[[#This Row],[Order Size]]="High Value","High Value Order","Standard Order")</f>
        <v>High Value Order</v>
      </c>
      <c r="V34" s="1"/>
      <c r="W34" s="14" t="s">
        <v>1</v>
      </c>
      <c r="X34" s="14" t="s">
        <v>5470</v>
      </c>
      <c r="Y34" s="15" t="s">
        <v>5483</v>
      </c>
      <c r="Z34" s="1" t="s">
        <v>37</v>
      </c>
    </row>
    <row r="35" spans="1:26">
      <c r="A35" s="3" t="s">
        <v>299</v>
      </c>
      <c r="B35" s="3" t="s">
        <v>22</v>
      </c>
      <c r="C35" s="3" t="s">
        <v>23</v>
      </c>
      <c r="D35" s="3" t="s">
        <v>24</v>
      </c>
      <c r="E35" s="3" t="s">
        <v>25</v>
      </c>
      <c r="F35" s="3" t="s">
        <v>26</v>
      </c>
      <c r="G35" s="2">
        <v>96.58</v>
      </c>
      <c r="H35" s="2">
        <v>2</v>
      </c>
      <c r="I35" s="2">
        <v>9.6579999999999995</v>
      </c>
      <c r="J35" s="2">
        <v>202.81800000000001</v>
      </c>
      <c r="K35" s="5">
        <v>43539</v>
      </c>
      <c r="L35" s="4">
        <v>0.42499999999999999</v>
      </c>
      <c r="M35" s="3" t="s">
        <v>59</v>
      </c>
      <c r="N35" s="2">
        <v>193.16</v>
      </c>
      <c r="O35" s="2">
        <v>4.7619047620000003</v>
      </c>
      <c r="P35" s="2">
        <v>9.6579999999999995</v>
      </c>
      <c r="Q35" s="2">
        <v>5.0999999999999996</v>
      </c>
      <c r="R35" s="3" t="str">
        <f t="shared" si="2"/>
        <v>March</v>
      </c>
      <c r="S35" s="3">
        <f t="shared" si="0"/>
        <v>3</v>
      </c>
      <c r="T35" s="3" t="str">
        <f>IF(tbl_sales[[#This Row],[Sales]]&gt;=500,"High Value","Standard")</f>
        <v>Standard</v>
      </c>
      <c r="U35" s="1" t="str">
        <f>IF(tbl_sales[[#This Row],[Order Size]]="High Value","High Value Order","Standard Order")</f>
        <v>Standard Order</v>
      </c>
      <c r="V35" s="1"/>
      <c r="W35" s="17" t="s">
        <v>22</v>
      </c>
      <c r="X35" s="17" t="s">
        <v>5484</v>
      </c>
      <c r="Y35" s="6">
        <f>COUNTIFS(tbl_sales[Branch],"Alex",tbl_sales[Order Size],"Standard")</f>
        <v>269</v>
      </c>
      <c r="Z35" s="1" t="s">
        <v>37</v>
      </c>
    </row>
    <row r="36" spans="1:26">
      <c r="A36" s="3" t="s">
        <v>305</v>
      </c>
      <c r="B36" s="3" t="s">
        <v>39</v>
      </c>
      <c r="C36" s="3" t="s">
        <v>40</v>
      </c>
      <c r="D36" s="3" t="s">
        <v>24</v>
      </c>
      <c r="E36" s="3" t="s">
        <v>25</v>
      </c>
      <c r="F36" s="3" t="s">
        <v>117</v>
      </c>
      <c r="G36" s="2">
        <v>99.42</v>
      </c>
      <c r="H36" s="2">
        <v>4</v>
      </c>
      <c r="I36" s="2">
        <v>19.884</v>
      </c>
      <c r="J36" s="2">
        <v>417.56400000000002</v>
      </c>
      <c r="K36" s="5">
        <v>43502</v>
      </c>
      <c r="L36" s="4">
        <v>0.44583333333333336</v>
      </c>
      <c r="M36" s="3" t="s">
        <v>33</v>
      </c>
      <c r="N36" s="2">
        <v>397.68</v>
      </c>
      <c r="O36" s="2">
        <v>4.7619047620000003</v>
      </c>
      <c r="P36" s="2">
        <v>19.884</v>
      </c>
      <c r="Q36" s="2">
        <v>7.5</v>
      </c>
      <c r="R36" s="3" t="str">
        <f t="shared" si="2"/>
        <v>February</v>
      </c>
      <c r="S36" s="3">
        <f t="shared" si="0"/>
        <v>2</v>
      </c>
      <c r="T36" s="3" t="str">
        <f>IF(tbl_sales[[#This Row],[Sales]]&gt;=500,"High Value","Standard")</f>
        <v>Standard</v>
      </c>
      <c r="U36" s="1" t="str">
        <f>IF(tbl_sales[[#This Row],[Order Size]]="High Value","High Value Order","Standard Order")</f>
        <v>Standard Order</v>
      </c>
      <c r="V36" s="1"/>
      <c r="W36" s="17" t="s">
        <v>22</v>
      </c>
      <c r="X36" s="17" t="s">
        <v>5485</v>
      </c>
      <c r="Y36" s="6">
        <f>COUNTIFS(tbl_sales[Branch],"Alex",tbl_sales[Order Size],"High Value")</f>
        <v>71</v>
      </c>
      <c r="Z36" s="1" t="s">
        <v>37</v>
      </c>
    </row>
    <row r="37" spans="1:26">
      <c r="A37" s="3" t="s">
        <v>312</v>
      </c>
      <c r="B37" s="3" t="s">
        <v>39</v>
      </c>
      <c r="C37" s="3" t="s">
        <v>40</v>
      </c>
      <c r="D37" s="3" t="s">
        <v>24</v>
      </c>
      <c r="E37" s="3" t="s">
        <v>25</v>
      </c>
      <c r="F37" s="3" t="s">
        <v>72</v>
      </c>
      <c r="G37" s="2">
        <v>68.12</v>
      </c>
      <c r="H37" s="2">
        <v>1</v>
      </c>
      <c r="I37" s="2">
        <v>3.4060000000000001</v>
      </c>
      <c r="J37" s="2">
        <v>71.525999999999996</v>
      </c>
      <c r="K37" s="5">
        <v>43472</v>
      </c>
      <c r="L37" s="4">
        <v>0.51944444444444449</v>
      </c>
      <c r="M37" s="3" t="s">
        <v>33</v>
      </c>
      <c r="N37" s="2">
        <v>68.12</v>
      </c>
      <c r="O37" s="2">
        <v>4.7619047620000003</v>
      </c>
      <c r="P37" s="2">
        <v>3.4060000000000001</v>
      </c>
      <c r="Q37" s="2">
        <v>6.8</v>
      </c>
      <c r="R37" s="3" t="str">
        <f t="shared" si="2"/>
        <v>January</v>
      </c>
      <c r="S37" s="3">
        <f t="shared" si="0"/>
        <v>1</v>
      </c>
      <c r="T37" s="3" t="str">
        <f>IF(tbl_sales[[#This Row],[Sales]]&gt;=500,"High Value","Standard")</f>
        <v>Standard</v>
      </c>
      <c r="U37" s="1" t="str">
        <f>IF(tbl_sales[[#This Row],[Order Size]]="High Value","High Value Order","Standard Order")</f>
        <v>Standard Order</v>
      </c>
      <c r="V37" s="1"/>
      <c r="W37" s="17" t="s">
        <v>115</v>
      </c>
      <c r="X37" s="17" t="s">
        <v>5484</v>
      </c>
      <c r="Y37" s="6">
        <f>COUNTIFS(tbl_sales[Branch],"Cairo",tbl_sales[Order Size],"Standard")</f>
        <v>256</v>
      </c>
      <c r="Z37" s="1" t="s">
        <v>37</v>
      </c>
    </row>
    <row r="38" spans="1:26">
      <c r="A38" s="3" t="s">
        <v>318</v>
      </c>
      <c r="B38" s="3" t="s">
        <v>22</v>
      </c>
      <c r="C38" s="3" t="s">
        <v>23</v>
      </c>
      <c r="D38" s="3" t="s">
        <v>24</v>
      </c>
      <c r="E38" s="3" t="s">
        <v>25</v>
      </c>
      <c r="F38" s="3" t="s">
        <v>72</v>
      </c>
      <c r="G38" s="2">
        <v>62.62</v>
      </c>
      <c r="H38" s="2">
        <v>5</v>
      </c>
      <c r="I38" s="2">
        <v>15.654999999999999</v>
      </c>
      <c r="J38" s="2">
        <v>328.755</v>
      </c>
      <c r="K38" s="5">
        <v>43534</v>
      </c>
      <c r="L38" s="4">
        <v>0.80208333333333337</v>
      </c>
      <c r="M38" s="3" t="s">
        <v>33</v>
      </c>
      <c r="N38" s="2">
        <v>313.10000000000002</v>
      </c>
      <c r="O38" s="2">
        <v>4.7619047620000003</v>
      </c>
      <c r="P38" s="2">
        <v>15.654999999999999</v>
      </c>
      <c r="Q38" s="2">
        <v>7</v>
      </c>
      <c r="R38" s="3" t="str">
        <f t="shared" si="2"/>
        <v>March</v>
      </c>
      <c r="S38" s="3">
        <f t="shared" si="0"/>
        <v>3</v>
      </c>
      <c r="T38" s="3" t="str">
        <f>IF(tbl_sales[[#This Row],[Sales]]&gt;=500,"High Value","Standard")</f>
        <v>Standard</v>
      </c>
      <c r="U38" s="1" t="str">
        <f>IF(tbl_sales[[#This Row],[Order Size]]="High Value","High Value Order","Standard Order")</f>
        <v>Standard Order</v>
      </c>
      <c r="V38" s="1"/>
      <c r="W38" s="17" t="s">
        <v>115</v>
      </c>
      <c r="X38" s="17" t="s">
        <v>5485</v>
      </c>
      <c r="Y38" s="6">
        <f>COUNTIFS(tbl_sales[Branch],"Cairo",tbl_sales[Order Size],"High Value")</f>
        <v>76</v>
      </c>
      <c r="Z38" s="1" t="s">
        <v>37</v>
      </c>
    </row>
    <row r="39" spans="1:26">
      <c r="A39" s="3" t="s">
        <v>324</v>
      </c>
      <c r="B39" s="3" t="s">
        <v>22</v>
      </c>
      <c r="C39" s="3" t="s">
        <v>23</v>
      </c>
      <c r="D39" s="3" t="s">
        <v>24</v>
      </c>
      <c r="E39" s="3" t="s">
        <v>25</v>
      </c>
      <c r="F39" s="3" t="s">
        <v>42</v>
      </c>
      <c r="G39" s="2">
        <v>60.88</v>
      </c>
      <c r="H39" s="2">
        <v>9</v>
      </c>
      <c r="I39" s="2">
        <v>27.396000000000001</v>
      </c>
      <c r="J39" s="2">
        <v>575.31600000000003</v>
      </c>
      <c r="K39" s="5">
        <v>43480</v>
      </c>
      <c r="L39" s="4">
        <v>0.72013888888888888</v>
      </c>
      <c r="M39" s="3" t="s">
        <v>33</v>
      </c>
      <c r="N39" s="2">
        <v>547.91999999999996</v>
      </c>
      <c r="O39" s="2">
        <v>4.7619047620000003</v>
      </c>
      <c r="P39" s="2">
        <v>27.396000000000001</v>
      </c>
      <c r="Q39" s="2">
        <v>4.7</v>
      </c>
      <c r="R39" s="3" t="str">
        <f t="shared" si="2"/>
        <v>January</v>
      </c>
      <c r="S39" s="3">
        <f t="shared" si="0"/>
        <v>1</v>
      </c>
      <c r="T39" s="3" t="str">
        <f>IF(tbl_sales[[#This Row],[Sales]]&gt;=500,"High Value","Standard")</f>
        <v>High Value</v>
      </c>
      <c r="U39" s="1" t="str">
        <f>IF(tbl_sales[[#This Row],[Order Size]]="High Value","High Value Order","Standard Order")</f>
        <v>High Value Order</v>
      </c>
      <c r="V39" s="1"/>
      <c r="W39" s="17" t="s">
        <v>39</v>
      </c>
      <c r="X39" s="17" t="s">
        <v>5484</v>
      </c>
      <c r="Y39" s="6">
        <f>COUNTIFS(tbl_sales[Branch],"Giza",tbl_sales[Order Size],"Standard")</f>
        <v>248</v>
      </c>
      <c r="Z39" s="1" t="s">
        <v>37</v>
      </c>
    </row>
    <row r="40" spans="1:26">
      <c r="A40" s="3" t="s">
        <v>331</v>
      </c>
      <c r="B40" s="3" t="s">
        <v>39</v>
      </c>
      <c r="C40" s="3" t="s">
        <v>40</v>
      </c>
      <c r="D40" s="3" t="s">
        <v>24</v>
      </c>
      <c r="E40" s="3" t="s">
        <v>25</v>
      </c>
      <c r="F40" s="3" t="s">
        <v>26</v>
      </c>
      <c r="G40" s="2">
        <v>54.92</v>
      </c>
      <c r="H40" s="2">
        <v>8</v>
      </c>
      <c r="I40" s="2">
        <v>21.968</v>
      </c>
      <c r="J40" s="2">
        <v>461.32799999999997</v>
      </c>
      <c r="K40" s="5">
        <v>43547</v>
      </c>
      <c r="L40" s="4">
        <v>0.55833333333333335</v>
      </c>
      <c r="M40" s="3" t="s">
        <v>33</v>
      </c>
      <c r="N40" s="2">
        <v>439.36</v>
      </c>
      <c r="O40" s="2">
        <v>4.7619047620000003</v>
      </c>
      <c r="P40" s="2">
        <v>21.968</v>
      </c>
      <c r="Q40" s="2">
        <v>7.6</v>
      </c>
      <c r="R40" s="3" t="str">
        <f t="shared" si="2"/>
        <v>March</v>
      </c>
      <c r="S40" s="3">
        <f t="shared" si="0"/>
        <v>3</v>
      </c>
      <c r="T40" s="3" t="str">
        <f>IF(tbl_sales[[#This Row],[Sales]]&gt;=500,"High Value","Standard")</f>
        <v>Standard</v>
      </c>
      <c r="U40" s="1" t="str">
        <f>IF(tbl_sales[[#This Row],[Order Size]]="High Value","High Value Order","Standard Order")</f>
        <v>Standard Order</v>
      </c>
      <c r="V40" s="1"/>
      <c r="W40" s="17" t="s">
        <v>39</v>
      </c>
      <c r="X40" s="17" t="s">
        <v>5485</v>
      </c>
      <c r="Y40" s="6">
        <f>COUNTIFS(tbl_sales[Branch],"Giza",tbl_sales[Order Size],"High Value")</f>
        <v>80</v>
      </c>
      <c r="Z40" s="1" t="s">
        <v>37</v>
      </c>
    </row>
    <row r="41" spans="1:26">
      <c r="A41" s="3" t="s">
        <v>339</v>
      </c>
      <c r="B41" s="3" t="s">
        <v>115</v>
      </c>
      <c r="C41" s="3" t="s">
        <v>116</v>
      </c>
      <c r="D41" s="3" t="s">
        <v>24</v>
      </c>
      <c r="E41" s="3" t="s">
        <v>25</v>
      </c>
      <c r="F41" s="3" t="s">
        <v>53</v>
      </c>
      <c r="G41" s="2">
        <v>30.12</v>
      </c>
      <c r="H41" s="2">
        <v>8</v>
      </c>
      <c r="I41" s="2">
        <v>12.048</v>
      </c>
      <c r="J41" s="2">
        <v>253.00800000000001</v>
      </c>
      <c r="K41" s="5">
        <v>43527</v>
      </c>
      <c r="L41" s="4">
        <v>0.54236111111111107</v>
      </c>
      <c r="M41" s="3" t="s">
        <v>49</v>
      </c>
      <c r="N41" s="2">
        <v>240.96</v>
      </c>
      <c r="O41" s="2">
        <v>4.7619047620000003</v>
      </c>
      <c r="P41" s="2">
        <v>12.048</v>
      </c>
      <c r="Q41" s="2">
        <v>7.7</v>
      </c>
      <c r="R41" s="3" t="str">
        <f t="shared" si="2"/>
        <v>March</v>
      </c>
      <c r="S41" s="3">
        <f t="shared" si="0"/>
        <v>3</v>
      </c>
      <c r="T41" s="3" t="str">
        <f>IF(tbl_sales[[#This Row],[Sales]]&gt;=500,"High Value","Standard")</f>
        <v>Standard</v>
      </c>
      <c r="U41" s="1" t="str">
        <f>IF(tbl_sales[[#This Row],[Order Size]]="High Value","High Value Order","Standard Order")</f>
        <v>Standard Order</v>
      </c>
      <c r="V41" s="1"/>
      <c r="W41" s="17" t="s">
        <v>37</v>
      </c>
      <c r="X41" s="17"/>
      <c r="Y41" s="6"/>
      <c r="Z41" s="1" t="s">
        <v>37</v>
      </c>
    </row>
    <row r="42" spans="1:26" ht="15.6">
      <c r="A42" s="3" t="s">
        <v>345</v>
      </c>
      <c r="B42" s="3" t="s">
        <v>115</v>
      </c>
      <c r="C42" s="3" t="s">
        <v>116</v>
      </c>
      <c r="D42" s="3" t="s">
        <v>24</v>
      </c>
      <c r="E42" s="3" t="s">
        <v>25</v>
      </c>
      <c r="F42" s="3" t="s">
        <v>53</v>
      </c>
      <c r="G42" s="2">
        <v>86.72</v>
      </c>
      <c r="H42" s="2">
        <v>1</v>
      </c>
      <c r="I42" s="2">
        <v>4.3360000000000003</v>
      </c>
      <c r="J42" s="2">
        <v>91.055999999999997</v>
      </c>
      <c r="K42" s="5">
        <v>43482</v>
      </c>
      <c r="L42" s="4">
        <v>0.78125</v>
      </c>
      <c r="M42" s="3" t="s">
        <v>33</v>
      </c>
      <c r="N42" s="2">
        <v>86.72</v>
      </c>
      <c r="O42" s="2">
        <v>4.7619047620000003</v>
      </c>
      <c r="P42" s="2">
        <v>4.3360000000000003</v>
      </c>
      <c r="Q42" s="2">
        <v>7.9</v>
      </c>
      <c r="R42" s="3" t="str">
        <f t="shared" si="2"/>
        <v>January</v>
      </c>
      <c r="S42" s="3">
        <f t="shared" si="0"/>
        <v>1</v>
      </c>
      <c r="T42" s="3" t="str">
        <f>IF(tbl_sales[[#This Row],[Sales]]&gt;=500,"High Value","Standard")</f>
        <v>Standard</v>
      </c>
      <c r="U42" s="1" t="str">
        <f>IF(tbl_sales[[#This Row],[Order Size]]="High Value","High Value Order","Standard Order")</f>
        <v>Standard Order</v>
      </c>
      <c r="V42" s="1"/>
      <c r="W42" s="14" t="s">
        <v>1</v>
      </c>
      <c r="X42" s="14" t="s">
        <v>5468</v>
      </c>
      <c r="Y42" s="15" t="s">
        <v>5475</v>
      </c>
      <c r="Z42" s="1" t="s">
        <v>37</v>
      </c>
    </row>
    <row r="43" spans="1:26">
      <c r="A43" s="3" t="s">
        <v>352</v>
      </c>
      <c r="B43" s="3" t="s">
        <v>39</v>
      </c>
      <c r="C43" s="3" t="s">
        <v>40</v>
      </c>
      <c r="D43" s="3" t="s">
        <v>24</v>
      </c>
      <c r="E43" s="3" t="s">
        <v>25</v>
      </c>
      <c r="F43" s="3" t="s">
        <v>53</v>
      </c>
      <c r="G43" s="2">
        <v>56.11</v>
      </c>
      <c r="H43" s="2">
        <v>2</v>
      </c>
      <c r="I43" s="2">
        <v>5.6109999999999998</v>
      </c>
      <c r="J43" s="2">
        <v>117.831</v>
      </c>
      <c r="K43" s="5">
        <v>43498</v>
      </c>
      <c r="L43" s="4">
        <v>0.42430555555555555</v>
      </c>
      <c r="M43" s="3" t="s">
        <v>49</v>
      </c>
      <c r="N43" s="2">
        <v>112.22</v>
      </c>
      <c r="O43" s="2">
        <v>4.7619047620000003</v>
      </c>
      <c r="P43" s="2">
        <v>5.6109999999999998</v>
      </c>
      <c r="Q43" s="2">
        <v>6.3</v>
      </c>
      <c r="R43" s="3" t="str">
        <f t="shared" si="2"/>
        <v>February</v>
      </c>
      <c r="S43" s="3">
        <f t="shared" si="0"/>
        <v>2</v>
      </c>
      <c r="T43" s="3" t="str">
        <f>IF(tbl_sales[[#This Row],[Sales]]&gt;=500,"High Value","Standard")</f>
        <v>Standard</v>
      </c>
      <c r="U43" s="1" t="str">
        <f>IF(tbl_sales[[#This Row],[Order Size]]="High Value","High Value Order","Standard Order")</f>
        <v>Standard Order</v>
      </c>
      <c r="V43" s="1"/>
      <c r="W43" s="17" t="s">
        <v>22</v>
      </c>
      <c r="X43" s="17" t="s">
        <v>5480</v>
      </c>
      <c r="Y43" s="6">
        <f>SUMIFS(tbl_sales[Sales],tbl_sales[Branch],"Alex",tbl_sales[Month],"January")</f>
        <v>38681.128499999999</v>
      </c>
      <c r="Z43" s="1" t="s">
        <v>37</v>
      </c>
    </row>
    <row r="44" spans="1:26">
      <c r="A44" s="3" t="s">
        <v>360</v>
      </c>
      <c r="B44" s="3" t="s">
        <v>115</v>
      </c>
      <c r="C44" s="3" t="s">
        <v>116</v>
      </c>
      <c r="D44" s="3" t="s">
        <v>24</v>
      </c>
      <c r="E44" s="3" t="s">
        <v>25</v>
      </c>
      <c r="F44" s="3" t="s">
        <v>72</v>
      </c>
      <c r="G44" s="2">
        <v>69.12</v>
      </c>
      <c r="H44" s="2">
        <v>6</v>
      </c>
      <c r="I44" s="2">
        <v>20.736000000000001</v>
      </c>
      <c r="J44" s="2">
        <v>435.45600000000002</v>
      </c>
      <c r="K44" s="5">
        <v>43504</v>
      </c>
      <c r="L44" s="4">
        <v>0.54374999999999996</v>
      </c>
      <c r="M44" s="3" t="s">
        <v>49</v>
      </c>
      <c r="N44" s="2">
        <v>414.72</v>
      </c>
      <c r="O44" s="2">
        <v>4.7619047620000003</v>
      </c>
      <c r="P44" s="2">
        <v>20.736000000000001</v>
      </c>
      <c r="Q44" s="2">
        <v>5.6</v>
      </c>
      <c r="R44" s="3" t="str">
        <f t="shared" si="2"/>
        <v>February</v>
      </c>
      <c r="S44" s="3">
        <f t="shared" si="0"/>
        <v>2</v>
      </c>
      <c r="T44" s="3" t="str">
        <f>IF(tbl_sales[[#This Row],[Sales]]&gt;=500,"High Value","Standard")</f>
        <v>Standard</v>
      </c>
      <c r="U44" s="1" t="str">
        <f>IF(tbl_sales[[#This Row],[Order Size]]="High Value","High Value Order","Standard Order")</f>
        <v>Standard Order</v>
      </c>
      <c r="V44" s="1"/>
      <c r="W44" s="17" t="s">
        <v>22</v>
      </c>
      <c r="X44" s="17" t="s">
        <v>5481</v>
      </c>
      <c r="Y44" s="6">
        <f>SUMIFS(tbl_sales[Sales],tbl_sales[Branch],"Alex",tbl_sales[Month],"February")</f>
        <v>29860.120500000005</v>
      </c>
      <c r="Z44" s="1" t="s">
        <v>37</v>
      </c>
    </row>
    <row r="45" spans="1:26">
      <c r="A45" s="3" t="s">
        <v>367</v>
      </c>
      <c r="B45" s="3" t="s">
        <v>39</v>
      </c>
      <c r="C45" s="3" t="s">
        <v>40</v>
      </c>
      <c r="D45" s="3" t="s">
        <v>24</v>
      </c>
      <c r="E45" s="3" t="s">
        <v>25</v>
      </c>
      <c r="F45" s="3" t="s">
        <v>117</v>
      </c>
      <c r="G45" s="2">
        <v>98.7</v>
      </c>
      <c r="H45" s="2">
        <v>8</v>
      </c>
      <c r="I45" s="2">
        <v>39.479999999999997</v>
      </c>
      <c r="J45" s="2">
        <v>829.08</v>
      </c>
      <c r="K45" s="5">
        <v>43528</v>
      </c>
      <c r="L45" s="4">
        <v>0.86041666666666672</v>
      </c>
      <c r="M45" s="3" t="s">
        <v>49</v>
      </c>
      <c r="N45" s="2">
        <v>789.6</v>
      </c>
      <c r="O45" s="2">
        <v>4.7619047620000003</v>
      </c>
      <c r="P45" s="2">
        <v>39.479999999999997</v>
      </c>
      <c r="Q45" s="2">
        <v>7.6</v>
      </c>
      <c r="R45" s="3" t="str">
        <f t="shared" si="2"/>
        <v>March</v>
      </c>
      <c r="S45" s="3">
        <f t="shared" si="0"/>
        <v>3</v>
      </c>
      <c r="T45" s="3" t="str">
        <f>IF(tbl_sales[[#This Row],[Sales]]&gt;=500,"High Value","Standard")</f>
        <v>High Value</v>
      </c>
      <c r="U45" s="1" t="str">
        <f>IF(tbl_sales[[#This Row],[Order Size]]="High Value","High Value Order","Standard Order")</f>
        <v>High Value Order</v>
      </c>
      <c r="V45" s="1"/>
      <c r="W45" s="17" t="s">
        <v>22</v>
      </c>
      <c r="X45" s="17" t="s">
        <v>5482</v>
      </c>
      <c r="Y45" s="6">
        <f>SUMIFS(tbl_sales[Sales],tbl_sales[Branch],"Alex",tbl_sales[Month],"March")</f>
        <v>37659.121500000008</v>
      </c>
      <c r="Z45" s="1" t="s">
        <v>37</v>
      </c>
    </row>
    <row r="46" spans="1:26">
      <c r="A46" s="3" t="s">
        <v>374</v>
      </c>
      <c r="B46" s="3" t="s">
        <v>39</v>
      </c>
      <c r="C46" s="3" t="s">
        <v>40</v>
      </c>
      <c r="D46" s="3" t="s">
        <v>24</v>
      </c>
      <c r="E46" s="3" t="s">
        <v>25</v>
      </c>
      <c r="F46" s="3" t="s">
        <v>26</v>
      </c>
      <c r="G46" s="2">
        <v>15.37</v>
      </c>
      <c r="H46" s="2">
        <v>2</v>
      </c>
      <c r="I46" s="2">
        <v>1.5369999999999999</v>
      </c>
      <c r="J46" s="2">
        <v>32.277000000000001</v>
      </c>
      <c r="K46" s="5">
        <v>43540</v>
      </c>
      <c r="L46" s="4">
        <v>0.82430555555555551</v>
      </c>
      <c r="M46" s="3" t="s">
        <v>49</v>
      </c>
      <c r="N46" s="2">
        <v>30.74</v>
      </c>
      <c r="O46" s="2">
        <v>4.7619047620000003</v>
      </c>
      <c r="P46" s="2">
        <v>1.5369999999999999</v>
      </c>
      <c r="Q46" s="2">
        <v>7.2</v>
      </c>
      <c r="R46" s="3" t="str">
        <f t="shared" si="2"/>
        <v>March</v>
      </c>
      <c r="S46" s="3">
        <f t="shared" si="0"/>
        <v>3</v>
      </c>
      <c r="T46" s="3" t="str">
        <f>IF(tbl_sales[[#This Row],[Sales]]&gt;=500,"High Value","Standard")</f>
        <v>Standard</v>
      </c>
      <c r="U46" s="1" t="str">
        <f>IF(tbl_sales[[#This Row],[Order Size]]="High Value","High Value Order","Standard Order")</f>
        <v>Standard Order</v>
      </c>
      <c r="V46" s="1"/>
      <c r="W46" s="17" t="s">
        <v>115</v>
      </c>
      <c r="X46" s="17" t="s">
        <v>5480</v>
      </c>
      <c r="Y46" s="6">
        <f>SUMIFS(tbl_sales[Sales],tbl_sales[Branch],"Cairo",tbl_sales[Month],"January")</f>
        <v>37176.058500000014</v>
      </c>
      <c r="Z46" s="1" t="s">
        <v>37</v>
      </c>
    </row>
    <row r="47" spans="1:26">
      <c r="A47" s="3" t="s">
        <v>381</v>
      </c>
      <c r="B47" s="3" t="s">
        <v>115</v>
      </c>
      <c r="C47" s="3" t="s">
        <v>116</v>
      </c>
      <c r="D47" s="3" t="s">
        <v>24</v>
      </c>
      <c r="E47" s="3" t="s">
        <v>25</v>
      </c>
      <c r="F47" s="3" t="s">
        <v>42</v>
      </c>
      <c r="G47" s="2">
        <v>93.96</v>
      </c>
      <c r="H47" s="2">
        <v>4</v>
      </c>
      <c r="I47" s="2">
        <v>18.792000000000002</v>
      </c>
      <c r="J47" s="2">
        <v>394.63200000000001</v>
      </c>
      <c r="K47" s="5">
        <v>43533</v>
      </c>
      <c r="L47" s="4">
        <v>0.75</v>
      </c>
      <c r="M47" s="3" t="s">
        <v>49</v>
      </c>
      <c r="N47" s="2">
        <v>375.84</v>
      </c>
      <c r="O47" s="2">
        <v>4.7619047620000003</v>
      </c>
      <c r="P47" s="2">
        <v>18.792000000000002</v>
      </c>
      <c r="Q47" s="2">
        <v>9.5</v>
      </c>
      <c r="R47" s="3" t="str">
        <f t="shared" si="2"/>
        <v>March</v>
      </c>
      <c r="S47" s="3">
        <f t="shared" si="0"/>
        <v>3</v>
      </c>
      <c r="T47" s="3" t="str">
        <f>IF(tbl_sales[[#This Row],[Sales]]&gt;=500,"High Value","Standard")</f>
        <v>Standard</v>
      </c>
      <c r="U47" s="1" t="str">
        <f>IF(tbl_sales[[#This Row],[Order Size]]="High Value","High Value Order","Standard Order")</f>
        <v>Standard Order</v>
      </c>
      <c r="V47" s="1"/>
      <c r="W47" s="17" t="s">
        <v>115</v>
      </c>
      <c r="X47" s="17" t="s">
        <v>5481</v>
      </c>
      <c r="Y47" s="6">
        <f>SUMIFS(tbl_sales[Sales],tbl_sales[Branch],"Cairo",tbl_sales[Month],"February")</f>
        <v>34424.270999999993</v>
      </c>
      <c r="Z47" s="1" t="s">
        <v>37</v>
      </c>
    </row>
    <row r="48" spans="1:26">
      <c r="A48" s="3" t="s">
        <v>387</v>
      </c>
      <c r="B48" s="3" t="s">
        <v>115</v>
      </c>
      <c r="C48" s="3" t="s">
        <v>116</v>
      </c>
      <c r="D48" s="3" t="s">
        <v>24</v>
      </c>
      <c r="E48" s="3" t="s">
        <v>25</v>
      </c>
      <c r="F48" s="3" t="s">
        <v>26</v>
      </c>
      <c r="G48" s="2">
        <v>56.69</v>
      </c>
      <c r="H48" s="2">
        <v>9</v>
      </c>
      <c r="I48" s="2">
        <v>25.5105</v>
      </c>
      <c r="J48" s="2">
        <v>535.72050000000002</v>
      </c>
      <c r="K48" s="5">
        <v>43523</v>
      </c>
      <c r="L48" s="4">
        <v>0.72499999999999998</v>
      </c>
      <c r="M48" s="3" t="s">
        <v>59</v>
      </c>
      <c r="N48" s="2">
        <v>510.21</v>
      </c>
      <c r="O48" s="2">
        <v>4.7619047620000003</v>
      </c>
      <c r="P48" s="2">
        <v>25.5105</v>
      </c>
      <c r="Q48" s="2">
        <v>8.4</v>
      </c>
      <c r="R48" s="3" t="str">
        <f t="shared" si="2"/>
        <v>February</v>
      </c>
      <c r="S48" s="3">
        <f t="shared" si="0"/>
        <v>2</v>
      </c>
      <c r="T48" s="3" t="str">
        <f>IF(tbl_sales[[#This Row],[Sales]]&gt;=500,"High Value","Standard")</f>
        <v>High Value</v>
      </c>
      <c r="U48" s="1" t="str">
        <f>IF(tbl_sales[[#This Row],[Order Size]]="High Value","High Value Order","Standard Order")</f>
        <v>High Value Order</v>
      </c>
      <c r="V48" s="1"/>
      <c r="W48" s="17" t="s">
        <v>115</v>
      </c>
      <c r="X48" s="17" t="s">
        <v>5482</v>
      </c>
      <c r="Y48" s="6">
        <f>SUMIFS(tbl_sales[Sales],tbl_sales[Branch],"Cairo",tbl_sales[Month],"March")</f>
        <v>34597.342499999999</v>
      </c>
      <c r="Z48" s="1" t="s">
        <v>37</v>
      </c>
    </row>
    <row r="49" spans="1:26">
      <c r="A49" s="3" t="s">
        <v>394</v>
      </c>
      <c r="B49" s="3" t="s">
        <v>115</v>
      </c>
      <c r="C49" s="3" t="s">
        <v>116</v>
      </c>
      <c r="D49" s="3" t="s">
        <v>24</v>
      </c>
      <c r="E49" s="3" t="s">
        <v>25</v>
      </c>
      <c r="F49" s="3" t="s">
        <v>117</v>
      </c>
      <c r="G49" s="2">
        <v>20.010000000000002</v>
      </c>
      <c r="H49" s="2">
        <v>9</v>
      </c>
      <c r="I49" s="2">
        <v>9.0045000000000002</v>
      </c>
      <c r="J49" s="2">
        <v>189.09450000000001</v>
      </c>
      <c r="K49" s="5">
        <v>43502</v>
      </c>
      <c r="L49" s="4">
        <v>0.65763888888888888</v>
      </c>
      <c r="M49" s="3" t="s">
        <v>33</v>
      </c>
      <c r="N49" s="2">
        <v>180.09</v>
      </c>
      <c r="O49" s="2">
        <v>4.7619047620000003</v>
      </c>
      <c r="P49" s="2">
        <v>9.0045000000000002</v>
      </c>
      <c r="Q49" s="2">
        <v>4.0999999999999996</v>
      </c>
      <c r="R49" s="3" t="str">
        <f t="shared" si="2"/>
        <v>February</v>
      </c>
      <c r="S49" s="3">
        <f t="shared" si="0"/>
        <v>2</v>
      </c>
      <c r="T49" s="3" t="str">
        <f>IF(tbl_sales[[#This Row],[Sales]]&gt;=500,"High Value","Standard")</f>
        <v>Standard</v>
      </c>
      <c r="U49" s="1" t="str">
        <f>IF(tbl_sales[[#This Row],[Order Size]]="High Value","High Value Order","Standard Order")</f>
        <v>Standard Order</v>
      </c>
      <c r="V49" s="1"/>
      <c r="W49" s="17" t="s">
        <v>39</v>
      </c>
      <c r="X49" s="17" t="s">
        <v>5480</v>
      </c>
      <c r="Y49" s="6">
        <f>SUMIFS(tbl_sales[Sales],tbl_sales[Branch],"Giza",tbl_sales[Month],"January")</f>
        <v>40434.68099999999</v>
      </c>
      <c r="Z49" s="1" t="s">
        <v>37</v>
      </c>
    </row>
    <row r="50" spans="1:26">
      <c r="A50" s="3" t="s">
        <v>400</v>
      </c>
      <c r="B50" s="3" t="s">
        <v>115</v>
      </c>
      <c r="C50" s="3" t="s">
        <v>116</v>
      </c>
      <c r="D50" s="3" t="s">
        <v>24</v>
      </c>
      <c r="E50" s="3" t="s">
        <v>25</v>
      </c>
      <c r="F50" s="3" t="s">
        <v>42</v>
      </c>
      <c r="G50" s="2">
        <v>18.93</v>
      </c>
      <c r="H50" s="2">
        <v>6</v>
      </c>
      <c r="I50" s="2">
        <v>5.6790000000000003</v>
      </c>
      <c r="J50" s="2">
        <v>119.259</v>
      </c>
      <c r="K50" s="5">
        <v>43506</v>
      </c>
      <c r="L50" s="4">
        <v>0.53125</v>
      </c>
      <c r="M50" s="3" t="s">
        <v>59</v>
      </c>
      <c r="N50" s="2">
        <v>113.58</v>
      </c>
      <c r="O50" s="2">
        <v>4.7619047620000003</v>
      </c>
      <c r="P50" s="2">
        <v>5.6790000000000003</v>
      </c>
      <c r="Q50" s="2">
        <v>8.1</v>
      </c>
      <c r="R50" s="3" t="str">
        <f t="shared" si="2"/>
        <v>February</v>
      </c>
      <c r="S50" s="3">
        <f t="shared" si="0"/>
        <v>2</v>
      </c>
      <c r="T50" s="3" t="str">
        <f>IF(tbl_sales[[#This Row],[Sales]]&gt;=500,"High Value","Standard")</f>
        <v>Standard</v>
      </c>
      <c r="U50" s="1" t="str">
        <f>IF(tbl_sales[[#This Row],[Order Size]]="High Value","High Value Order","Standard Order")</f>
        <v>Standard Order</v>
      </c>
      <c r="V50" s="1"/>
      <c r="W50" s="17" t="s">
        <v>39</v>
      </c>
      <c r="X50" s="17" t="s">
        <v>5481</v>
      </c>
      <c r="Y50" s="6">
        <f>SUMIFS(tbl_sales[Sales],tbl_sales[Branch],"Giza",tbl_sales[Month],"February")</f>
        <v>32934.982500000006</v>
      </c>
      <c r="Z50" s="1" t="s">
        <v>37</v>
      </c>
    </row>
    <row r="51" spans="1:26">
      <c r="A51" s="3" t="s">
        <v>408</v>
      </c>
      <c r="B51" s="3" t="s">
        <v>39</v>
      </c>
      <c r="C51" s="3" t="s">
        <v>40</v>
      </c>
      <c r="D51" s="3" t="s">
        <v>24</v>
      </c>
      <c r="E51" s="3" t="s">
        <v>25</v>
      </c>
      <c r="F51" s="3" t="s">
        <v>127</v>
      </c>
      <c r="G51" s="2">
        <v>82.63</v>
      </c>
      <c r="H51" s="2">
        <v>10</v>
      </c>
      <c r="I51" s="2">
        <v>41.314999999999998</v>
      </c>
      <c r="J51" s="2">
        <v>867.61500000000001</v>
      </c>
      <c r="K51" s="5">
        <v>43543</v>
      </c>
      <c r="L51" s="4">
        <v>0.71388888888888891</v>
      </c>
      <c r="M51" s="3" t="s">
        <v>33</v>
      </c>
      <c r="N51" s="2">
        <v>826.3</v>
      </c>
      <c r="O51" s="2">
        <v>4.7619047620000003</v>
      </c>
      <c r="P51" s="2">
        <v>41.314999999999998</v>
      </c>
      <c r="Q51" s="2">
        <v>7.9</v>
      </c>
      <c r="R51" s="3" t="str">
        <f t="shared" si="2"/>
        <v>March</v>
      </c>
      <c r="S51" s="3">
        <f t="shared" si="0"/>
        <v>3</v>
      </c>
      <c r="T51" s="3" t="str">
        <f>IF(tbl_sales[[#This Row],[Sales]]&gt;=500,"High Value","Standard")</f>
        <v>High Value</v>
      </c>
      <c r="U51" s="1" t="str">
        <f>IF(tbl_sales[[#This Row],[Order Size]]="High Value","High Value Order","Standard Order")</f>
        <v>High Value Order</v>
      </c>
      <c r="V51" s="1"/>
      <c r="W51" s="17" t="s">
        <v>39</v>
      </c>
      <c r="X51" s="17" t="s">
        <v>5482</v>
      </c>
      <c r="Y51" s="6">
        <f>SUMIFS(tbl_sales[Sales],tbl_sales[Branch],"Giza",tbl_sales[Month],"March")</f>
        <v>37199.042999999998</v>
      </c>
      <c r="Z51" s="1" t="s">
        <v>37</v>
      </c>
    </row>
    <row r="52" spans="1:26">
      <c r="A52" s="3" t="s">
        <v>415</v>
      </c>
      <c r="B52" s="3" t="s">
        <v>39</v>
      </c>
      <c r="C52" s="3" t="s">
        <v>40</v>
      </c>
      <c r="D52" s="3" t="s">
        <v>24</v>
      </c>
      <c r="E52" s="3" t="s">
        <v>25</v>
      </c>
      <c r="F52" s="3" t="s">
        <v>117</v>
      </c>
      <c r="G52" s="2">
        <v>91.4</v>
      </c>
      <c r="H52" s="2">
        <v>7</v>
      </c>
      <c r="I52" s="2">
        <v>31.99</v>
      </c>
      <c r="J52" s="2">
        <v>671.79</v>
      </c>
      <c r="K52" s="5">
        <v>43499</v>
      </c>
      <c r="L52" s="4">
        <v>0.42986111111111114</v>
      </c>
      <c r="M52" s="3" t="s">
        <v>49</v>
      </c>
      <c r="N52" s="2">
        <v>639.79999999999995</v>
      </c>
      <c r="O52" s="2">
        <v>4.7619047620000003</v>
      </c>
      <c r="P52" s="2">
        <v>31.99</v>
      </c>
      <c r="Q52" s="2">
        <v>9.5</v>
      </c>
      <c r="R52" s="3" t="str">
        <f t="shared" si="2"/>
        <v>February</v>
      </c>
      <c r="S52" s="3">
        <f t="shared" si="0"/>
        <v>2</v>
      </c>
      <c r="T52" s="3" t="str">
        <f>IF(tbl_sales[[#This Row],[Sales]]&gt;=500,"High Value","Standard")</f>
        <v>High Value</v>
      </c>
      <c r="U52" s="1" t="str">
        <f>IF(tbl_sales[[#This Row],[Order Size]]="High Value","High Value Order","Standard Order")</f>
        <v>High Value Order</v>
      </c>
      <c r="V52" s="1"/>
      <c r="W52" s="17" t="s">
        <v>37</v>
      </c>
      <c r="X52" s="17"/>
      <c r="Y52" s="6"/>
      <c r="Z52" s="1" t="s">
        <v>37</v>
      </c>
    </row>
    <row r="53" spans="1:26" ht="15.6">
      <c r="A53" s="3" t="s">
        <v>422</v>
      </c>
      <c r="B53" s="3" t="s">
        <v>22</v>
      </c>
      <c r="C53" s="3" t="s">
        <v>23</v>
      </c>
      <c r="D53" s="3" t="s">
        <v>24</v>
      </c>
      <c r="E53" s="3" t="s">
        <v>25</v>
      </c>
      <c r="F53" s="3" t="s">
        <v>117</v>
      </c>
      <c r="G53" s="2">
        <v>44.59</v>
      </c>
      <c r="H53" s="2">
        <v>5</v>
      </c>
      <c r="I53" s="2">
        <v>11.147500000000001</v>
      </c>
      <c r="J53" s="2">
        <v>234.0975</v>
      </c>
      <c r="K53" s="5">
        <v>43506</v>
      </c>
      <c r="L53" s="4">
        <v>0.63194444444444442</v>
      </c>
      <c r="M53" s="3" t="s">
        <v>49</v>
      </c>
      <c r="N53" s="2">
        <v>222.95</v>
      </c>
      <c r="O53" s="2">
        <v>4.7619047620000003</v>
      </c>
      <c r="P53" s="2">
        <v>11.147500000000001</v>
      </c>
      <c r="Q53" s="2">
        <v>8.5</v>
      </c>
      <c r="R53" s="3" t="str">
        <f t="shared" si="2"/>
        <v>February</v>
      </c>
      <c r="S53" s="3">
        <f t="shared" si="0"/>
        <v>2</v>
      </c>
      <c r="T53" s="3" t="str">
        <f>IF(tbl_sales[[#This Row],[Sales]]&gt;=500,"High Value","Standard")</f>
        <v>Standard</v>
      </c>
      <c r="U53" s="1" t="str">
        <f>IF(tbl_sales[[#This Row],[Order Size]]="High Value","High Value Order","Standard Order")</f>
        <v>Standard Order</v>
      </c>
      <c r="V53" s="1"/>
      <c r="W53" s="14" t="s">
        <v>1</v>
      </c>
      <c r="X53" s="14" t="s">
        <v>5479</v>
      </c>
      <c r="Y53" s="6"/>
      <c r="Z53" s="1" t="s">
        <v>37</v>
      </c>
    </row>
    <row r="54" spans="1:26">
      <c r="A54" s="3" t="s">
        <v>428</v>
      </c>
      <c r="B54" s="3" t="s">
        <v>115</v>
      </c>
      <c r="C54" s="3" t="s">
        <v>116</v>
      </c>
      <c r="D54" s="3" t="s">
        <v>24</v>
      </c>
      <c r="E54" s="3" t="s">
        <v>25</v>
      </c>
      <c r="F54" s="3" t="s">
        <v>127</v>
      </c>
      <c r="G54" s="2">
        <v>17.87</v>
      </c>
      <c r="H54" s="2">
        <v>4</v>
      </c>
      <c r="I54" s="2">
        <v>3.5739999999999998</v>
      </c>
      <c r="J54" s="2">
        <v>75.054000000000002</v>
      </c>
      <c r="K54" s="5">
        <v>43546</v>
      </c>
      <c r="L54" s="4">
        <v>0.61250000000000004</v>
      </c>
      <c r="M54" s="3" t="s">
        <v>33</v>
      </c>
      <c r="N54" s="2">
        <v>71.48</v>
      </c>
      <c r="O54" s="2">
        <v>4.7619047620000003</v>
      </c>
      <c r="P54" s="2">
        <v>3.5739999999999998</v>
      </c>
      <c r="Q54" s="2">
        <v>6.5</v>
      </c>
      <c r="R54" s="3" t="str">
        <f t="shared" si="2"/>
        <v>March</v>
      </c>
      <c r="S54" s="3">
        <f t="shared" si="0"/>
        <v>3</v>
      </c>
      <c r="T54" s="3" t="str">
        <f>IF(tbl_sales[[#This Row],[Sales]]&gt;=500,"High Value","Standard")</f>
        <v>Standard</v>
      </c>
      <c r="U54" s="1" t="str">
        <f>IF(tbl_sales[[#This Row],[Order Size]]="High Value","High Value Order","Standard Order")</f>
        <v>Standard Order</v>
      </c>
      <c r="V54" s="1"/>
      <c r="W54" s="17" t="s">
        <v>22</v>
      </c>
      <c r="X54" s="17">
        <f>AVERAGEIFS(tbl_sales[Rating],tbl_sales[Branch],"Alex")</f>
        <v>7.0270588235294129</v>
      </c>
      <c r="Y54" s="6"/>
      <c r="Z54" s="1" t="s">
        <v>37</v>
      </c>
    </row>
    <row r="55" spans="1:26">
      <c r="A55" s="3" t="s">
        <v>435</v>
      </c>
      <c r="B55" s="3" t="s">
        <v>39</v>
      </c>
      <c r="C55" s="3" t="s">
        <v>40</v>
      </c>
      <c r="D55" s="3" t="s">
        <v>24</v>
      </c>
      <c r="E55" s="3" t="s">
        <v>25</v>
      </c>
      <c r="F55" s="3" t="s">
        <v>127</v>
      </c>
      <c r="G55" s="2">
        <v>15.43</v>
      </c>
      <c r="H55" s="2">
        <v>1</v>
      </c>
      <c r="I55" s="2">
        <v>0.77149999999999996</v>
      </c>
      <c r="J55" s="2">
        <v>16.201499999999999</v>
      </c>
      <c r="K55" s="5">
        <v>43490</v>
      </c>
      <c r="L55" s="4">
        <v>0.65694444444444444</v>
      </c>
      <c r="M55" s="3" t="s">
        <v>59</v>
      </c>
      <c r="N55" s="2">
        <v>15.43</v>
      </c>
      <c r="O55" s="2">
        <v>4.7619047620000003</v>
      </c>
      <c r="P55" s="2">
        <v>0.77149999999999996</v>
      </c>
      <c r="Q55" s="2">
        <v>6.1</v>
      </c>
      <c r="R55" s="3" t="str">
        <f t="shared" si="2"/>
        <v>January</v>
      </c>
      <c r="S55" s="3">
        <f t="shared" si="0"/>
        <v>1</v>
      </c>
      <c r="T55" s="3" t="str">
        <f>IF(tbl_sales[[#This Row],[Sales]]&gt;=500,"High Value","Standard")</f>
        <v>Standard</v>
      </c>
      <c r="U55" s="1" t="str">
        <f>IF(tbl_sales[[#This Row],[Order Size]]="High Value","High Value Order","Standard Order")</f>
        <v>Standard Order</v>
      </c>
      <c r="V55" s="1"/>
      <c r="W55" s="17" t="s">
        <v>115</v>
      </c>
      <c r="X55" s="17">
        <f>AVERAGEIFS(tbl_sales[Rating],tbl_sales[Branch],"Cairo")</f>
        <v>6.8180722891566266</v>
      </c>
      <c r="Y55" s="6"/>
      <c r="Z55" s="1" t="s">
        <v>37</v>
      </c>
    </row>
    <row r="56" spans="1:26">
      <c r="A56" s="3" t="s">
        <v>441</v>
      </c>
      <c r="B56" s="3" t="s">
        <v>115</v>
      </c>
      <c r="C56" s="3" t="s">
        <v>116</v>
      </c>
      <c r="D56" s="3" t="s">
        <v>24</v>
      </c>
      <c r="E56" s="3" t="s">
        <v>25</v>
      </c>
      <c r="F56" s="3" t="s">
        <v>53</v>
      </c>
      <c r="G56" s="2">
        <v>16.16</v>
      </c>
      <c r="H56" s="2">
        <v>2</v>
      </c>
      <c r="I56" s="2">
        <v>1.6160000000000001</v>
      </c>
      <c r="J56" s="2">
        <v>33.936</v>
      </c>
      <c r="K56" s="5">
        <v>43531</v>
      </c>
      <c r="L56" s="4">
        <v>0.49236111111111114</v>
      </c>
      <c r="M56" s="3" t="s">
        <v>33</v>
      </c>
      <c r="N56" s="2">
        <v>32.32</v>
      </c>
      <c r="O56" s="2">
        <v>4.7619047620000003</v>
      </c>
      <c r="P56" s="2">
        <v>1.6160000000000001</v>
      </c>
      <c r="Q56" s="2">
        <v>6.5</v>
      </c>
      <c r="R56" s="3" t="str">
        <f t="shared" si="2"/>
        <v>March</v>
      </c>
      <c r="S56" s="3">
        <f t="shared" si="0"/>
        <v>3</v>
      </c>
      <c r="T56" s="3" t="str">
        <f>IF(tbl_sales[[#This Row],[Sales]]&gt;=500,"High Value","Standard")</f>
        <v>Standard</v>
      </c>
      <c r="U56" s="1" t="str">
        <f>IF(tbl_sales[[#This Row],[Order Size]]="High Value","High Value Order","Standard Order")</f>
        <v>Standard Order</v>
      </c>
      <c r="V56" s="1"/>
      <c r="W56" s="17" t="s">
        <v>39</v>
      </c>
      <c r="X56" s="17">
        <f>AVERAGEIFS(tbl_sales[Rating],tbl_sales[Branch],"Giza")</f>
        <v>7.0728658536585378</v>
      </c>
      <c r="Y56" s="6"/>
      <c r="Z56" s="1" t="s">
        <v>37</v>
      </c>
    </row>
    <row r="57" spans="1:26">
      <c r="A57" s="3" t="s">
        <v>448</v>
      </c>
      <c r="B57" s="3" t="s">
        <v>39</v>
      </c>
      <c r="C57" s="3" t="s">
        <v>40</v>
      </c>
      <c r="D57" s="3" t="s">
        <v>24</v>
      </c>
      <c r="E57" s="3" t="s">
        <v>25</v>
      </c>
      <c r="F57" s="3" t="s">
        <v>42</v>
      </c>
      <c r="G57" s="2">
        <v>85.98</v>
      </c>
      <c r="H57" s="2">
        <v>8</v>
      </c>
      <c r="I57" s="2">
        <v>34.392000000000003</v>
      </c>
      <c r="J57" s="2">
        <v>722.23199999999997</v>
      </c>
      <c r="K57" s="5">
        <v>43524</v>
      </c>
      <c r="L57" s="4">
        <v>0.79236111111111107</v>
      </c>
      <c r="M57" s="3" t="s">
        <v>49</v>
      </c>
      <c r="N57" s="2">
        <v>687.84</v>
      </c>
      <c r="O57" s="2">
        <v>4.7619047620000003</v>
      </c>
      <c r="P57" s="2">
        <v>34.392000000000003</v>
      </c>
      <c r="Q57" s="2">
        <v>8.1999999999999993</v>
      </c>
      <c r="R57" s="3" t="str">
        <f t="shared" si="2"/>
        <v>February</v>
      </c>
      <c r="S57" s="3">
        <f t="shared" si="0"/>
        <v>2</v>
      </c>
      <c r="T57" s="3" t="str">
        <f>IF(tbl_sales[[#This Row],[Sales]]&gt;=500,"High Value","Standard")</f>
        <v>High Value</v>
      </c>
      <c r="U57" s="1" t="str">
        <f>IF(tbl_sales[[#This Row],[Order Size]]="High Value","High Value Order","Standard Order")</f>
        <v>High Value Order</v>
      </c>
      <c r="V57" s="1"/>
      <c r="W57" s="17" t="s">
        <v>37</v>
      </c>
      <c r="X57" s="17"/>
      <c r="Y57" s="6"/>
      <c r="Z57" s="1" t="s">
        <v>37</v>
      </c>
    </row>
    <row r="58" spans="1:26" ht="15.6">
      <c r="A58" s="3" t="s">
        <v>455</v>
      </c>
      <c r="B58" s="3" t="s">
        <v>22</v>
      </c>
      <c r="C58" s="3" t="s">
        <v>23</v>
      </c>
      <c r="D58" s="3" t="s">
        <v>24</v>
      </c>
      <c r="E58" s="3" t="s">
        <v>25</v>
      </c>
      <c r="F58" s="3" t="s">
        <v>53</v>
      </c>
      <c r="G58" s="2">
        <v>44.34</v>
      </c>
      <c r="H58" s="2">
        <v>2</v>
      </c>
      <c r="I58" s="2">
        <v>4.4340000000000002</v>
      </c>
      <c r="J58" s="2">
        <v>93.114000000000004</v>
      </c>
      <c r="K58" s="5">
        <v>43551</v>
      </c>
      <c r="L58" s="4">
        <v>0.47638888888888886</v>
      </c>
      <c r="M58" s="3" t="s">
        <v>49</v>
      </c>
      <c r="N58" s="2">
        <v>88.68</v>
      </c>
      <c r="O58" s="2">
        <v>4.7619047620000003</v>
      </c>
      <c r="P58" s="2">
        <v>4.4340000000000002</v>
      </c>
      <c r="Q58" s="2">
        <v>5.8</v>
      </c>
      <c r="R58" s="3" t="str">
        <f t="shared" si="2"/>
        <v>March</v>
      </c>
      <c r="S58" s="3">
        <f t="shared" si="0"/>
        <v>3</v>
      </c>
      <c r="T58" s="3" t="str">
        <f>IF(tbl_sales[[#This Row],[Sales]]&gt;=500,"High Value","Standard")</f>
        <v>Standard</v>
      </c>
      <c r="U58" s="1" t="str">
        <f>IF(tbl_sales[[#This Row],[Order Size]]="High Value","High Value Order","Standard Order")</f>
        <v>Standard Order</v>
      </c>
      <c r="V58" s="1"/>
      <c r="W58" s="14" t="s">
        <v>1</v>
      </c>
      <c r="X58" s="14" t="s">
        <v>5475</v>
      </c>
      <c r="Y58" s="6"/>
      <c r="Z58" s="1" t="s">
        <v>37</v>
      </c>
    </row>
    <row r="59" spans="1:26">
      <c r="A59" s="3" t="s">
        <v>462</v>
      </c>
      <c r="B59" s="3" t="s">
        <v>22</v>
      </c>
      <c r="C59" s="3" t="s">
        <v>23</v>
      </c>
      <c r="D59" s="3" t="s">
        <v>24</v>
      </c>
      <c r="E59" s="3" t="s">
        <v>25</v>
      </c>
      <c r="F59" s="3" t="s">
        <v>26</v>
      </c>
      <c r="G59" s="2">
        <v>89.6</v>
      </c>
      <c r="H59" s="2">
        <v>8</v>
      </c>
      <c r="I59" s="2">
        <v>35.840000000000003</v>
      </c>
      <c r="J59" s="2">
        <v>752.64</v>
      </c>
      <c r="K59" s="5">
        <v>43503</v>
      </c>
      <c r="L59" s="4">
        <v>0.4777777777777778</v>
      </c>
      <c r="M59" s="3" t="s">
        <v>33</v>
      </c>
      <c r="N59" s="2">
        <v>716.8</v>
      </c>
      <c r="O59" s="2">
        <v>4.7619047620000003</v>
      </c>
      <c r="P59" s="2">
        <v>35.840000000000003</v>
      </c>
      <c r="Q59" s="2">
        <v>6.6</v>
      </c>
      <c r="R59" s="3" t="str">
        <f t="shared" si="2"/>
        <v>February</v>
      </c>
      <c r="S59" s="3">
        <f t="shared" si="0"/>
        <v>2</v>
      </c>
      <c r="T59" s="3" t="str">
        <f>IF(tbl_sales[[#This Row],[Sales]]&gt;=500,"High Value","Standard")</f>
        <v>High Value</v>
      </c>
      <c r="U59" s="1" t="str">
        <f>IF(tbl_sales[[#This Row],[Order Size]]="High Value","High Value Order","Standard Order")</f>
        <v>High Value Order</v>
      </c>
      <c r="V59" s="1"/>
      <c r="W59" s="17" t="s">
        <v>22</v>
      </c>
      <c r="X59" s="17">
        <f>_xlfn.XLOOKUP("Alex",W9:W11,X9:X11)</f>
        <v>106200.37050000011</v>
      </c>
      <c r="Y59" s="6"/>
      <c r="Z59" s="1" t="s">
        <v>37</v>
      </c>
    </row>
    <row r="60" spans="1:26">
      <c r="A60" s="3" t="s">
        <v>469</v>
      </c>
      <c r="B60" s="3" t="s">
        <v>22</v>
      </c>
      <c r="C60" s="3" t="s">
        <v>23</v>
      </c>
      <c r="D60" s="3" t="s">
        <v>24</v>
      </c>
      <c r="E60" s="3" t="s">
        <v>25</v>
      </c>
      <c r="F60" s="3" t="s">
        <v>53</v>
      </c>
      <c r="G60" s="2">
        <v>72.349999999999994</v>
      </c>
      <c r="H60" s="2">
        <v>10</v>
      </c>
      <c r="I60" s="2">
        <v>36.174999999999997</v>
      </c>
      <c r="J60" s="2">
        <v>759.67499999999995</v>
      </c>
      <c r="K60" s="5">
        <v>43485</v>
      </c>
      <c r="L60" s="4">
        <v>0.66319444444444442</v>
      </c>
      <c r="M60" s="3" t="s">
        <v>49</v>
      </c>
      <c r="N60" s="2">
        <v>723.5</v>
      </c>
      <c r="O60" s="2">
        <v>4.7619047620000003</v>
      </c>
      <c r="P60" s="2">
        <v>36.174999999999997</v>
      </c>
      <c r="Q60" s="2">
        <v>5.4</v>
      </c>
      <c r="R60" s="3" t="str">
        <f t="shared" si="2"/>
        <v>January</v>
      </c>
      <c r="S60" s="3">
        <f t="shared" si="0"/>
        <v>1</v>
      </c>
      <c r="T60" s="3" t="str">
        <f>IF(tbl_sales[[#This Row],[Sales]]&gt;=500,"High Value","Standard")</f>
        <v>High Value</v>
      </c>
      <c r="U60" s="1" t="str">
        <f>IF(tbl_sales[[#This Row],[Order Size]]="High Value","High Value Order","Standard Order")</f>
        <v>High Value Order</v>
      </c>
      <c r="V60" s="1"/>
      <c r="W60" s="17" t="s">
        <v>115</v>
      </c>
      <c r="X60" s="17">
        <f>_xlfn.XLOOKUP("Cairo",W9:W11,X9:X11)</f>
        <v>106197.67199999996</v>
      </c>
      <c r="Y60" s="6"/>
      <c r="Z60" s="1" t="s">
        <v>37</v>
      </c>
    </row>
    <row r="61" spans="1:26">
      <c r="A61" s="3" t="s">
        <v>477</v>
      </c>
      <c r="B61" s="3" t="s">
        <v>39</v>
      </c>
      <c r="C61" s="3" t="s">
        <v>40</v>
      </c>
      <c r="D61" s="3" t="s">
        <v>24</v>
      </c>
      <c r="E61" s="3" t="s">
        <v>25</v>
      </c>
      <c r="F61" s="3" t="s">
        <v>42</v>
      </c>
      <c r="G61" s="2">
        <v>30.61</v>
      </c>
      <c r="H61" s="2">
        <v>6</v>
      </c>
      <c r="I61" s="2">
        <v>9.1829999999999998</v>
      </c>
      <c r="J61" s="2">
        <v>192.84299999999999</v>
      </c>
      <c r="K61" s="5">
        <v>43536</v>
      </c>
      <c r="L61" s="4">
        <v>0.85833333333333328</v>
      </c>
      <c r="M61" s="3" t="s">
        <v>49</v>
      </c>
      <c r="N61" s="2">
        <v>183.66</v>
      </c>
      <c r="O61" s="2">
        <v>4.7619047620000003</v>
      </c>
      <c r="P61" s="2">
        <v>9.1829999999999998</v>
      </c>
      <c r="Q61" s="2">
        <v>9.3000000000000007</v>
      </c>
      <c r="R61" s="3" t="str">
        <f t="shared" si="2"/>
        <v>March</v>
      </c>
      <c r="S61" s="3">
        <f t="shared" si="0"/>
        <v>3</v>
      </c>
      <c r="T61" s="3" t="str">
        <f>IF(tbl_sales[[#This Row],[Sales]]&gt;=500,"High Value","Standard")</f>
        <v>Standard</v>
      </c>
      <c r="U61" s="1" t="str">
        <f>IF(tbl_sales[[#This Row],[Order Size]]="High Value","High Value Order","Standard Order")</f>
        <v>Standard Order</v>
      </c>
      <c r="V61" s="1"/>
      <c r="W61" s="17" t="s">
        <v>39</v>
      </c>
      <c r="X61" s="17">
        <f>_xlfn.XLOOKUP("Giza",W9:W11,X9:X11)</f>
        <v>110568.70649999994</v>
      </c>
      <c r="Y61" s="6"/>
      <c r="Z61" s="1" t="s">
        <v>37</v>
      </c>
    </row>
    <row r="62" spans="1:26">
      <c r="A62" s="3" t="s">
        <v>485</v>
      </c>
      <c r="B62" s="3" t="s">
        <v>39</v>
      </c>
      <c r="C62" s="3" t="s">
        <v>40</v>
      </c>
      <c r="D62" s="3" t="s">
        <v>24</v>
      </c>
      <c r="E62" s="3" t="s">
        <v>25</v>
      </c>
      <c r="F62" s="3" t="s">
        <v>72</v>
      </c>
      <c r="G62" s="2">
        <v>24.74</v>
      </c>
      <c r="H62" s="2">
        <v>3</v>
      </c>
      <c r="I62" s="2">
        <v>3.7109999999999999</v>
      </c>
      <c r="J62" s="2">
        <v>77.930999999999997</v>
      </c>
      <c r="K62" s="5">
        <v>43511</v>
      </c>
      <c r="L62" s="4">
        <v>0.74097222222222225</v>
      </c>
      <c r="M62" s="3" t="s">
        <v>59</v>
      </c>
      <c r="N62" s="2">
        <v>74.22</v>
      </c>
      <c r="O62" s="2">
        <v>4.7619047620000003</v>
      </c>
      <c r="P62" s="2">
        <v>3.7109999999999999</v>
      </c>
      <c r="Q62" s="2">
        <v>10</v>
      </c>
      <c r="R62" s="3" t="str">
        <f t="shared" si="2"/>
        <v>February</v>
      </c>
      <c r="S62" s="3">
        <f t="shared" si="0"/>
        <v>2</v>
      </c>
      <c r="T62" s="3" t="str">
        <f>IF(tbl_sales[[#This Row],[Sales]]&gt;=500,"High Value","Standard")</f>
        <v>Standard</v>
      </c>
      <c r="U62" s="1" t="str">
        <f>IF(tbl_sales[[#This Row],[Order Size]]="High Value","High Value Order","Standard Order")</f>
        <v>Standard Order</v>
      </c>
      <c r="V62" s="1"/>
      <c r="W62" s="17" t="s">
        <v>37</v>
      </c>
      <c r="X62" s="17"/>
      <c r="Y62" s="6"/>
      <c r="Z62" s="1" t="s">
        <v>37</v>
      </c>
    </row>
    <row r="63" spans="1:26">
      <c r="A63" s="3" t="s">
        <v>492</v>
      </c>
      <c r="B63" s="3" t="s">
        <v>39</v>
      </c>
      <c r="C63" s="3" t="s">
        <v>40</v>
      </c>
      <c r="D63" s="3" t="s">
        <v>24</v>
      </c>
      <c r="E63" s="3" t="s">
        <v>25</v>
      </c>
      <c r="F63" s="3" t="s">
        <v>53</v>
      </c>
      <c r="G63" s="2">
        <v>55.73</v>
      </c>
      <c r="H63" s="2">
        <v>6</v>
      </c>
      <c r="I63" s="2">
        <v>16.719000000000001</v>
      </c>
      <c r="J63" s="2">
        <v>351.09899999999999</v>
      </c>
      <c r="K63" s="5">
        <v>43520</v>
      </c>
      <c r="L63" s="4">
        <v>0.4548611111111111</v>
      </c>
      <c r="M63" s="3" t="s">
        <v>33</v>
      </c>
      <c r="N63" s="2">
        <v>334.38</v>
      </c>
      <c r="O63" s="2">
        <v>4.7619047620000003</v>
      </c>
      <c r="P63" s="2">
        <v>16.719000000000001</v>
      </c>
      <c r="Q63" s="2">
        <v>7</v>
      </c>
      <c r="R63" s="3" t="str">
        <f t="shared" si="2"/>
        <v>February</v>
      </c>
      <c r="S63" s="3">
        <f t="shared" si="0"/>
        <v>2</v>
      </c>
      <c r="T63" s="3" t="str">
        <f>IF(tbl_sales[[#This Row],[Sales]]&gt;=500,"High Value","Standard")</f>
        <v>Standard</v>
      </c>
      <c r="U63" s="1" t="str">
        <f>IF(tbl_sales[[#This Row],[Order Size]]="High Value","High Value Order","Standard Order")</f>
        <v>Standard Order</v>
      </c>
      <c r="V63" s="1"/>
      <c r="W63" s="17" t="s">
        <v>37</v>
      </c>
      <c r="X63" s="17"/>
      <c r="Y63" s="6"/>
      <c r="Z63" s="1" t="s">
        <v>37</v>
      </c>
    </row>
    <row r="64" spans="1:26">
      <c r="A64" s="3" t="s">
        <v>498</v>
      </c>
      <c r="B64" s="3" t="s">
        <v>115</v>
      </c>
      <c r="C64" s="3" t="s">
        <v>116</v>
      </c>
      <c r="D64" s="3" t="s">
        <v>24</v>
      </c>
      <c r="E64" s="3" t="s">
        <v>25</v>
      </c>
      <c r="F64" s="3" t="s">
        <v>72</v>
      </c>
      <c r="G64" s="2">
        <v>55.07</v>
      </c>
      <c r="H64" s="2">
        <v>9</v>
      </c>
      <c r="I64" s="2">
        <v>24.781500000000001</v>
      </c>
      <c r="J64" s="2">
        <v>520.41150000000005</v>
      </c>
      <c r="K64" s="5">
        <v>43499</v>
      </c>
      <c r="L64" s="4">
        <v>0.56944444444444442</v>
      </c>
      <c r="M64" s="3" t="s">
        <v>33</v>
      </c>
      <c r="N64" s="2">
        <v>495.63</v>
      </c>
      <c r="O64" s="2">
        <v>4.7619047620000003</v>
      </c>
      <c r="P64" s="2">
        <v>24.781500000000001</v>
      </c>
      <c r="Q64" s="2">
        <v>10</v>
      </c>
      <c r="R64" s="3" t="str">
        <f t="shared" si="2"/>
        <v>February</v>
      </c>
      <c r="S64" s="3">
        <f t="shared" si="0"/>
        <v>2</v>
      </c>
      <c r="T64" s="3" t="str">
        <f>IF(tbl_sales[[#This Row],[Sales]]&gt;=500,"High Value","Standard")</f>
        <v>High Value</v>
      </c>
      <c r="U64" s="1" t="str">
        <f>IF(tbl_sales[[#This Row],[Order Size]]="High Value","High Value Order","Standard Order")</f>
        <v>High Value Order</v>
      </c>
      <c r="V64" s="1"/>
      <c r="W64" s="17" t="s">
        <v>37</v>
      </c>
      <c r="X64" s="17"/>
      <c r="Y64" s="6"/>
      <c r="Z64" s="1" t="s">
        <v>37</v>
      </c>
    </row>
    <row r="65" spans="1:26">
      <c r="A65" s="3" t="s">
        <v>504</v>
      </c>
      <c r="B65" s="3" t="s">
        <v>22</v>
      </c>
      <c r="C65" s="3" t="s">
        <v>23</v>
      </c>
      <c r="D65" s="3" t="s">
        <v>24</v>
      </c>
      <c r="E65" s="3" t="s">
        <v>25</v>
      </c>
      <c r="F65" s="3" t="s">
        <v>72</v>
      </c>
      <c r="G65" s="2">
        <v>15.81</v>
      </c>
      <c r="H65" s="2">
        <v>10</v>
      </c>
      <c r="I65" s="2">
        <v>7.9050000000000002</v>
      </c>
      <c r="J65" s="2">
        <v>166.005</v>
      </c>
      <c r="K65" s="5">
        <v>43530</v>
      </c>
      <c r="L65" s="4">
        <v>0.51875000000000004</v>
      </c>
      <c r="M65" s="3" t="s">
        <v>59</v>
      </c>
      <c r="N65" s="2">
        <v>158.1</v>
      </c>
      <c r="O65" s="2">
        <v>4.7619047620000003</v>
      </c>
      <c r="P65" s="2">
        <v>7.9050000000000002</v>
      </c>
      <c r="Q65" s="2">
        <v>8.6</v>
      </c>
      <c r="R65" s="3" t="str">
        <f t="shared" si="2"/>
        <v>March</v>
      </c>
      <c r="S65" s="3">
        <f t="shared" si="0"/>
        <v>3</v>
      </c>
      <c r="T65" s="3" t="str">
        <f>IF(tbl_sales[[#This Row],[Sales]]&gt;=500,"High Value","Standard")</f>
        <v>Standard</v>
      </c>
      <c r="U65" s="1" t="str">
        <f>IF(tbl_sales[[#This Row],[Order Size]]="High Value","High Value Order","Standard Order")</f>
        <v>Standard Order</v>
      </c>
      <c r="V65" s="1"/>
      <c r="W65" s="17" t="s">
        <v>37</v>
      </c>
      <c r="X65" s="17"/>
      <c r="Y65" s="6"/>
      <c r="Z65" s="1" t="s">
        <v>37</v>
      </c>
    </row>
    <row r="66" spans="1:26">
      <c r="A66" s="3" t="s">
        <v>511</v>
      </c>
      <c r="B66" s="3" t="s">
        <v>115</v>
      </c>
      <c r="C66" s="3" t="s">
        <v>116</v>
      </c>
      <c r="D66" s="3" t="s">
        <v>24</v>
      </c>
      <c r="E66" s="3" t="s">
        <v>25</v>
      </c>
      <c r="F66" s="3" t="s">
        <v>26</v>
      </c>
      <c r="G66" s="2">
        <v>75.739999999999995</v>
      </c>
      <c r="H66" s="2">
        <v>4</v>
      </c>
      <c r="I66" s="2">
        <v>15.148</v>
      </c>
      <c r="J66" s="2">
        <v>318.108</v>
      </c>
      <c r="K66" s="5">
        <v>43510</v>
      </c>
      <c r="L66" s="4">
        <v>0.60763888888888884</v>
      </c>
      <c r="M66" s="3" t="s">
        <v>49</v>
      </c>
      <c r="N66" s="2">
        <v>302.95999999999998</v>
      </c>
      <c r="O66" s="2">
        <v>4.7619047620000003</v>
      </c>
      <c r="P66" s="2">
        <v>15.148</v>
      </c>
      <c r="Q66" s="2">
        <v>7.6</v>
      </c>
      <c r="R66" s="3" t="str">
        <f t="shared" si="2"/>
        <v>February</v>
      </c>
      <c r="S66" s="3">
        <f t="shared" ref="S66:S129" si="3">MONTH(K66)</f>
        <v>2</v>
      </c>
      <c r="T66" s="3" t="str">
        <f>IF(tbl_sales[[#This Row],[Sales]]&gt;=500,"High Value","Standard")</f>
        <v>Standard</v>
      </c>
      <c r="U66" s="1" t="str">
        <f>IF(tbl_sales[[#This Row],[Order Size]]="High Value","High Value Order","Standard Order")</f>
        <v>Standard Order</v>
      </c>
      <c r="V66" s="1"/>
      <c r="W66" s="17" t="s">
        <v>37</v>
      </c>
      <c r="X66" s="17"/>
      <c r="Y66" s="6"/>
      <c r="Z66" s="1" t="s">
        <v>37</v>
      </c>
    </row>
    <row r="67" spans="1:26">
      <c r="A67" s="3" t="s">
        <v>518</v>
      </c>
      <c r="B67" s="3" t="s">
        <v>22</v>
      </c>
      <c r="C67" s="3" t="s">
        <v>23</v>
      </c>
      <c r="D67" s="3" t="s">
        <v>24</v>
      </c>
      <c r="E67" s="3" t="s">
        <v>25</v>
      </c>
      <c r="F67" s="3" t="s">
        <v>26</v>
      </c>
      <c r="G67" s="2">
        <v>15.87</v>
      </c>
      <c r="H67" s="2">
        <v>10</v>
      </c>
      <c r="I67" s="2">
        <v>7.9349999999999996</v>
      </c>
      <c r="J67" s="2">
        <v>166.63499999999999</v>
      </c>
      <c r="K67" s="5">
        <v>43537</v>
      </c>
      <c r="L67" s="4">
        <v>0.69444444444444442</v>
      </c>
      <c r="M67" s="3" t="s">
        <v>49</v>
      </c>
      <c r="N67" s="2">
        <v>158.69999999999999</v>
      </c>
      <c r="O67" s="2">
        <v>4.7619047620000003</v>
      </c>
      <c r="P67" s="2">
        <v>7.9349999999999996</v>
      </c>
      <c r="Q67" s="2">
        <v>5.8</v>
      </c>
      <c r="R67" s="3" t="str">
        <f t="shared" ref="R67:R130" si="4">TEXT(K67,"mmmm")</f>
        <v>March</v>
      </c>
      <c r="S67" s="3">
        <f t="shared" si="3"/>
        <v>3</v>
      </c>
      <c r="T67" s="3" t="str">
        <f>IF(tbl_sales[[#This Row],[Sales]]&gt;=500,"High Value","Standard")</f>
        <v>Standard</v>
      </c>
      <c r="U67" s="1" t="str">
        <f>IF(tbl_sales[[#This Row],[Order Size]]="High Value","High Value Order","Standard Order")</f>
        <v>Standard Order</v>
      </c>
      <c r="V67" s="1"/>
      <c r="W67" s="17" t="s">
        <v>37</v>
      </c>
      <c r="X67" s="17"/>
      <c r="Y67" s="6"/>
      <c r="Z67" s="1" t="s">
        <v>37</v>
      </c>
    </row>
    <row r="68" spans="1:26">
      <c r="A68" s="3" t="s">
        <v>525</v>
      </c>
      <c r="B68" s="3" t="s">
        <v>39</v>
      </c>
      <c r="C68" s="3" t="s">
        <v>40</v>
      </c>
      <c r="D68" s="3" t="s">
        <v>24</v>
      </c>
      <c r="E68" s="3" t="s">
        <v>25</v>
      </c>
      <c r="F68" s="3" t="s">
        <v>26</v>
      </c>
      <c r="G68" s="2">
        <v>33.47</v>
      </c>
      <c r="H68" s="2">
        <v>2</v>
      </c>
      <c r="I68" s="2">
        <v>3.347</v>
      </c>
      <c r="J68" s="2">
        <v>70.287000000000006</v>
      </c>
      <c r="K68" s="5">
        <v>43506</v>
      </c>
      <c r="L68" s="4">
        <v>0.65486111111111112</v>
      </c>
      <c r="M68" s="3" t="s">
        <v>33</v>
      </c>
      <c r="N68" s="2">
        <v>66.94</v>
      </c>
      <c r="O68" s="2">
        <v>4.7619047620000003</v>
      </c>
      <c r="P68" s="2">
        <v>3.347</v>
      </c>
      <c r="Q68" s="2">
        <v>6.7</v>
      </c>
      <c r="R68" s="3" t="str">
        <f t="shared" si="4"/>
        <v>February</v>
      </c>
      <c r="S68" s="3">
        <f t="shared" si="3"/>
        <v>2</v>
      </c>
      <c r="T68" s="3" t="str">
        <f>IF(tbl_sales[[#This Row],[Sales]]&gt;=500,"High Value","Standard")</f>
        <v>Standard</v>
      </c>
      <c r="U68" s="1" t="str">
        <f>IF(tbl_sales[[#This Row],[Order Size]]="High Value","High Value Order","Standard Order")</f>
        <v>Standard Order</v>
      </c>
      <c r="V68" s="1"/>
      <c r="W68" s="17" t="s">
        <v>37</v>
      </c>
      <c r="X68" s="17"/>
      <c r="Y68" s="6"/>
      <c r="Z68" s="1" t="s">
        <v>37</v>
      </c>
    </row>
    <row r="69" spans="1:26">
      <c r="A69" s="3" t="s">
        <v>531</v>
      </c>
      <c r="B69" s="3" t="s">
        <v>115</v>
      </c>
      <c r="C69" s="3" t="s">
        <v>116</v>
      </c>
      <c r="D69" s="3" t="s">
        <v>24</v>
      </c>
      <c r="E69" s="3" t="s">
        <v>25</v>
      </c>
      <c r="F69" s="3" t="s">
        <v>127</v>
      </c>
      <c r="G69" s="2">
        <v>97.61</v>
      </c>
      <c r="H69" s="2">
        <v>6</v>
      </c>
      <c r="I69" s="2">
        <v>29.283000000000001</v>
      </c>
      <c r="J69" s="2">
        <v>614.94299999999998</v>
      </c>
      <c r="K69" s="5">
        <v>43472</v>
      </c>
      <c r="L69" s="4">
        <v>0.62569444444444444</v>
      </c>
      <c r="M69" s="3" t="s">
        <v>33</v>
      </c>
      <c r="N69" s="2">
        <v>585.66</v>
      </c>
      <c r="O69" s="2">
        <v>4.7619047620000003</v>
      </c>
      <c r="P69" s="2">
        <v>29.283000000000001</v>
      </c>
      <c r="Q69" s="2">
        <v>9.9</v>
      </c>
      <c r="R69" s="3" t="str">
        <f t="shared" si="4"/>
        <v>January</v>
      </c>
      <c r="S69" s="3">
        <f t="shared" si="3"/>
        <v>1</v>
      </c>
      <c r="T69" s="3" t="str">
        <f>IF(tbl_sales[[#This Row],[Sales]]&gt;=500,"High Value","Standard")</f>
        <v>High Value</v>
      </c>
      <c r="U69" s="1" t="str">
        <f>IF(tbl_sales[[#This Row],[Order Size]]="High Value","High Value Order","Standard Order")</f>
        <v>High Value Order</v>
      </c>
      <c r="V69" s="1"/>
      <c r="W69" s="17" t="s">
        <v>37</v>
      </c>
      <c r="X69" s="17"/>
      <c r="Y69" s="6"/>
      <c r="Z69" s="1" t="s">
        <v>37</v>
      </c>
    </row>
    <row r="70" spans="1:26">
      <c r="A70" s="3" t="s">
        <v>537</v>
      </c>
      <c r="B70" s="3" t="s">
        <v>22</v>
      </c>
      <c r="C70" s="3" t="s">
        <v>23</v>
      </c>
      <c r="D70" s="3" t="s">
        <v>24</v>
      </c>
      <c r="E70" s="3" t="s">
        <v>25</v>
      </c>
      <c r="F70" s="3" t="s">
        <v>72</v>
      </c>
      <c r="G70" s="2">
        <v>78.77</v>
      </c>
      <c r="H70" s="2">
        <v>10</v>
      </c>
      <c r="I70" s="2">
        <v>39.384999999999998</v>
      </c>
      <c r="J70" s="2">
        <v>827.08500000000004</v>
      </c>
      <c r="K70" s="5">
        <v>43489</v>
      </c>
      <c r="L70" s="4">
        <v>0.41944444444444445</v>
      </c>
      <c r="M70" s="3" t="s">
        <v>49</v>
      </c>
      <c r="N70" s="2">
        <v>787.7</v>
      </c>
      <c r="O70" s="2">
        <v>4.7619047620000003</v>
      </c>
      <c r="P70" s="2">
        <v>39.384999999999998</v>
      </c>
      <c r="Q70" s="2">
        <v>6.4</v>
      </c>
      <c r="R70" s="3" t="str">
        <f t="shared" si="4"/>
        <v>January</v>
      </c>
      <c r="S70" s="3">
        <f t="shared" si="3"/>
        <v>1</v>
      </c>
      <c r="T70" s="3" t="str">
        <f>IF(tbl_sales[[#This Row],[Sales]]&gt;=500,"High Value","Standard")</f>
        <v>High Value</v>
      </c>
      <c r="U70" s="1" t="str">
        <f>IF(tbl_sales[[#This Row],[Order Size]]="High Value","High Value Order","Standard Order")</f>
        <v>High Value Order</v>
      </c>
      <c r="V70" s="1"/>
      <c r="W70" s="17" t="s">
        <v>37</v>
      </c>
      <c r="X70" s="17"/>
      <c r="Y70" s="6"/>
      <c r="Z70" s="1" t="s">
        <v>37</v>
      </c>
    </row>
    <row r="71" spans="1:26">
      <c r="A71" s="3" t="s">
        <v>545</v>
      </c>
      <c r="B71" s="3" t="s">
        <v>22</v>
      </c>
      <c r="C71" s="3" t="s">
        <v>23</v>
      </c>
      <c r="D71" s="3" t="s">
        <v>24</v>
      </c>
      <c r="E71" s="3" t="s">
        <v>25</v>
      </c>
      <c r="F71" s="3" t="s">
        <v>26</v>
      </c>
      <c r="G71" s="2">
        <v>18.329999999999998</v>
      </c>
      <c r="H71" s="2">
        <v>1</v>
      </c>
      <c r="I71" s="2">
        <v>0.91649999999999998</v>
      </c>
      <c r="J71" s="2">
        <v>19.246500000000001</v>
      </c>
      <c r="K71" s="5">
        <v>43498</v>
      </c>
      <c r="L71" s="4">
        <v>0.78472222222222221</v>
      </c>
      <c r="M71" s="3" t="s">
        <v>49</v>
      </c>
      <c r="N71" s="2">
        <v>18.329999999999998</v>
      </c>
      <c r="O71" s="2">
        <v>4.7619047620000003</v>
      </c>
      <c r="P71" s="2">
        <v>0.91649999999999998</v>
      </c>
      <c r="Q71" s="2">
        <v>4.3</v>
      </c>
      <c r="R71" s="3" t="str">
        <f t="shared" si="4"/>
        <v>February</v>
      </c>
      <c r="S71" s="3">
        <f t="shared" si="3"/>
        <v>2</v>
      </c>
      <c r="T71" s="3" t="str">
        <f>IF(tbl_sales[[#This Row],[Sales]]&gt;=500,"High Value","Standard")</f>
        <v>Standard</v>
      </c>
      <c r="U71" s="1" t="str">
        <f>IF(tbl_sales[[#This Row],[Order Size]]="High Value","High Value Order","Standard Order")</f>
        <v>Standard Order</v>
      </c>
      <c r="V71" s="1"/>
      <c r="W71" s="17" t="s">
        <v>37</v>
      </c>
      <c r="X71" s="17"/>
      <c r="Y71" s="6"/>
      <c r="Z71" s="1" t="s">
        <v>37</v>
      </c>
    </row>
    <row r="72" spans="1:26">
      <c r="A72" s="3" t="s">
        <v>551</v>
      </c>
      <c r="B72" s="3" t="s">
        <v>39</v>
      </c>
      <c r="C72" s="3" t="s">
        <v>40</v>
      </c>
      <c r="D72" s="3" t="s">
        <v>24</v>
      </c>
      <c r="E72" s="3" t="s">
        <v>25</v>
      </c>
      <c r="F72" s="3" t="s">
        <v>117</v>
      </c>
      <c r="G72" s="2">
        <v>89.48</v>
      </c>
      <c r="H72" s="2">
        <v>10</v>
      </c>
      <c r="I72" s="2">
        <v>44.74</v>
      </c>
      <c r="J72" s="2">
        <v>939.54</v>
      </c>
      <c r="K72" s="5">
        <v>43471</v>
      </c>
      <c r="L72" s="4">
        <v>0.53194444444444444</v>
      </c>
      <c r="M72" s="3" t="s">
        <v>59</v>
      </c>
      <c r="N72" s="2">
        <v>894.8</v>
      </c>
      <c r="O72" s="2">
        <v>4.7619047620000003</v>
      </c>
      <c r="P72" s="2">
        <v>44.74</v>
      </c>
      <c r="Q72" s="2">
        <v>9.6</v>
      </c>
      <c r="R72" s="3" t="str">
        <f t="shared" si="4"/>
        <v>January</v>
      </c>
      <c r="S72" s="3">
        <f t="shared" si="3"/>
        <v>1</v>
      </c>
      <c r="T72" s="3" t="str">
        <f>IF(tbl_sales[[#This Row],[Sales]]&gt;=500,"High Value","Standard")</f>
        <v>High Value</v>
      </c>
      <c r="U72" s="1" t="str">
        <f>IF(tbl_sales[[#This Row],[Order Size]]="High Value","High Value Order","Standard Order")</f>
        <v>High Value Order</v>
      </c>
      <c r="V72" s="1"/>
      <c r="W72" s="17" t="s">
        <v>37</v>
      </c>
      <c r="X72" s="17"/>
      <c r="Y72" s="6"/>
      <c r="Z72" s="1" t="s">
        <v>37</v>
      </c>
    </row>
    <row r="73" spans="1:26">
      <c r="A73" s="3" t="s">
        <v>558</v>
      </c>
      <c r="B73" s="3" t="s">
        <v>39</v>
      </c>
      <c r="C73" s="3" t="s">
        <v>40</v>
      </c>
      <c r="D73" s="3" t="s">
        <v>24</v>
      </c>
      <c r="E73" s="3" t="s">
        <v>25</v>
      </c>
      <c r="F73" s="3" t="s">
        <v>127</v>
      </c>
      <c r="G73" s="2">
        <v>62.12</v>
      </c>
      <c r="H73" s="2">
        <v>10</v>
      </c>
      <c r="I73" s="2">
        <v>31.06</v>
      </c>
      <c r="J73" s="2">
        <v>652.26</v>
      </c>
      <c r="K73" s="5">
        <v>43507</v>
      </c>
      <c r="L73" s="4">
        <v>0.67986111111111114</v>
      </c>
      <c r="M73" s="3" t="s">
        <v>49</v>
      </c>
      <c r="N73" s="2">
        <v>621.20000000000005</v>
      </c>
      <c r="O73" s="2">
        <v>4.7619047620000003</v>
      </c>
      <c r="P73" s="2">
        <v>31.06</v>
      </c>
      <c r="Q73" s="2">
        <v>5.9</v>
      </c>
      <c r="R73" s="3" t="str">
        <f t="shared" si="4"/>
        <v>February</v>
      </c>
      <c r="S73" s="3">
        <f t="shared" si="3"/>
        <v>2</v>
      </c>
      <c r="T73" s="3" t="str">
        <f>IF(tbl_sales[[#This Row],[Sales]]&gt;=500,"High Value","Standard")</f>
        <v>High Value</v>
      </c>
      <c r="U73" s="1" t="str">
        <f>IF(tbl_sales[[#This Row],[Order Size]]="High Value","High Value Order","Standard Order")</f>
        <v>High Value Order</v>
      </c>
      <c r="V73" s="1"/>
      <c r="W73" s="17" t="s">
        <v>37</v>
      </c>
      <c r="X73" s="17"/>
      <c r="Y73" s="6"/>
      <c r="Z73" s="1" t="s">
        <v>37</v>
      </c>
    </row>
    <row r="74" spans="1:26">
      <c r="A74" s="3" t="s">
        <v>564</v>
      </c>
      <c r="B74" s="3" t="s">
        <v>115</v>
      </c>
      <c r="C74" s="3" t="s">
        <v>116</v>
      </c>
      <c r="D74" s="3" t="s">
        <v>24</v>
      </c>
      <c r="E74" s="3" t="s">
        <v>25</v>
      </c>
      <c r="F74" s="3" t="s">
        <v>117</v>
      </c>
      <c r="G74" s="2">
        <v>48.52</v>
      </c>
      <c r="H74" s="2">
        <v>3</v>
      </c>
      <c r="I74" s="2">
        <v>7.2779999999999996</v>
      </c>
      <c r="J74" s="2">
        <v>152.83799999999999</v>
      </c>
      <c r="K74" s="5">
        <v>43529</v>
      </c>
      <c r="L74" s="4">
        <v>0.76180555555555551</v>
      </c>
      <c r="M74" s="3" t="s">
        <v>33</v>
      </c>
      <c r="N74" s="2">
        <v>145.56</v>
      </c>
      <c r="O74" s="2">
        <v>4.7619047620000003</v>
      </c>
      <c r="P74" s="2">
        <v>7.2779999999999996</v>
      </c>
      <c r="Q74" s="2">
        <v>4</v>
      </c>
      <c r="R74" s="3" t="str">
        <f t="shared" si="4"/>
        <v>March</v>
      </c>
      <c r="S74" s="3">
        <f t="shared" si="3"/>
        <v>3</v>
      </c>
      <c r="T74" s="3" t="str">
        <f>IF(tbl_sales[[#This Row],[Sales]]&gt;=500,"High Value","Standard")</f>
        <v>Standard</v>
      </c>
      <c r="U74" s="1" t="str">
        <f>IF(tbl_sales[[#This Row],[Order Size]]="High Value","High Value Order","Standard Order")</f>
        <v>Standard Order</v>
      </c>
      <c r="V74" s="1"/>
      <c r="W74" s="17" t="s">
        <v>37</v>
      </c>
      <c r="X74" s="17"/>
      <c r="Y74" s="6"/>
      <c r="Z74" s="1" t="s">
        <v>37</v>
      </c>
    </row>
    <row r="75" spans="1:26">
      <c r="A75" s="3" t="s">
        <v>570</v>
      </c>
      <c r="B75" s="3" t="s">
        <v>39</v>
      </c>
      <c r="C75" s="3" t="s">
        <v>40</v>
      </c>
      <c r="D75" s="3" t="s">
        <v>24</v>
      </c>
      <c r="E75" s="3" t="s">
        <v>25</v>
      </c>
      <c r="F75" s="3" t="s">
        <v>42</v>
      </c>
      <c r="G75" s="2">
        <v>75.91</v>
      </c>
      <c r="H75" s="2">
        <v>6</v>
      </c>
      <c r="I75" s="2">
        <v>22.773</v>
      </c>
      <c r="J75" s="2">
        <v>478.233</v>
      </c>
      <c r="K75" s="5">
        <v>43533</v>
      </c>
      <c r="L75" s="4">
        <v>0.76458333333333328</v>
      </c>
      <c r="M75" s="3" t="s">
        <v>49</v>
      </c>
      <c r="N75" s="2">
        <v>455.46</v>
      </c>
      <c r="O75" s="2">
        <v>4.7619047620000003</v>
      </c>
      <c r="P75" s="2">
        <v>22.773</v>
      </c>
      <c r="Q75" s="2">
        <v>8.6999999999999993</v>
      </c>
      <c r="R75" s="3" t="str">
        <f t="shared" si="4"/>
        <v>March</v>
      </c>
      <c r="S75" s="3">
        <f t="shared" si="3"/>
        <v>3</v>
      </c>
      <c r="T75" s="3" t="str">
        <f>IF(tbl_sales[[#This Row],[Sales]]&gt;=500,"High Value","Standard")</f>
        <v>Standard</v>
      </c>
      <c r="U75" s="1" t="str">
        <f>IF(tbl_sales[[#This Row],[Order Size]]="High Value","High Value Order","Standard Order")</f>
        <v>Standard Order</v>
      </c>
      <c r="V75" s="1"/>
      <c r="W75" s="17" t="s">
        <v>37</v>
      </c>
      <c r="X75" s="17"/>
      <c r="Y75" s="6"/>
      <c r="Z75" s="1" t="s">
        <v>37</v>
      </c>
    </row>
    <row r="76" spans="1:26">
      <c r="A76" s="3" t="s">
        <v>577</v>
      </c>
      <c r="B76" s="3" t="s">
        <v>22</v>
      </c>
      <c r="C76" s="3" t="s">
        <v>23</v>
      </c>
      <c r="D76" s="3" t="s">
        <v>24</v>
      </c>
      <c r="E76" s="3" t="s">
        <v>25</v>
      </c>
      <c r="F76" s="3" t="s">
        <v>53</v>
      </c>
      <c r="G76" s="2">
        <v>74.67</v>
      </c>
      <c r="H76" s="2">
        <v>9</v>
      </c>
      <c r="I76" s="2">
        <v>33.601500000000001</v>
      </c>
      <c r="J76" s="2">
        <v>705.63149999999996</v>
      </c>
      <c r="K76" s="5">
        <v>43487</v>
      </c>
      <c r="L76" s="4">
        <v>0.4548611111111111</v>
      </c>
      <c r="M76" s="3" t="s">
        <v>33</v>
      </c>
      <c r="N76" s="2">
        <v>672.03</v>
      </c>
      <c r="O76" s="2">
        <v>4.7619047620000003</v>
      </c>
      <c r="P76" s="2">
        <v>33.601500000000001</v>
      </c>
      <c r="Q76" s="2">
        <v>9.4</v>
      </c>
      <c r="R76" s="3" t="str">
        <f t="shared" si="4"/>
        <v>January</v>
      </c>
      <c r="S76" s="3">
        <f t="shared" si="3"/>
        <v>1</v>
      </c>
      <c r="T76" s="3" t="str">
        <f>IF(tbl_sales[[#This Row],[Sales]]&gt;=500,"High Value","Standard")</f>
        <v>High Value</v>
      </c>
      <c r="U76" s="1" t="str">
        <f>IF(tbl_sales[[#This Row],[Order Size]]="High Value","High Value Order","Standard Order")</f>
        <v>High Value Order</v>
      </c>
      <c r="V76" s="1"/>
      <c r="W76" s="17" t="s">
        <v>37</v>
      </c>
      <c r="X76" s="17"/>
      <c r="Y76" s="6"/>
      <c r="Z76" s="1" t="s">
        <v>37</v>
      </c>
    </row>
    <row r="77" spans="1:26">
      <c r="A77" s="3" t="s">
        <v>584</v>
      </c>
      <c r="B77" s="3" t="s">
        <v>39</v>
      </c>
      <c r="C77" s="3" t="s">
        <v>40</v>
      </c>
      <c r="D77" s="3" t="s">
        <v>24</v>
      </c>
      <c r="E77" s="3" t="s">
        <v>25</v>
      </c>
      <c r="F77" s="3" t="s">
        <v>42</v>
      </c>
      <c r="G77" s="2">
        <v>41.65</v>
      </c>
      <c r="H77" s="2">
        <v>10</v>
      </c>
      <c r="I77" s="2">
        <v>20.824999999999999</v>
      </c>
      <c r="J77" s="2">
        <v>437.32499999999999</v>
      </c>
      <c r="K77" s="5">
        <v>43478</v>
      </c>
      <c r="L77" s="4">
        <v>0.71111111111111114</v>
      </c>
      <c r="M77" s="3" t="s">
        <v>59</v>
      </c>
      <c r="N77" s="2">
        <v>416.5</v>
      </c>
      <c r="O77" s="2">
        <v>4.7619047620000003</v>
      </c>
      <c r="P77" s="2">
        <v>20.824999999999999</v>
      </c>
      <c r="Q77" s="2">
        <v>5.4</v>
      </c>
      <c r="R77" s="3" t="str">
        <f t="shared" si="4"/>
        <v>January</v>
      </c>
      <c r="S77" s="3">
        <f t="shared" si="3"/>
        <v>1</v>
      </c>
      <c r="T77" s="3" t="str">
        <f>IF(tbl_sales[[#This Row],[Sales]]&gt;=500,"High Value","Standard")</f>
        <v>Standard</v>
      </c>
      <c r="U77" s="1" t="str">
        <f>IF(tbl_sales[[#This Row],[Order Size]]="High Value","High Value Order","Standard Order")</f>
        <v>Standard Order</v>
      </c>
      <c r="V77" s="1"/>
      <c r="W77" s="17" t="s">
        <v>37</v>
      </c>
      <c r="X77" s="17"/>
      <c r="Y77" s="6"/>
      <c r="Z77" s="1" t="s">
        <v>37</v>
      </c>
    </row>
    <row r="78" spans="1:26">
      <c r="A78" s="3" t="s">
        <v>591</v>
      </c>
      <c r="B78" s="3" t="s">
        <v>39</v>
      </c>
      <c r="C78" s="3" t="s">
        <v>40</v>
      </c>
      <c r="D78" s="3" t="s">
        <v>24</v>
      </c>
      <c r="E78" s="3" t="s">
        <v>25</v>
      </c>
      <c r="F78" s="3" t="s">
        <v>127</v>
      </c>
      <c r="G78" s="2">
        <v>49.04</v>
      </c>
      <c r="H78" s="2">
        <v>9</v>
      </c>
      <c r="I78" s="2">
        <v>22.068000000000001</v>
      </c>
      <c r="J78" s="2">
        <v>463.428</v>
      </c>
      <c r="K78" s="5">
        <v>43474</v>
      </c>
      <c r="L78" s="4">
        <v>0.59722222222222221</v>
      </c>
      <c r="M78" s="3" t="s">
        <v>59</v>
      </c>
      <c r="N78" s="2">
        <v>441.36</v>
      </c>
      <c r="O78" s="2">
        <v>4.7619047620000003</v>
      </c>
      <c r="P78" s="2">
        <v>22.068000000000001</v>
      </c>
      <c r="Q78" s="2">
        <v>8.6</v>
      </c>
      <c r="R78" s="3" t="str">
        <f t="shared" si="4"/>
        <v>January</v>
      </c>
      <c r="S78" s="3">
        <f t="shared" si="3"/>
        <v>1</v>
      </c>
      <c r="T78" s="3" t="str">
        <f>IF(tbl_sales[[#This Row],[Sales]]&gt;=500,"High Value","Standard")</f>
        <v>Standard</v>
      </c>
      <c r="U78" s="1" t="str">
        <f>IF(tbl_sales[[#This Row],[Order Size]]="High Value","High Value Order","Standard Order")</f>
        <v>Standard Order</v>
      </c>
      <c r="V78" s="1"/>
      <c r="W78" s="17" t="s">
        <v>37</v>
      </c>
      <c r="X78" s="17"/>
      <c r="Y78" s="6"/>
      <c r="Z78" s="1" t="s">
        <v>37</v>
      </c>
    </row>
    <row r="79" spans="1:26">
      <c r="A79" s="3" t="s">
        <v>598</v>
      </c>
      <c r="B79" s="3" t="s">
        <v>22</v>
      </c>
      <c r="C79" s="3" t="s">
        <v>23</v>
      </c>
      <c r="D79" s="3" t="s">
        <v>24</v>
      </c>
      <c r="E79" s="3" t="s">
        <v>25</v>
      </c>
      <c r="F79" s="3" t="s">
        <v>127</v>
      </c>
      <c r="G79" s="2">
        <v>20.010000000000002</v>
      </c>
      <c r="H79" s="2">
        <v>9</v>
      </c>
      <c r="I79" s="2">
        <v>9.0045000000000002</v>
      </c>
      <c r="J79" s="2">
        <v>189.09450000000001</v>
      </c>
      <c r="K79" s="5">
        <v>43477</v>
      </c>
      <c r="L79" s="4">
        <v>0.65833333333333333</v>
      </c>
      <c r="M79" s="3" t="s">
        <v>59</v>
      </c>
      <c r="N79" s="2">
        <v>180.09</v>
      </c>
      <c r="O79" s="2">
        <v>4.7619047620000003</v>
      </c>
      <c r="P79" s="2">
        <v>9.0045000000000002</v>
      </c>
      <c r="Q79" s="2">
        <v>5.7</v>
      </c>
      <c r="R79" s="3" t="str">
        <f t="shared" si="4"/>
        <v>January</v>
      </c>
      <c r="S79" s="3">
        <f t="shared" si="3"/>
        <v>1</v>
      </c>
      <c r="T79" s="3" t="str">
        <f>IF(tbl_sales[[#This Row],[Sales]]&gt;=500,"High Value","Standard")</f>
        <v>Standard</v>
      </c>
      <c r="U79" s="1" t="str">
        <f>IF(tbl_sales[[#This Row],[Order Size]]="High Value","High Value Order","Standard Order")</f>
        <v>Standard Order</v>
      </c>
      <c r="V79" s="1"/>
      <c r="W79" s="17" t="s">
        <v>37</v>
      </c>
      <c r="X79" s="17"/>
      <c r="Y79" s="6"/>
      <c r="Z79" s="1" t="s">
        <v>37</v>
      </c>
    </row>
    <row r="80" spans="1:26">
      <c r="A80" s="3" t="s">
        <v>601</v>
      </c>
      <c r="B80" s="3" t="s">
        <v>39</v>
      </c>
      <c r="C80" s="3" t="s">
        <v>40</v>
      </c>
      <c r="D80" s="3" t="s">
        <v>24</v>
      </c>
      <c r="E80" s="3" t="s">
        <v>25</v>
      </c>
      <c r="F80" s="3" t="s">
        <v>117</v>
      </c>
      <c r="G80" s="2">
        <v>78.31</v>
      </c>
      <c r="H80" s="2">
        <v>10</v>
      </c>
      <c r="I80" s="2">
        <v>39.155000000000001</v>
      </c>
      <c r="J80" s="2">
        <v>822.255</v>
      </c>
      <c r="K80" s="5">
        <v>43529</v>
      </c>
      <c r="L80" s="4">
        <v>0.68333333333333335</v>
      </c>
      <c r="M80" s="3" t="s">
        <v>33</v>
      </c>
      <c r="N80" s="2">
        <v>783.1</v>
      </c>
      <c r="O80" s="2">
        <v>4.7619047620000003</v>
      </c>
      <c r="P80" s="2">
        <v>39.155000000000001</v>
      </c>
      <c r="Q80" s="2">
        <v>6.6</v>
      </c>
      <c r="R80" s="3" t="str">
        <f t="shared" si="4"/>
        <v>March</v>
      </c>
      <c r="S80" s="3">
        <f t="shared" si="3"/>
        <v>3</v>
      </c>
      <c r="T80" s="3" t="str">
        <f>IF(tbl_sales[[#This Row],[Sales]]&gt;=500,"High Value","Standard")</f>
        <v>High Value</v>
      </c>
      <c r="U80" s="1" t="str">
        <f>IF(tbl_sales[[#This Row],[Order Size]]="High Value","High Value Order","Standard Order")</f>
        <v>High Value Order</v>
      </c>
      <c r="V80" s="1"/>
      <c r="W80" s="17" t="s">
        <v>37</v>
      </c>
      <c r="X80" s="17"/>
      <c r="Y80" s="6"/>
      <c r="Z80" s="1" t="s">
        <v>37</v>
      </c>
    </row>
    <row r="81" spans="1:26">
      <c r="A81" s="3" t="s">
        <v>607</v>
      </c>
      <c r="B81" s="3" t="s">
        <v>39</v>
      </c>
      <c r="C81" s="3" t="s">
        <v>40</v>
      </c>
      <c r="D81" s="3" t="s">
        <v>24</v>
      </c>
      <c r="E81" s="3" t="s">
        <v>25</v>
      </c>
      <c r="F81" s="3" t="s">
        <v>26</v>
      </c>
      <c r="G81" s="2">
        <v>20.38</v>
      </c>
      <c r="H81" s="2">
        <v>5</v>
      </c>
      <c r="I81" s="2">
        <v>5.0949999999999998</v>
      </c>
      <c r="J81" s="2">
        <v>106.995</v>
      </c>
      <c r="K81" s="5">
        <v>43487</v>
      </c>
      <c r="L81" s="4">
        <v>0.78888888888888886</v>
      </c>
      <c r="M81" s="3" t="s">
        <v>49</v>
      </c>
      <c r="N81" s="2">
        <v>101.9</v>
      </c>
      <c r="O81" s="2">
        <v>4.7619047620000003</v>
      </c>
      <c r="P81" s="2">
        <v>5.0949999999999998</v>
      </c>
      <c r="Q81" s="2">
        <v>6</v>
      </c>
      <c r="R81" s="3" t="str">
        <f t="shared" si="4"/>
        <v>January</v>
      </c>
      <c r="S81" s="3">
        <f t="shared" si="3"/>
        <v>1</v>
      </c>
      <c r="T81" s="3" t="str">
        <f>IF(tbl_sales[[#This Row],[Sales]]&gt;=500,"High Value","Standard")</f>
        <v>Standard</v>
      </c>
      <c r="U81" s="1" t="str">
        <f>IF(tbl_sales[[#This Row],[Order Size]]="High Value","High Value Order","Standard Order")</f>
        <v>Standard Order</v>
      </c>
      <c r="V81" s="1"/>
      <c r="W81" s="17" t="s">
        <v>37</v>
      </c>
      <c r="X81" s="17"/>
      <c r="Y81" s="6"/>
      <c r="Z81" s="1" t="s">
        <v>37</v>
      </c>
    </row>
    <row r="82" spans="1:26">
      <c r="A82" s="3" t="s">
        <v>613</v>
      </c>
      <c r="B82" s="3" t="s">
        <v>39</v>
      </c>
      <c r="C82" s="3" t="s">
        <v>40</v>
      </c>
      <c r="D82" s="3" t="s">
        <v>24</v>
      </c>
      <c r="E82" s="3" t="s">
        <v>25</v>
      </c>
      <c r="F82" s="3" t="s">
        <v>26</v>
      </c>
      <c r="G82" s="2">
        <v>99.19</v>
      </c>
      <c r="H82" s="2">
        <v>6</v>
      </c>
      <c r="I82" s="2">
        <v>29.757000000000001</v>
      </c>
      <c r="J82" s="2">
        <v>624.89700000000005</v>
      </c>
      <c r="K82" s="5">
        <v>43486</v>
      </c>
      <c r="L82" s="4">
        <v>0.61250000000000004</v>
      </c>
      <c r="M82" s="3" t="s">
        <v>59</v>
      </c>
      <c r="N82" s="2">
        <v>595.14</v>
      </c>
      <c r="O82" s="2">
        <v>4.7619047620000003</v>
      </c>
      <c r="P82" s="2">
        <v>29.757000000000001</v>
      </c>
      <c r="Q82" s="2">
        <v>5.5</v>
      </c>
      <c r="R82" s="3" t="str">
        <f t="shared" si="4"/>
        <v>January</v>
      </c>
      <c r="S82" s="3">
        <f t="shared" si="3"/>
        <v>1</v>
      </c>
      <c r="T82" s="3" t="str">
        <f>IF(tbl_sales[[#This Row],[Sales]]&gt;=500,"High Value","Standard")</f>
        <v>High Value</v>
      </c>
      <c r="U82" s="1" t="str">
        <f>IF(tbl_sales[[#This Row],[Order Size]]="High Value","High Value Order","Standard Order")</f>
        <v>High Value Order</v>
      </c>
      <c r="V82" s="1"/>
      <c r="W82" s="17" t="s">
        <v>37</v>
      </c>
      <c r="X82" s="17"/>
      <c r="Y82" s="6"/>
      <c r="Z82" s="1" t="s">
        <v>37</v>
      </c>
    </row>
    <row r="83" spans="1:26">
      <c r="A83" s="3" t="s">
        <v>619</v>
      </c>
      <c r="B83" s="3" t="s">
        <v>115</v>
      </c>
      <c r="C83" s="3" t="s">
        <v>116</v>
      </c>
      <c r="D83" s="3" t="s">
        <v>24</v>
      </c>
      <c r="E83" s="3" t="s">
        <v>25</v>
      </c>
      <c r="F83" s="3" t="s">
        <v>117</v>
      </c>
      <c r="G83" s="2">
        <v>96.68</v>
      </c>
      <c r="H83" s="2">
        <v>3</v>
      </c>
      <c r="I83" s="2">
        <v>14.502000000000001</v>
      </c>
      <c r="J83" s="2">
        <v>304.54199999999997</v>
      </c>
      <c r="K83" s="5">
        <v>43491</v>
      </c>
      <c r="L83" s="4">
        <v>0.8305555555555556</v>
      </c>
      <c r="M83" s="3" t="s">
        <v>33</v>
      </c>
      <c r="N83" s="2">
        <v>290.04000000000002</v>
      </c>
      <c r="O83" s="2">
        <v>4.7619047620000003</v>
      </c>
      <c r="P83" s="2">
        <v>14.502000000000001</v>
      </c>
      <c r="Q83" s="2">
        <v>6.4</v>
      </c>
      <c r="R83" s="3" t="str">
        <f t="shared" si="4"/>
        <v>January</v>
      </c>
      <c r="S83" s="3">
        <f t="shared" si="3"/>
        <v>1</v>
      </c>
      <c r="T83" s="3" t="str">
        <f>IF(tbl_sales[[#This Row],[Sales]]&gt;=500,"High Value","Standard")</f>
        <v>Standard</v>
      </c>
      <c r="U83" s="1" t="str">
        <f>IF(tbl_sales[[#This Row],[Order Size]]="High Value","High Value Order","Standard Order")</f>
        <v>Standard Order</v>
      </c>
      <c r="V83" s="1"/>
      <c r="W83" s="17" t="s">
        <v>37</v>
      </c>
      <c r="X83" s="17"/>
      <c r="Y83" s="6"/>
      <c r="Z83" s="1" t="s">
        <v>37</v>
      </c>
    </row>
    <row r="84" spans="1:26">
      <c r="A84" s="3" t="s">
        <v>626</v>
      </c>
      <c r="B84" s="3" t="s">
        <v>39</v>
      </c>
      <c r="C84" s="3" t="s">
        <v>40</v>
      </c>
      <c r="D84" s="3" t="s">
        <v>24</v>
      </c>
      <c r="E84" s="3" t="s">
        <v>25</v>
      </c>
      <c r="F84" s="3" t="s">
        <v>117</v>
      </c>
      <c r="G84" s="2">
        <v>19.25</v>
      </c>
      <c r="H84" s="2">
        <v>8</v>
      </c>
      <c r="I84" s="2">
        <v>7.7</v>
      </c>
      <c r="J84" s="2">
        <v>161.69999999999999</v>
      </c>
      <c r="K84" s="5">
        <v>43488</v>
      </c>
      <c r="L84" s="4">
        <v>0.77569444444444446</v>
      </c>
      <c r="M84" s="3" t="s">
        <v>33</v>
      </c>
      <c r="N84" s="2">
        <v>154</v>
      </c>
      <c r="O84" s="2">
        <v>4.7619047620000003</v>
      </c>
      <c r="P84" s="2">
        <v>7.7</v>
      </c>
      <c r="Q84" s="2">
        <v>6.6</v>
      </c>
      <c r="R84" s="3" t="str">
        <f t="shared" si="4"/>
        <v>January</v>
      </c>
      <c r="S84" s="3">
        <f t="shared" si="3"/>
        <v>1</v>
      </c>
      <c r="T84" s="3" t="str">
        <f>IF(tbl_sales[[#This Row],[Sales]]&gt;=500,"High Value","Standard")</f>
        <v>Standard</v>
      </c>
      <c r="U84" s="1" t="str">
        <f>IF(tbl_sales[[#This Row],[Order Size]]="High Value","High Value Order","Standard Order")</f>
        <v>Standard Order</v>
      </c>
      <c r="V84" s="1"/>
      <c r="W84" s="17" t="s">
        <v>37</v>
      </c>
      <c r="X84" s="17"/>
      <c r="Y84" s="6"/>
      <c r="Z84" s="1" t="s">
        <v>37</v>
      </c>
    </row>
    <row r="85" spans="1:26">
      <c r="A85" s="3" t="s">
        <v>632</v>
      </c>
      <c r="B85" s="3" t="s">
        <v>39</v>
      </c>
      <c r="C85" s="3" t="s">
        <v>40</v>
      </c>
      <c r="D85" s="3" t="s">
        <v>24</v>
      </c>
      <c r="E85" s="3" t="s">
        <v>25</v>
      </c>
      <c r="F85" s="3" t="s">
        <v>117</v>
      </c>
      <c r="G85" s="2">
        <v>80.36</v>
      </c>
      <c r="H85" s="2">
        <v>4</v>
      </c>
      <c r="I85" s="2">
        <v>16.071999999999999</v>
      </c>
      <c r="J85" s="2">
        <v>337.512</v>
      </c>
      <c r="K85" s="5">
        <v>43519</v>
      </c>
      <c r="L85" s="4">
        <v>0.78125</v>
      </c>
      <c r="M85" s="3" t="s">
        <v>59</v>
      </c>
      <c r="N85" s="2">
        <v>321.44</v>
      </c>
      <c r="O85" s="2">
        <v>4.7619047620000003</v>
      </c>
      <c r="P85" s="2">
        <v>16.071999999999999</v>
      </c>
      <c r="Q85" s="2">
        <v>8.3000000000000007</v>
      </c>
      <c r="R85" s="3" t="str">
        <f t="shared" si="4"/>
        <v>February</v>
      </c>
      <c r="S85" s="3">
        <f t="shared" si="3"/>
        <v>2</v>
      </c>
      <c r="T85" s="3" t="str">
        <f>IF(tbl_sales[[#This Row],[Sales]]&gt;=500,"High Value","Standard")</f>
        <v>Standard</v>
      </c>
      <c r="U85" s="1" t="str">
        <f>IF(tbl_sales[[#This Row],[Order Size]]="High Value","High Value Order","Standard Order")</f>
        <v>Standard Order</v>
      </c>
      <c r="V85" s="1"/>
      <c r="W85" s="17" t="s">
        <v>37</v>
      </c>
      <c r="X85" s="17"/>
      <c r="Y85" s="6"/>
      <c r="Z85" s="1" t="s">
        <v>37</v>
      </c>
    </row>
    <row r="86" spans="1:26">
      <c r="A86" s="3" t="s">
        <v>639</v>
      </c>
      <c r="B86" s="3" t="s">
        <v>39</v>
      </c>
      <c r="C86" s="3" t="s">
        <v>40</v>
      </c>
      <c r="D86" s="3" t="s">
        <v>24</v>
      </c>
      <c r="E86" s="3" t="s">
        <v>25</v>
      </c>
      <c r="F86" s="3" t="s">
        <v>72</v>
      </c>
      <c r="G86" s="2">
        <v>48.91</v>
      </c>
      <c r="H86" s="2">
        <v>5</v>
      </c>
      <c r="I86" s="2">
        <v>12.227499999999999</v>
      </c>
      <c r="J86" s="2">
        <v>256.77749999999997</v>
      </c>
      <c r="K86" s="5">
        <v>43533</v>
      </c>
      <c r="L86" s="4">
        <v>0.4284722222222222</v>
      </c>
      <c r="M86" s="3" t="s">
        <v>49</v>
      </c>
      <c r="N86" s="2">
        <v>244.55</v>
      </c>
      <c r="O86" s="2">
        <v>4.7619047620000003</v>
      </c>
      <c r="P86" s="2">
        <v>12.227499999999999</v>
      </c>
      <c r="Q86" s="2">
        <v>6.6</v>
      </c>
      <c r="R86" s="3" t="str">
        <f t="shared" si="4"/>
        <v>March</v>
      </c>
      <c r="S86" s="3">
        <f t="shared" si="3"/>
        <v>3</v>
      </c>
      <c r="T86" s="3" t="str">
        <f>IF(tbl_sales[[#This Row],[Sales]]&gt;=500,"High Value","Standard")</f>
        <v>Standard</v>
      </c>
      <c r="U86" s="1" t="str">
        <f>IF(tbl_sales[[#This Row],[Order Size]]="High Value","High Value Order","Standard Order")</f>
        <v>Standard Order</v>
      </c>
      <c r="V86" s="1"/>
      <c r="W86" s="17" t="s">
        <v>37</v>
      </c>
      <c r="X86" s="17"/>
      <c r="Y86" s="6"/>
      <c r="Z86" s="1" t="s">
        <v>37</v>
      </c>
    </row>
    <row r="87" spans="1:26">
      <c r="A87" s="3" t="s">
        <v>645</v>
      </c>
      <c r="B87" s="3" t="s">
        <v>39</v>
      </c>
      <c r="C87" s="3" t="s">
        <v>40</v>
      </c>
      <c r="D87" s="3" t="s">
        <v>24</v>
      </c>
      <c r="E87" s="3" t="s">
        <v>25</v>
      </c>
      <c r="F87" s="3" t="s">
        <v>72</v>
      </c>
      <c r="G87" s="2">
        <v>83.06</v>
      </c>
      <c r="H87" s="2">
        <v>7</v>
      </c>
      <c r="I87" s="2">
        <v>29.071000000000002</v>
      </c>
      <c r="J87" s="2">
        <v>610.49099999999999</v>
      </c>
      <c r="K87" s="5">
        <v>43529</v>
      </c>
      <c r="L87" s="4">
        <v>0.60486111111111107</v>
      </c>
      <c r="M87" s="3" t="s">
        <v>33</v>
      </c>
      <c r="N87" s="2">
        <v>581.41999999999996</v>
      </c>
      <c r="O87" s="2">
        <v>4.7619047620000003</v>
      </c>
      <c r="P87" s="2">
        <v>29.071000000000002</v>
      </c>
      <c r="Q87" s="2">
        <v>4</v>
      </c>
      <c r="R87" s="3" t="str">
        <f t="shared" si="4"/>
        <v>March</v>
      </c>
      <c r="S87" s="3">
        <f t="shared" si="3"/>
        <v>3</v>
      </c>
      <c r="T87" s="3" t="str">
        <f>IF(tbl_sales[[#This Row],[Sales]]&gt;=500,"High Value","Standard")</f>
        <v>High Value</v>
      </c>
      <c r="U87" s="1" t="str">
        <f>IF(tbl_sales[[#This Row],[Order Size]]="High Value","High Value Order","Standard Order")</f>
        <v>High Value Order</v>
      </c>
      <c r="V87" s="1"/>
      <c r="W87" s="17" t="s">
        <v>37</v>
      </c>
      <c r="X87" s="17"/>
      <c r="Y87" s="6"/>
      <c r="Z87" s="1" t="s">
        <v>37</v>
      </c>
    </row>
    <row r="88" spans="1:26">
      <c r="A88" s="3" t="s">
        <v>651</v>
      </c>
      <c r="B88" s="3" t="s">
        <v>39</v>
      </c>
      <c r="C88" s="3" t="s">
        <v>40</v>
      </c>
      <c r="D88" s="3" t="s">
        <v>24</v>
      </c>
      <c r="E88" s="3" t="s">
        <v>25</v>
      </c>
      <c r="F88" s="3" t="s">
        <v>127</v>
      </c>
      <c r="G88" s="2">
        <v>76.52</v>
      </c>
      <c r="H88" s="2">
        <v>5</v>
      </c>
      <c r="I88" s="2">
        <v>19.13</v>
      </c>
      <c r="J88" s="2">
        <v>401.73</v>
      </c>
      <c r="K88" s="5">
        <v>43549</v>
      </c>
      <c r="L88" s="4">
        <v>0.43263888888888891</v>
      </c>
      <c r="M88" s="3" t="s">
        <v>49</v>
      </c>
      <c r="N88" s="2">
        <v>382.6</v>
      </c>
      <c r="O88" s="2">
        <v>4.7619047620000003</v>
      </c>
      <c r="P88" s="2">
        <v>19.13</v>
      </c>
      <c r="Q88" s="2">
        <v>9.9</v>
      </c>
      <c r="R88" s="3" t="str">
        <f t="shared" si="4"/>
        <v>March</v>
      </c>
      <c r="S88" s="3">
        <f t="shared" si="3"/>
        <v>3</v>
      </c>
      <c r="T88" s="3" t="str">
        <f>IF(tbl_sales[[#This Row],[Sales]]&gt;=500,"High Value","Standard")</f>
        <v>Standard</v>
      </c>
      <c r="U88" s="1" t="str">
        <f>IF(tbl_sales[[#This Row],[Order Size]]="High Value","High Value Order","Standard Order")</f>
        <v>Standard Order</v>
      </c>
      <c r="V88" s="1"/>
      <c r="W88" s="17" t="s">
        <v>37</v>
      </c>
      <c r="X88" s="17"/>
      <c r="Y88" s="6"/>
      <c r="Z88" s="1" t="s">
        <v>37</v>
      </c>
    </row>
    <row r="89" spans="1:26">
      <c r="A89" s="3" t="s">
        <v>657</v>
      </c>
      <c r="B89" s="3" t="s">
        <v>22</v>
      </c>
      <c r="C89" s="3" t="s">
        <v>23</v>
      </c>
      <c r="D89" s="3" t="s">
        <v>24</v>
      </c>
      <c r="E89" s="3" t="s">
        <v>25</v>
      </c>
      <c r="F89" s="3" t="s">
        <v>117</v>
      </c>
      <c r="G89" s="2">
        <v>49.38</v>
      </c>
      <c r="H89" s="2">
        <v>7</v>
      </c>
      <c r="I89" s="2">
        <v>17.283000000000001</v>
      </c>
      <c r="J89" s="2">
        <v>362.94299999999998</v>
      </c>
      <c r="K89" s="5">
        <v>43551</v>
      </c>
      <c r="L89" s="4">
        <v>0.85763888888888884</v>
      </c>
      <c r="M89" s="3" t="s">
        <v>59</v>
      </c>
      <c r="N89" s="2">
        <v>345.66</v>
      </c>
      <c r="O89" s="2">
        <v>4.7619047620000003</v>
      </c>
      <c r="P89" s="2">
        <v>17.283000000000001</v>
      </c>
      <c r="Q89" s="2">
        <v>7.3</v>
      </c>
      <c r="R89" s="3" t="str">
        <f t="shared" si="4"/>
        <v>March</v>
      </c>
      <c r="S89" s="3">
        <f t="shared" si="3"/>
        <v>3</v>
      </c>
      <c r="T89" s="3" t="str">
        <f>IF(tbl_sales[[#This Row],[Sales]]&gt;=500,"High Value","Standard")</f>
        <v>Standard</v>
      </c>
      <c r="U89" s="1" t="str">
        <f>IF(tbl_sales[[#This Row],[Order Size]]="High Value","High Value Order","Standard Order")</f>
        <v>Standard Order</v>
      </c>
      <c r="V89" s="1"/>
      <c r="W89" s="17" t="s">
        <v>37</v>
      </c>
      <c r="X89" s="17"/>
      <c r="Y89" s="6"/>
      <c r="Z89" s="1" t="s">
        <v>37</v>
      </c>
    </row>
    <row r="90" spans="1:26">
      <c r="A90" s="3" t="s">
        <v>664</v>
      </c>
      <c r="B90" s="3" t="s">
        <v>22</v>
      </c>
      <c r="C90" s="3" t="s">
        <v>23</v>
      </c>
      <c r="D90" s="3" t="s">
        <v>24</v>
      </c>
      <c r="E90" s="3" t="s">
        <v>25</v>
      </c>
      <c r="F90" s="3" t="s">
        <v>72</v>
      </c>
      <c r="G90" s="2">
        <v>42.47</v>
      </c>
      <c r="H90" s="2">
        <v>1</v>
      </c>
      <c r="I90" s="2">
        <v>2.1234999999999999</v>
      </c>
      <c r="J90" s="2">
        <v>44.593499999999999</v>
      </c>
      <c r="K90" s="5">
        <v>43467</v>
      </c>
      <c r="L90" s="4">
        <v>0.70625000000000004</v>
      </c>
      <c r="M90" s="3" t="s">
        <v>49</v>
      </c>
      <c r="N90" s="2">
        <v>42.47</v>
      </c>
      <c r="O90" s="2">
        <v>4.7619047620000003</v>
      </c>
      <c r="P90" s="2">
        <v>2.1234999999999999</v>
      </c>
      <c r="Q90" s="2">
        <v>5.7</v>
      </c>
      <c r="R90" s="3" t="str">
        <f t="shared" si="4"/>
        <v>January</v>
      </c>
      <c r="S90" s="3">
        <f t="shared" si="3"/>
        <v>1</v>
      </c>
      <c r="T90" s="3" t="str">
        <f>IF(tbl_sales[[#This Row],[Sales]]&gt;=500,"High Value","Standard")</f>
        <v>Standard</v>
      </c>
      <c r="U90" s="1" t="str">
        <f>IF(tbl_sales[[#This Row],[Order Size]]="High Value","High Value Order","Standard Order")</f>
        <v>Standard Order</v>
      </c>
      <c r="V90" s="1"/>
      <c r="W90" s="17" t="s">
        <v>37</v>
      </c>
      <c r="X90" s="17"/>
      <c r="Y90" s="6"/>
      <c r="Z90" s="1" t="s">
        <v>37</v>
      </c>
    </row>
    <row r="91" spans="1:26">
      <c r="A91" s="3" t="s">
        <v>670</v>
      </c>
      <c r="B91" s="3" t="s">
        <v>115</v>
      </c>
      <c r="C91" s="3" t="s">
        <v>116</v>
      </c>
      <c r="D91" s="3" t="s">
        <v>24</v>
      </c>
      <c r="E91" s="3" t="s">
        <v>25</v>
      </c>
      <c r="F91" s="3" t="s">
        <v>26</v>
      </c>
      <c r="G91" s="2">
        <v>76.989999999999995</v>
      </c>
      <c r="H91" s="2">
        <v>6</v>
      </c>
      <c r="I91" s="2">
        <v>23.097000000000001</v>
      </c>
      <c r="J91" s="2">
        <v>485.03699999999998</v>
      </c>
      <c r="K91" s="5">
        <v>43523</v>
      </c>
      <c r="L91" s="4">
        <v>0.74652777777777779</v>
      </c>
      <c r="M91" s="3" t="s">
        <v>49</v>
      </c>
      <c r="N91" s="2">
        <v>461.94</v>
      </c>
      <c r="O91" s="2">
        <v>4.7619047620000003</v>
      </c>
      <c r="P91" s="2">
        <v>23.097000000000001</v>
      </c>
      <c r="Q91" s="2">
        <v>6.1</v>
      </c>
      <c r="R91" s="3" t="str">
        <f t="shared" si="4"/>
        <v>February</v>
      </c>
      <c r="S91" s="3">
        <f t="shared" si="3"/>
        <v>2</v>
      </c>
      <c r="T91" s="3" t="str">
        <f>IF(tbl_sales[[#This Row],[Sales]]&gt;=500,"High Value","Standard")</f>
        <v>Standard</v>
      </c>
      <c r="U91" s="1" t="str">
        <f>IF(tbl_sales[[#This Row],[Order Size]]="High Value","High Value Order","Standard Order")</f>
        <v>Standard Order</v>
      </c>
      <c r="V91" s="1"/>
      <c r="W91" s="17" t="s">
        <v>37</v>
      </c>
      <c r="X91" s="17"/>
      <c r="Y91" s="6"/>
      <c r="Z91" s="1" t="s">
        <v>37</v>
      </c>
    </row>
    <row r="92" spans="1:26">
      <c r="A92" s="3" t="s">
        <v>676</v>
      </c>
      <c r="B92" s="3" t="s">
        <v>39</v>
      </c>
      <c r="C92" s="3" t="s">
        <v>40</v>
      </c>
      <c r="D92" s="3" t="s">
        <v>24</v>
      </c>
      <c r="E92" s="3" t="s">
        <v>25</v>
      </c>
      <c r="F92" s="3" t="s">
        <v>53</v>
      </c>
      <c r="G92" s="2">
        <v>47.38</v>
      </c>
      <c r="H92" s="2">
        <v>4</v>
      </c>
      <c r="I92" s="2">
        <v>9.4760000000000009</v>
      </c>
      <c r="J92" s="2">
        <v>198.99600000000001</v>
      </c>
      <c r="K92" s="5">
        <v>43488</v>
      </c>
      <c r="L92" s="4">
        <v>0.43402777777777779</v>
      </c>
      <c r="M92" s="3" t="s">
        <v>49</v>
      </c>
      <c r="N92" s="2">
        <v>189.52</v>
      </c>
      <c r="O92" s="2">
        <v>4.7619047620000003</v>
      </c>
      <c r="P92" s="2">
        <v>9.4760000000000009</v>
      </c>
      <c r="Q92" s="2">
        <v>7.1</v>
      </c>
      <c r="R92" s="3" t="str">
        <f t="shared" si="4"/>
        <v>January</v>
      </c>
      <c r="S92" s="3">
        <f t="shared" si="3"/>
        <v>1</v>
      </c>
      <c r="T92" s="3" t="str">
        <f>IF(tbl_sales[[#This Row],[Sales]]&gt;=500,"High Value","Standard")</f>
        <v>Standard</v>
      </c>
      <c r="U92" s="1" t="str">
        <f>IF(tbl_sales[[#This Row],[Order Size]]="High Value","High Value Order","Standard Order")</f>
        <v>Standard Order</v>
      </c>
      <c r="V92" s="1"/>
      <c r="W92" s="17" t="s">
        <v>37</v>
      </c>
      <c r="X92" s="17"/>
      <c r="Y92" s="6"/>
      <c r="Z92" s="1" t="s">
        <v>37</v>
      </c>
    </row>
    <row r="93" spans="1:26">
      <c r="A93" s="3" t="s">
        <v>681</v>
      </c>
      <c r="B93" s="3" t="s">
        <v>39</v>
      </c>
      <c r="C93" s="3" t="s">
        <v>40</v>
      </c>
      <c r="D93" s="3" t="s">
        <v>24</v>
      </c>
      <c r="E93" s="3" t="s">
        <v>25</v>
      </c>
      <c r="F93" s="3" t="s">
        <v>72</v>
      </c>
      <c r="G93" s="2">
        <v>44.86</v>
      </c>
      <c r="H93" s="2">
        <v>10</v>
      </c>
      <c r="I93" s="2">
        <v>22.43</v>
      </c>
      <c r="J93" s="2">
        <v>471.03</v>
      </c>
      <c r="K93" s="5">
        <v>43491</v>
      </c>
      <c r="L93" s="4">
        <v>0.82916666666666672</v>
      </c>
      <c r="M93" s="3" t="s">
        <v>33</v>
      </c>
      <c r="N93" s="2">
        <v>448.6</v>
      </c>
      <c r="O93" s="2">
        <v>4.7619047620000003</v>
      </c>
      <c r="P93" s="2">
        <v>22.43</v>
      </c>
      <c r="Q93" s="2">
        <v>8.1999999999999993</v>
      </c>
      <c r="R93" s="3" t="str">
        <f t="shared" si="4"/>
        <v>January</v>
      </c>
      <c r="S93" s="3">
        <f t="shared" si="3"/>
        <v>1</v>
      </c>
      <c r="T93" s="3" t="str">
        <f>IF(tbl_sales[[#This Row],[Sales]]&gt;=500,"High Value","Standard")</f>
        <v>Standard</v>
      </c>
      <c r="U93" s="1" t="str">
        <f>IF(tbl_sales[[#This Row],[Order Size]]="High Value","High Value Order","Standard Order")</f>
        <v>Standard Order</v>
      </c>
      <c r="V93" s="1"/>
      <c r="W93" s="17" t="s">
        <v>37</v>
      </c>
      <c r="X93" s="17"/>
      <c r="Y93" s="6"/>
      <c r="Z93" s="1" t="s">
        <v>37</v>
      </c>
    </row>
    <row r="94" spans="1:26">
      <c r="A94" s="3" t="s">
        <v>687</v>
      </c>
      <c r="B94" s="3" t="s">
        <v>22</v>
      </c>
      <c r="C94" s="3" t="s">
        <v>23</v>
      </c>
      <c r="D94" s="3" t="s">
        <v>24</v>
      </c>
      <c r="E94" s="3" t="s">
        <v>25</v>
      </c>
      <c r="F94" s="3" t="s">
        <v>72</v>
      </c>
      <c r="G94" s="2">
        <v>21.98</v>
      </c>
      <c r="H94" s="2">
        <v>7</v>
      </c>
      <c r="I94" s="2">
        <v>7.6929999999999996</v>
      </c>
      <c r="J94" s="2">
        <v>161.553</v>
      </c>
      <c r="K94" s="5">
        <v>43475</v>
      </c>
      <c r="L94" s="4">
        <v>0.6958333333333333</v>
      </c>
      <c r="M94" s="3" t="s">
        <v>33</v>
      </c>
      <c r="N94" s="2">
        <v>153.86000000000001</v>
      </c>
      <c r="O94" s="2">
        <v>4.7619047620000003</v>
      </c>
      <c r="P94" s="2">
        <v>7.6929999999999996</v>
      </c>
      <c r="Q94" s="2">
        <v>5.0999999999999996</v>
      </c>
      <c r="R94" s="3" t="str">
        <f t="shared" si="4"/>
        <v>January</v>
      </c>
      <c r="S94" s="3">
        <f t="shared" si="3"/>
        <v>1</v>
      </c>
      <c r="T94" s="3" t="str">
        <f>IF(tbl_sales[[#This Row],[Sales]]&gt;=500,"High Value","Standard")</f>
        <v>Standard</v>
      </c>
      <c r="U94" s="1" t="str">
        <f>IF(tbl_sales[[#This Row],[Order Size]]="High Value","High Value Order","Standard Order")</f>
        <v>Standard Order</v>
      </c>
      <c r="V94" s="1"/>
      <c r="W94" s="17" t="s">
        <v>37</v>
      </c>
      <c r="X94" s="17"/>
      <c r="Y94" s="6"/>
      <c r="Z94" s="1" t="s">
        <v>37</v>
      </c>
    </row>
    <row r="95" spans="1:26">
      <c r="A95" s="3" t="s">
        <v>693</v>
      </c>
      <c r="B95" s="3" t="s">
        <v>115</v>
      </c>
      <c r="C95" s="3" t="s">
        <v>116</v>
      </c>
      <c r="D95" s="3" t="s">
        <v>24</v>
      </c>
      <c r="E95" s="3" t="s">
        <v>25</v>
      </c>
      <c r="F95" s="3" t="s">
        <v>26</v>
      </c>
      <c r="G95" s="2">
        <v>64.36</v>
      </c>
      <c r="H95" s="2">
        <v>9</v>
      </c>
      <c r="I95" s="2">
        <v>28.962</v>
      </c>
      <c r="J95" s="2">
        <v>608.202</v>
      </c>
      <c r="K95" s="5">
        <v>43536</v>
      </c>
      <c r="L95" s="4">
        <v>0.50624999999999998</v>
      </c>
      <c r="M95" s="3" t="s">
        <v>59</v>
      </c>
      <c r="N95" s="2">
        <v>579.24</v>
      </c>
      <c r="O95" s="2">
        <v>4.7619047620000003</v>
      </c>
      <c r="P95" s="2">
        <v>28.962</v>
      </c>
      <c r="Q95" s="2">
        <v>8.6</v>
      </c>
      <c r="R95" s="3" t="str">
        <f t="shared" si="4"/>
        <v>March</v>
      </c>
      <c r="S95" s="3">
        <f t="shared" si="3"/>
        <v>3</v>
      </c>
      <c r="T95" s="3" t="str">
        <f>IF(tbl_sales[[#This Row],[Sales]]&gt;=500,"High Value","Standard")</f>
        <v>High Value</v>
      </c>
      <c r="U95" s="1" t="str">
        <f>IF(tbl_sales[[#This Row],[Order Size]]="High Value","High Value Order","Standard Order")</f>
        <v>High Value Order</v>
      </c>
      <c r="V95" s="1"/>
      <c r="W95" s="17" t="s">
        <v>37</v>
      </c>
      <c r="X95" s="17"/>
      <c r="Y95" s="6"/>
      <c r="Z95" s="1" t="s">
        <v>37</v>
      </c>
    </row>
    <row r="96" spans="1:26">
      <c r="A96" s="3" t="s">
        <v>699</v>
      </c>
      <c r="B96" s="3" t="s">
        <v>39</v>
      </c>
      <c r="C96" s="3" t="s">
        <v>40</v>
      </c>
      <c r="D96" s="3" t="s">
        <v>24</v>
      </c>
      <c r="E96" s="3" t="s">
        <v>25</v>
      </c>
      <c r="F96" s="3" t="s">
        <v>26</v>
      </c>
      <c r="G96" s="2">
        <v>89.75</v>
      </c>
      <c r="H96" s="2">
        <v>1</v>
      </c>
      <c r="I96" s="2">
        <v>4.4874999999999998</v>
      </c>
      <c r="J96" s="2">
        <v>94.237499999999997</v>
      </c>
      <c r="K96" s="5">
        <v>43502</v>
      </c>
      <c r="L96" s="4">
        <v>0.83680555555555558</v>
      </c>
      <c r="M96" s="3" t="s">
        <v>59</v>
      </c>
      <c r="N96" s="2">
        <v>89.75</v>
      </c>
      <c r="O96" s="2">
        <v>4.7619047620000003</v>
      </c>
      <c r="P96" s="2">
        <v>4.4874999999999998</v>
      </c>
      <c r="Q96" s="2">
        <v>6.6</v>
      </c>
      <c r="R96" s="3" t="str">
        <f t="shared" si="4"/>
        <v>February</v>
      </c>
      <c r="S96" s="3">
        <f t="shared" si="3"/>
        <v>2</v>
      </c>
      <c r="T96" s="3" t="str">
        <f>IF(tbl_sales[[#This Row],[Sales]]&gt;=500,"High Value","Standard")</f>
        <v>Standard</v>
      </c>
      <c r="U96" s="1" t="str">
        <f>IF(tbl_sales[[#This Row],[Order Size]]="High Value","High Value Order","Standard Order")</f>
        <v>Standard Order</v>
      </c>
      <c r="V96" s="1"/>
      <c r="W96" s="17" t="s">
        <v>37</v>
      </c>
      <c r="X96" s="17"/>
      <c r="Y96" s="6"/>
      <c r="Z96" s="1" t="s">
        <v>37</v>
      </c>
    </row>
    <row r="97" spans="1:26">
      <c r="A97" s="3" t="s">
        <v>704</v>
      </c>
      <c r="B97" s="3" t="s">
        <v>22</v>
      </c>
      <c r="C97" s="3" t="s">
        <v>23</v>
      </c>
      <c r="D97" s="3" t="s">
        <v>24</v>
      </c>
      <c r="E97" s="3" t="s">
        <v>25</v>
      </c>
      <c r="F97" s="3" t="s">
        <v>42</v>
      </c>
      <c r="G97" s="2">
        <v>97.16</v>
      </c>
      <c r="H97" s="2">
        <v>1</v>
      </c>
      <c r="I97" s="2">
        <v>4.8579999999999997</v>
      </c>
      <c r="J97" s="2">
        <v>102.018</v>
      </c>
      <c r="K97" s="5">
        <v>43532</v>
      </c>
      <c r="L97" s="4">
        <v>0.85972222222222228</v>
      </c>
      <c r="M97" s="3" t="s">
        <v>33</v>
      </c>
      <c r="N97" s="2">
        <v>97.16</v>
      </c>
      <c r="O97" s="2">
        <v>4.7619047620000003</v>
      </c>
      <c r="P97" s="2">
        <v>4.8579999999999997</v>
      </c>
      <c r="Q97" s="2">
        <v>7.2</v>
      </c>
      <c r="R97" s="3" t="str">
        <f t="shared" si="4"/>
        <v>March</v>
      </c>
      <c r="S97" s="3">
        <f t="shared" si="3"/>
        <v>3</v>
      </c>
      <c r="T97" s="3" t="str">
        <f>IF(tbl_sales[[#This Row],[Sales]]&gt;=500,"High Value","Standard")</f>
        <v>Standard</v>
      </c>
      <c r="U97" s="1" t="str">
        <f>IF(tbl_sales[[#This Row],[Order Size]]="High Value","High Value Order","Standard Order")</f>
        <v>Standard Order</v>
      </c>
      <c r="V97" s="1"/>
      <c r="W97" s="17" t="s">
        <v>37</v>
      </c>
      <c r="X97" s="17"/>
      <c r="Y97" s="6"/>
      <c r="Z97" s="1" t="s">
        <v>37</v>
      </c>
    </row>
    <row r="98" spans="1:26">
      <c r="A98" s="3" t="s">
        <v>709</v>
      </c>
      <c r="B98" s="3" t="s">
        <v>115</v>
      </c>
      <c r="C98" s="3" t="s">
        <v>116</v>
      </c>
      <c r="D98" s="3" t="s">
        <v>24</v>
      </c>
      <c r="E98" s="3" t="s">
        <v>25</v>
      </c>
      <c r="F98" s="3" t="s">
        <v>26</v>
      </c>
      <c r="G98" s="2">
        <v>87.87</v>
      </c>
      <c r="H98" s="2">
        <v>10</v>
      </c>
      <c r="I98" s="2">
        <v>43.935000000000002</v>
      </c>
      <c r="J98" s="2">
        <v>922.63499999999999</v>
      </c>
      <c r="K98" s="5">
        <v>43553</v>
      </c>
      <c r="L98" s="4">
        <v>0.43402777777777779</v>
      </c>
      <c r="M98" s="3" t="s">
        <v>33</v>
      </c>
      <c r="N98" s="2">
        <v>878.7</v>
      </c>
      <c r="O98" s="2">
        <v>4.7619047620000003</v>
      </c>
      <c r="P98" s="2">
        <v>43.935000000000002</v>
      </c>
      <c r="Q98" s="2">
        <v>5.0999999999999996</v>
      </c>
      <c r="R98" s="3" t="str">
        <f t="shared" si="4"/>
        <v>March</v>
      </c>
      <c r="S98" s="3">
        <f t="shared" si="3"/>
        <v>3</v>
      </c>
      <c r="T98" s="3" t="str">
        <f>IF(tbl_sales[[#This Row],[Sales]]&gt;=500,"High Value","Standard")</f>
        <v>High Value</v>
      </c>
      <c r="U98" s="1" t="str">
        <f>IF(tbl_sales[[#This Row],[Order Size]]="High Value","High Value Order","Standard Order")</f>
        <v>High Value Order</v>
      </c>
      <c r="V98" s="1"/>
      <c r="W98" s="17" t="s">
        <v>37</v>
      </c>
      <c r="X98" s="17"/>
      <c r="Y98" s="6"/>
      <c r="Z98" s="1" t="s">
        <v>37</v>
      </c>
    </row>
    <row r="99" spans="1:26">
      <c r="A99" s="3" t="s">
        <v>714</v>
      </c>
      <c r="B99" s="3" t="s">
        <v>39</v>
      </c>
      <c r="C99" s="3" t="s">
        <v>40</v>
      </c>
      <c r="D99" s="3" t="s">
        <v>24</v>
      </c>
      <c r="E99" s="3" t="s">
        <v>25</v>
      </c>
      <c r="F99" s="3" t="s">
        <v>42</v>
      </c>
      <c r="G99" s="2">
        <v>12.45</v>
      </c>
      <c r="H99" s="2">
        <v>6</v>
      </c>
      <c r="I99" s="2">
        <v>3.7349999999999999</v>
      </c>
      <c r="J99" s="2">
        <v>78.435000000000002</v>
      </c>
      <c r="K99" s="5">
        <v>43505</v>
      </c>
      <c r="L99" s="4">
        <v>0.5493055555555556</v>
      </c>
      <c r="M99" s="3" t="s">
        <v>49</v>
      </c>
      <c r="N99" s="2">
        <v>74.7</v>
      </c>
      <c r="O99" s="2">
        <v>4.7619047620000003</v>
      </c>
      <c r="P99" s="2">
        <v>3.7349999999999999</v>
      </c>
      <c r="Q99" s="2">
        <v>4.0999999999999996</v>
      </c>
      <c r="R99" s="3" t="str">
        <f t="shared" si="4"/>
        <v>February</v>
      </c>
      <c r="S99" s="3">
        <f t="shared" si="3"/>
        <v>2</v>
      </c>
      <c r="T99" s="3" t="str">
        <f>IF(tbl_sales[[#This Row],[Sales]]&gt;=500,"High Value","Standard")</f>
        <v>Standard</v>
      </c>
      <c r="U99" s="1" t="str">
        <f>IF(tbl_sales[[#This Row],[Order Size]]="High Value","High Value Order","Standard Order")</f>
        <v>Standard Order</v>
      </c>
      <c r="V99" s="1"/>
      <c r="W99" s="17" t="s">
        <v>37</v>
      </c>
      <c r="X99" s="17"/>
      <c r="Y99" s="6"/>
      <c r="Z99" s="1" t="s">
        <v>37</v>
      </c>
    </row>
    <row r="100" spans="1:26">
      <c r="A100" s="3" t="s">
        <v>721</v>
      </c>
      <c r="B100" s="3" t="s">
        <v>22</v>
      </c>
      <c r="C100" s="3" t="s">
        <v>23</v>
      </c>
      <c r="D100" s="3" t="s">
        <v>24</v>
      </c>
      <c r="E100" s="3" t="s">
        <v>25</v>
      </c>
      <c r="F100" s="3" t="s">
        <v>117</v>
      </c>
      <c r="G100" s="2">
        <v>52.75</v>
      </c>
      <c r="H100" s="2">
        <v>3</v>
      </c>
      <c r="I100" s="2">
        <v>7.9124999999999996</v>
      </c>
      <c r="J100" s="2">
        <v>166.16249999999999</v>
      </c>
      <c r="K100" s="5">
        <v>43547</v>
      </c>
      <c r="L100" s="4">
        <v>0.42777777777777776</v>
      </c>
      <c r="M100" s="3" t="s">
        <v>33</v>
      </c>
      <c r="N100" s="2">
        <v>158.25</v>
      </c>
      <c r="O100" s="2">
        <v>4.7619047620000003</v>
      </c>
      <c r="P100" s="2">
        <v>7.9124999999999996</v>
      </c>
      <c r="Q100" s="2">
        <v>9.3000000000000007</v>
      </c>
      <c r="R100" s="3" t="str">
        <f t="shared" si="4"/>
        <v>March</v>
      </c>
      <c r="S100" s="3">
        <f t="shared" si="3"/>
        <v>3</v>
      </c>
      <c r="T100" s="3" t="str">
        <f>IF(tbl_sales[[#This Row],[Sales]]&gt;=500,"High Value","Standard")</f>
        <v>Standard</v>
      </c>
      <c r="U100" s="1" t="str">
        <f>IF(tbl_sales[[#This Row],[Order Size]]="High Value","High Value Order","Standard Order")</f>
        <v>Standard Order</v>
      </c>
      <c r="V100" s="1"/>
      <c r="W100" s="17" t="s">
        <v>37</v>
      </c>
      <c r="X100" s="17"/>
      <c r="Y100" s="6"/>
      <c r="Z100" s="1" t="s">
        <v>37</v>
      </c>
    </row>
    <row r="101" spans="1:26">
      <c r="A101" s="3" t="s">
        <v>727</v>
      </c>
      <c r="B101" s="3" t="s">
        <v>115</v>
      </c>
      <c r="C101" s="3" t="s">
        <v>116</v>
      </c>
      <c r="D101" s="3" t="s">
        <v>24</v>
      </c>
      <c r="E101" s="3" t="s">
        <v>25</v>
      </c>
      <c r="F101" s="3" t="s">
        <v>53</v>
      </c>
      <c r="G101" s="2">
        <v>82.7</v>
      </c>
      <c r="H101" s="2">
        <v>6</v>
      </c>
      <c r="I101" s="2">
        <v>24.81</v>
      </c>
      <c r="J101" s="2">
        <v>521.01</v>
      </c>
      <c r="K101" s="5">
        <v>43529</v>
      </c>
      <c r="L101" s="4">
        <v>0.75972222222222219</v>
      </c>
      <c r="M101" s="3" t="s">
        <v>49</v>
      </c>
      <c r="N101" s="2">
        <v>496.2</v>
      </c>
      <c r="O101" s="2">
        <v>4.7619047620000003</v>
      </c>
      <c r="P101" s="2">
        <v>24.81</v>
      </c>
      <c r="Q101" s="2">
        <v>7.4</v>
      </c>
      <c r="R101" s="3" t="str">
        <f t="shared" si="4"/>
        <v>March</v>
      </c>
      <c r="S101" s="3">
        <f t="shared" si="3"/>
        <v>3</v>
      </c>
      <c r="T101" s="3" t="str">
        <f>IF(tbl_sales[[#This Row],[Sales]]&gt;=500,"High Value","Standard")</f>
        <v>High Value</v>
      </c>
      <c r="U101" s="1" t="str">
        <f>IF(tbl_sales[[#This Row],[Order Size]]="High Value","High Value Order","Standard Order")</f>
        <v>High Value Order</v>
      </c>
      <c r="V101" s="1"/>
      <c r="W101" s="17" t="s">
        <v>37</v>
      </c>
      <c r="X101" s="17"/>
      <c r="Y101" s="6"/>
      <c r="Z101" s="1" t="s">
        <v>37</v>
      </c>
    </row>
    <row r="102" spans="1:26">
      <c r="A102" s="3" t="s">
        <v>733</v>
      </c>
      <c r="B102" s="3" t="s">
        <v>39</v>
      </c>
      <c r="C102" s="3" t="s">
        <v>40</v>
      </c>
      <c r="D102" s="3" t="s">
        <v>24</v>
      </c>
      <c r="E102" s="3" t="s">
        <v>25</v>
      </c>
      <c r="F102" s="3" t="s">
        <v>127</v>
      </c>
      <c r="G102" s="2">
        <v>48.71</v>
      </c>
      <c r="H102" s="2">
        <v>1</v>
      </c>
      <c r="I102" s="2">
        <v>2.4355000000000002</v>
      </c>
      <c r="J102" s="2">
        <v>51.145499999999998</v>
      </c>
      <c r="K102" s="5">
        <v>43550</v>
      </c>
      <c r="L102" s="4">
        <v>0.80555555555555558</v>
      </c>
      <c r="M102" s="3" t="s">
        <v>49</v>
      </c>
      <c r="N102" s="2">
        <v>48.71</v>
      </c>
      <c r="O102" s="2">
        <v>4.7619047620000003</v>
      </c>
      <c r="P102" s="2">
        <v>2.4355000000000002</v>
      </c>
      <c r="Q102" s="2">
        <v>4.0999999999999996</v>
      </c>
      <c r="R102" s="3" t="str">
        <f t="shared" si="4"/>
        <v>March</v>
      </c>
      <c r="S102" s="3">
        <f t="shared" si="3"/>
        <v>3</v>
      </c>
      <c r="T102" s="3" t="str">
        <f>IF(tbl_sales[[#This Row],[Sales]]&gt;=500,"High Value","Standard")</f>
        <v>Standard</v>
      </c>
      <c r="U102" s="1" t="str">
        <f>IF(tbl_sales[[#This Row],[Order Size]]="High Value","High Value Order","Standard Order")</f>
        <v>Standard Order</v>
      </c>
      <c r="V102" s="1"/>
      <c r="W102" s="17" t="s">
        <v>37</v>
      </c>
      <c r="X102" s="17"/>
      <c r="Y102" s="6"/>
      <c r="Z102" s="1" t="s">
        <v>37</v>
      </c>
    </row>
    <row r="103" spans="1:26">
      <c r="A103" s="3" t="s">
        <v>738</v>
      </c>
      <c r="B103" s="3" t="s">
        <v>39</v>
      </c>
      <c r="C103" s="3" t="s">
        <v>40</v>
      </c>
      <c r="D103" s="3" t="s">
        <v>24</v>
      </c>
      <c r="E103" s="3" t="s">
        <v>25</v>
      </c>
      <c r="F103" s="3" t="s">
        <v>127</v>
      </c>
      <c r="G103" s="2">
        <v>78.55</v>
      </c>
      <c r="H103" s="2">
        <v>9</v>
      </c>
      <c r="I103" s="2">
        <v>35.347499999999997</v>
      </c>
      <c r="J103" s="2">
        <v>742.29750000000001</v>
      </c>
      <c r="K103" s="5">
        <v>43525</v>
      </c>
      <c r="L103" s="4">
        <v>0.55694444444444446</v>
      </c>
      <c r="M103" s="3" t="s">
        <v>49</v>
      </c>
      <c r="N103" s="2">
        <v>706.95</v>
      </c>
      <c r="O103" s="2">
        <v>4.7619047620000003</v>
      </c>
      <c r="P103" s="2">
        <v>35.347499999999997</v>
      </c>
      <c r="Q103" s="2">
        <v>7.2</v>
      </c>
      <c r="R103" s="3" t="str">
        <f t="shared" si="4"/>
        <v>March</v>
      </c>
      <c r="S103" s="3">
        <f t="shared" si="3"/>
        <v>3</v>
      </c>
      <c r="T103" s="3" t="str">
        <f>IF(tbl_sales[[#This Row],[Sales]]&gt;=500,"High Value","Standard")</f>
        <v>High Value</v>
      </c>
      <c r="U103" s="1" t="str">
        <f>IF(tbl_sales[[#This Row],[Order Size]]="High Value","High Value Order","Standard Order")</f>
        <v>High Value Order</v>
      </c>
      <c r="V103" s="1"/>
      <c r="W103" s="17" t="s">
        <v>37</v>
      </c>
      <c r="X103" s="17"/>
      <c r="Y103" s="6"/>
      <c r="Z103" s="1" t="s">
        <v>37</v>
      </c>
    </row>
    <row r="104" spans="1:26">
      <c r="A104" s="3" t="s">
        <v>745</v>
      </c>
      <c r="B104" s="3" t="s">
        <v>39</v>
      </c>
      <c r="C104" s="3" t="s">
        <v>40</v>
      </c>
      <c r="D104" s="3" t="s">
        <v>24</v>
      </c>
      <c r="E104" s="3" t="s">
        <v>25</v>
      </c>
      <c r="F104" s="3" t="s">
        <v>42</v>
      </c>
      <c r="G104" s="2">
        <v>23.07</v>
      </c>
      <c r="H104" s="2">
        <v>9</v>
      </c>
      <c r="I104" s="2">
        <v>10.381500000000001</v>
      </c>
      <c r="J104" s="2">
        <v>218.01150000000001</v>
      </c>
      <c r="K104" s="5">
        <v>43497</v>
      </c>
      <c r="L104" s="4">
        <v>0.47708333333333336</v>
      </c>
      <c r="M104" s="3" t="s">
        <v>49</v>
      </c>
      <c r="N104" s="2">
        <v>207.63</v>
      </c>
      <c r="O104" s="2">
        <v>4.7619047620000003</v>
      </c>
      <c r="P104" s="2">
        <v>10.381500000000001</v>
      </c>
      <c r="Q104" s="2">
        <v>4.9000000000000004</v>
      </c>
      <c r="R104" s="3" t="str">
        <f t="shared" si="4"/>
        <v>February</v>
      </c>
      <c r="S104" s="3">
        <f t="shared" si="3"/>
        <v>2</v>
      </c>
      <c r="T104" s="3" t="str">
        <f>IF(tbl_sales[[#This Row],[Sales]]&gt;=500,"High Value","Standard")</f>
        <v>Standard</v>
      </c>
      <c r="U104" s="1" t="str">
        <f>IF(tbl_sales[[#This Row],[Order Size]]="High Value","High Value Order","Standard Order")</f>
        <v>Standard Order</v>
      </c>
      <c r="V104" s="1"/>
      <c r="W104" s="17" t="s">
        <v>37</v>
      </c>
      <c r="X104" s="17"/>
      <c r="Y104" s="6"/>
      <c r="Z104" s="1" t="s">
        <v>37</v>
      </c>
    </row>
    <row r="105" spans="1:26">
      <c r="A105" s="3" t="s">
        <v>753</v>
      </c>
      <c r="B105" s="3" t="s">
        <v>22</v>
      </c>
      <c r="C105" s="3" t="s">
        <v>23</v>
      </c>
      <c r="D105" s="3" t="s">
        <v>24</v>
      </c>
      <c r="E105" s="3" t="s">
        <v>25</v>
      </c>
      <c r="F105" s="3" t="s">
        <v>117</v>
      </c>
      <c r="G105" s="2">
        <v>58.26</v>
      </c>
      <c r="H105" s="2">
        <v>6</v>
      </c>
      <c r="I105" s="2">
        <v>17.478000000000002</v>
      </c>
      <c r="J105" s="2">
        <v>367.03800000000001</v>
      </c>
      <c r="K105" s="5">
        <v>43552</v>
      </c>
      <c r="L105" s="4">
        <v>0.69722222222222219</v>
      </c>
      <c r="M105" s="3" t="s">
        <v>49</v>
      </c>
      <c r="N105" s="2">
        <v>349.56</v>
      </c>
      <c r="O105" s="2">
        <v>4.7619047620000003</v>
      </c>
      <c r="P105" s="2">
        <v>17.478000000000002</v>
      </c>
      <c r="Q105" s="2">
        <v>9.9</v>
      </c>
      <c r="R105" s="3" t="str">
        <f t="shared" si="4"/>
        <v>March</v>
      </c>
      <c r="S105" s="3">
        <f t="shared" si="3"/>
        <v>3</v>
      </c>
      <c r="T105" s="3" t="str">
        <f>IF(tbl_sales[[#This Row],[Sales]]&gt;=500,"High Value","Standard")</f>
        <v>Standard</v>
      </c>
      <c r="U105" s="1" t="str">
        <f>IF(tbl_sales[[#This Row],[Order Size]]="High Value","High Value Order","Standard Order")</f>
        <v>Standard Order</v>
      </c>
      <c r="V105" s="1"/>
      <c r="W105" s="17" t="s">
        <v>37</v>
      </c>
      <c r="X105" s="17"/>
      <c r="Y105" s="6"/>
      <c r="Z105" s="1" t="s">
        <v>37</v>
      </c>
    </row>
    <row r="106" spans="1:26">
      <c r="A106" s="3" t="s">
        <v>760</v>
      </c>
      <c r="B106" s="3" t="s">
        <v>115</v>
      </c>
      <c r="C106" s="3" t="s">
        <v>116</v>
      </c>
      <c r="D106" s="3" t="s">
        <v>24</v>
      </c>
      <c r="E106" s="3" t="s">
        <v>25</v>
      </c>
      <c r="F106" s="3" t="s">
        <v>26</v>
      </c>
      <c r="G106" s="2">
        <v>30.35</v>
      </c>
      <c r="H106" s="2">
        <v>7</v>
      </c>
      <c r="I106" s="2">
        <v>10.6225</v>
      </c>
      <c r="J106" s="2">
        <v>223.07249999999999</v>
      </c>
      <c r="K106" s="5">
        <v>43543</v>
      </c>
      <c r="L106" s="4">
        <v>0.7631944444444444</v>
      </c>
      <c r="M106" s="3" t="s">
        <v>49</v>
      </c>
      <c r="N106" s="2">
        <v>212.45</v>
      </c>
      <c r="O106" s="2">
        <v>4.7619047620000003</v>
      </c>
      <c r="P106" s="2">
        <v>10.6225</v>
      </c>
      <c r="Q106" s="2">
        <v>8</v>
      </c>
      <c r="R106" s="3" t="str">
        <f t="shared" si="4"/>
        <v>March</v>
      </c>
      <c r="S106" s="3">
        <f t="shared" si="3"/>
        <v>3</v>
      </c>
      <c r="T106" s="3" t="str">
        <f>IF(tbl_sales[[#This Row],[Sales]]&gt;=500,"High Value","Standard")</f>
        <v>Standard</v>
      </c>
      <c r="U106" s="1" t="str">
        <f>IF(tbl_sales[[#This Row],[Order Size]]="High Value","High Value Order","Standard Order")</f>
        <v>Standard Order</v>
      </c>
      <c r="V106" s="1"/>
      <c r="W106" s="17" t="s">
        <v>37</v>
      </c>
      <c r="X106" s="17"/>
      <c r="Y106" s="6"/>
      <c r="Z106" s="1" t="s">
        <v>37</v>
      </c>
    </row>
    <row r="107" spans="1:26">
      <c r="A107" s="3" t="s">
        <v>766</v>
      </c>
      <c r="B107" s="3" t="s">
        <v>22</v>
      </c>
      <c r="C107" s="3" t="s">
        <v>23</v>
      </c>
      <c r="D107" s="3" t="s">
        <v>24</v>
      </c>
      <c r="E107" s="3" t="s">
        <v>25</v>
      </c>
      <c r="F107" s="3" t="s">
        <v>42</v>
      </c>
      <c r="G107" s="2">
        <v>88.67</v>
      </c>
      <c r="H107" s="2">
        <v>10</v>
      </c>
      <c r="I107" s="2">
        <v>44.335000000000001</v>
      </c>
      <c r="J107" s="2">
        <v>931.03499999999997</v>
      </c>
      <c r="K107" s="5">
        <v>43477</v>
      </c>
      <c r="L107" s="4">
        <v>0.61805555555555558</v>
      </c>
      <c r="M107" s="3" t="s">
        <v>33</v>
      </c>
      <c r="N107" s="2">
        <v>886.7</v>
      </c>
      <c r="O107" s="2">
        <v>4.7619047620000003</v>
      </c>
      <c r="P107" s="2">
        <v>44.335000000000001</v>
      </c>
      <c r="Q107" s="2">
        <v>7.3</v>
      </c>
      <c r="R107" s="3" t="str">
        <f t="shared" si="4"/>
        <v>January</v>
      </c>
      <c r="S107" s="3">
        <f t="shared" si="3"/>
        <v>1</v>
      </c>
      <c r="T107" s="3" t="str">
        <f>IF(tbl_sales[[#This Row],[Sales]]&gt;=500,"High Value","Standard")</f>
        <v>High Value</v>
      </c>
      <c r="U107" s="1" t="str">
        <f>IF(tbl_sales[[#This Row],[Order Size]]="High Value","High Value Order","Standard Order")</f>
        <v>High Value Order</v>
      </c>
      <c r="V107" s="1"/>
      <c r="W107" s="17" t="s">
        <v>37</v>
      </c>
      <c r="X107" s="17"/>
      <c r="Y107" s="6"/>
      <c r="Z107" s="1" t="s">
        <v>37</v>
      </c>
    </row>
    <row r="108" spans="1:26">
      <c r="A108" s="3" t="s">
        <v>772</v>
      </c>
      <c r="B108" s="3" t="s">
        <v>39</v>
      </c>
      <c r="C108" s="3" t="s">
        <v>40</v>
      </c>
      <c r="D108" s="3" t="s">
        <v>24</v>
      </c>
      <c r="E108" s="3" t="s">
        <v>25</v>
      </c>
      <c r="F108" s="3" t="s">
        <v>127</v>
      </c>
      <c r="G108" s="2">
        <v>27.38</v>
      </c>
      <c r="H108" s="2">
        <v>6</v>
      </c>
      <c r="I108" s="2">
        <v>8.2140000000000004</v>
      </c>
      <c r="J108" s="2">
        <v>172.494</v>
      </c>
      <c r="K108" s="5">
        <v>43470</v>
      </c>
      <c r="L108" s="4">
        <v>0.87083333333333335</v>
      </c>
      <c r="M108" s="3" t="s">
        <v>59</v>
      </c>
      <c r="N108" s="2">
        <v>164.28</v>
      </c>
      <c r="O108" s="2">
        <v>4.7619047620000003</v>
      </c>
      <c r="P108" s="2">
        <v>8.2140000000000004</v>
      </c>
      <c r="Q108" s="2">
        <v>7.9</v>
      </c>
      <c r="R108" s="3" t="str">
        <f t="shared" si="4"/>
        <v>January</v>
      </c>
      <c r="S108" s="3">
        <f t="shared" si="3"/>
        <v>1</v>
      </c>
      <c r="T108" s="3" t="str">
        <f>IF(tbl_sales[[#This Row],[Sales]]&gt;=500,"High Value","Standard")</f>
        <v>Standard</v>
      </c>
      <c r="U108" s="1" t="str">
        <f>IF(tbl_sales[[#This Row],[Order Size]]="High Value","High Value Order","Standard Order")</f>
        <v>Standard Order</v>
      </c>
      <c r="V108" s="1"/>
      <c r="W108" s="17" t="s">
        <v>37</v>
      </c>
      <c r="X108" s="17"/>
      <c r="Y108" s="6"/>
      <c r="Z108" s="1" t="s">
        <v>37</v>
      </c>
    </row>
    <row r="109" spans="1:26">
      <c r="A109" s="3" t="s">
        <v>778</v>
      </c>
      <c r="B109" s="3" t="s">
        <v>22</v>
      </c>
      <c r="C109" s="3" t="s">
        <v>23</v>
      </c>
      <c r="D109" s="3" t="s">
        <v>24</v>
      </c>
      <c r="E109" s="3" t="s">
        <v>25</v>
      </c>
      <c r="F109" s="3" t="s">
        <v>72</v>
      </c>
      <c r="G109" s="2">
        <v>62.13</v>
      </c>
      <c r="H109" s="2">
        <v>6</v>
      </c>
      <c r="I109" s="2">
        <v>18.638999999999999</v>
      </c>
      <c r="J109" s="2">
        <v>391.41899999999998</v>
      </c>
      <c r="K109" s="5">
        <v>43546</v>
      </c>
      <c r="L109" s="4">
        <v>0.84652777777777777</v>
      </c>
      <c r="M109" s="3" t="s">
        <v>49</v>
      </c>
      <c r="N109" s="2">
        <v>372.78</v>
      </c>
      <c r="O109" s="2">
        <v>4.7619047620000003</v>
      </c>
      <c r="P109" s="2">
        <v>18.638999999999999</v>
      </c>
      <c r="Q109" s="2">
        <v>7.4</v>
      </c>
      <c r="R109" s="3" t="str">
        <f t="shared" si="4"/>
        <v>March</v>
      </c>
      <c r="S109" s="3">
        <f t="shared" si="3"/>
        <v>3</v>
      </c>
      <c r="T109" s="3" t="str">
        <f>IF(tbl_sales[[#This Row],[Sales]]&gt;=500,"High Value","Standard")</f>
        <v>Standard</v>
      </c>
      <c r="U109" s="1" t="str">
        <f>IF(tbl_sales[[#This Row],[Order Size]]="High Value","High Value Order","Standard Order")</f>
        <v>Standard Order</v>
      </c>
      <c r="V109" s="1"/>
      <c r="W109" s="17" t="s">
        <v>37</v>
      </c>
      <c r="X109" s="17"/>
      <c r="Y109" s="6"/>
      <c r="Z109" s="1" t="s">
        <v>37</v>
      </c>
    </row>
    <row r="110" spans="1:26">
      <c r="A110" s="3" t="s">
        <v>784</v>
      </c>
      <c r="B110" s="3" t="s">
        <v>39</v>
      </c>
      <c r="C110" s="3" t="s">
        <v>40</v>
      </c>
      <c r="D110" s="3" t="s">
        <v>24</v>
      </c>
      <c r="E110" s="3" t="s">
        <v>25</v>
      </c>
      <c r="F110" s="3" t="s">
        <v>117</v>
      </c>
      <c r="G110" s="2">
        <v>33.979999999999997</v>
      </c>
      <c r="H110" s="2">
        <v>9</v>
      </c>
      <c r="I110" s="2">
        <v>15.291</v>
      </c>
      <c r="J110" s="2">
        <v>321.11099999999999</v>
      </c>
      <c r="K110" s="5">
        <v>43548</v>
      </c>
      <c r="L110" s="4">
        <v>0.4465277777777778</v>
      </c>
      <c r="M110" s="3" t="s">
        <v>49</v>
      </c>
      <c r="N110" s="2">
        <v>305.82</v>
      </c>
      <c r="O110" s="2">
        <v>4.7619047620000003</v>
      </c>
      <c r="P110" s="2">
        <v>15.291</v>
      </c>
      <c r="Q110" s="2">
        <v>4.2</v>
      </c>
      <c r="R110" s="3" t="str">
        <f t="shared" si="4"/>
        <v>March</v>
      </c>
      <c r="S110" s="3">
        <f t="shared" si="3"/>
        <v>3</v>
      </c>
      <c r="T110" s="3" t="str">
        <f>IF(tbl_sales[[#This Row],[Sales]]&gt;=500,"High Value","Standard")</f>
        <v>Standard</v>
      </c>
      <c r="U110" s="1" t="str">
        <f>IF(tbl_sales[[#This Row],[Order Size]]="High Value","High Value Order","Standard Order")</f>
        <v>Standard Order</v>
      </c>
      <c r="V110" s="1"/>
      <c r="W110" s="17" t="s">
        <v>37</v>
      </c>
      <c r="X110" s="17"/>
      <c r="Y110" s="6"/>
      <c r="Z110" s="1" t="s">
        <v>37</v>
      </c>
    </row>
    <row r="111" spans="1:26">
      <c r="A111" s="3" t="s">
        <v>792</v>
      </c>
      <c r="B111" s="3" t="s">
        <v>39</v>
      </c>
      <c r="C111" s="3" t="s">
        <v>40</v>
      </c>
      <c r="D111" s="3" t="s">
        <v>24</v>
      </c>
      <c r="E111" s="3" t="s">
        <v>25</v>
      </c>
      <c r="F111" s="3" t="s">
        <v>42</v>
      </c>
      <c r="G111" s="2">
        <v>81.97</v>
      </c>
      <c r="H111" s="2">
        <v>10</v>
      </c>
      <c r="I111" s="2">
        <v>40.984999999999999</v>
      </c>
      <c r="J111" s="2">
        <v>860.68499999999995</v>
      </c>
      <c r="K111" s="5">
        <v>43527</v>
      </c>
      <c r="L111" s="4">
        <v>0.60416666666666663</v>
      </c>
      <c r="M111" s="3" t="s">
        <v>49</v>
      </c>
      <c r="N111" s="2">
        <v>819.7</v>
      </c>
      <c r="O111" s="2">
        <v>4.7619047620000003</v>
      </c>
      <c r="P111" s="2">
        <v>40.984999999999999</v>
      </c>
      <c r="Q111" s="2">
        <v>9.1999999999999993</v>
      </c>
      <c r="R111" s="3" t="str">
        <f t="shared" si="4"/>
        <v>March</v>
      </c>
      <c r="S111" s="3">
        <f t="shared" si="3"/>
        <v>3</v>
      </c>
      <c r="T111" s="3" t="str">
        <f>IF(tbl_sales[[#This Row],[Sales]]&gt;=500,"High Value","Standard")</f>
        <v>High Value</v>
      </c>
      <c r="U111" s="1" t="str">
        <f>IF(tbl_sales[[#This Row],[Order Size]]="High Value","High Value Order","Standard Order")</f>
        <v>High Value Order</v>
      </c>
      <c r="V111" s="1"/>
      <c r="W111" s="17" t="s">
        <v>37</v>
      </c>
      <c r="X111" s="17"/>
      <c r="Y111" s="6"/>
      <c r="Z111" s="1" t="s">
        <v>37</v>
      </c>
    </row>
    <row r="112" spans="1:26">
      <c r="A112" s="3" t="s">
        <v>799</v>
      </c>
      <c r="B112" s="3" t="s">
        <v>115</v>
      </c>
      <c r="C112" s="3" t="s">
        <v>116</v>
      </c>
      <c r="D112" s="3" t="s">
        <v>24</v>
      </c>
      <c r="E112" s="3" t="s">
        <v>25</v>
      </c>
      <c r="F112" s="3" t="s">
        <v>72</v>
      </c>
      <c r="G112" s="2">
        <v>16.489999999999998</v>
      </c>
      <c r="H112" s="2">
        <v>2</v>
      </c>
      <c r="I112" s="2">
        <v>1.649</v>
      </c>
      <c r="J112" s="2">
        <v>34.628999999999998</v>
      </c>
      <c r="K112" s="5">
        <v>43501</v>
      </c>
      <c r="L112" s="4">
        <v>0.48055555555555557</v>
      </c>
      <c r="M112" s="3" t="s">
        <v>33</v>
      </c>
      <c r="N112" s="2">
        <v>32.979999999999997</v>
      </c>
      <c r="O112" s="2">
        <v>4.7619047620000003</v>
      </c>
      <c r="P112" s="2">
        <v>1.649</v>
      </c>
      <c r="Q112" s="2">
        <v>4.5999999999999996</v>
      </c>
      <c r="R112" s="3" t="str">
        <f t="shared" si="4"/>
        <v>February</v>
      </c>
      <c r="S112" s="3">
        <f t="shared" si="3"/>
        <v>2</v>
      </c>
      <c r="T112" s="3" t="str">
        <f>IF(tbl_sales[[#This Row],[Sales]]&gt;=500,"High Value","Standard")</f>
        <v>Standard</v>
      </c>
      <c r="U112" s="1" t="str">
        <f>IF(tbl_sales[[#This Row],[Order Size]]="High Value","High Value Order","Standard Order")</f>
        <v>Standard Order</v>
      </c>
      <c r="V112" s="1"/>
      <c r="W112" s="17" t="s">
        <v>37</v>
      </c>
      <c r="X112" s="17"/>
      <c r="Y112" s="6"/>
      <c r="Z112" s="1" t="s">
        <v>37</v>
      </c>
    </row>
    <row r="113" spans="1:26">
      <c r="A113" s="3" t="s">
        <v>806</v>
      </c>
      <c r="B113" s="3" t="s">
        <v>39</v>
      </c>
      <c r="C113" s="3" t="s">
        <v>40</v>
      </c>
      <c r="D113" s="3" t="s">
        <v>24</v>
      </c>
      <c r="E113" s="3" t="s">
        <v>25</v>
      </c>
      <c r="F113" s="3" t="s">
        <v>26</v>
      </c>
      <c r="G113" s="2">
        <v>98.21</v>
      </c>
      <c r="H113" s="2">
        <v>3</v>
      </c>
      <c r="I113" s="2">
        <v>14.7315</v>
      </c>
      <c r="J113" s="2">
        <v>309.36149999999998</v>
      </c>
      <c r="K113" s="5">
        <v>43501</v>
      </c>
      <c r="L113" s="4">
        <v>0.44513888888888886</v>
      </c>
      <c r="M113" s="3" t="s">
        <v>59</v>
      </c>
      <c r="N113" s="2">
        <v>294.63</v>
      </c>
      <c r="O113" s="2">
        <v>4.7619047620000003</v>
      </c>
      <c r="P113" s="2">
        <v>14.7315</v>
      </c>
      <c r="Q113" s="2">
        <v>7.8</v>
      </c>
      <c r="R113" s="3" t="str">
        <f t="shared" si="4"/>
        <v>February</v>
      </c>
      <c r="S113" s="3">
        <f t="shared" si="3"/>
        <v>2</v>
      </c>
      <c r="T113" s="3" t="str">
        <f>IF(tbl_sales[[#This Row],[Sales]]&gt;=500,"High Value","Standard")</f>
        <v>Standard</v>
      </c>
      <c r="U113" s="1" t="str">
        <f>IF(tbl_sales[[#This Row],[Order Size]]="High Value","High Value Order","Standard Order")</f>
        <v>Standard Order</v>
      </c>
      <c r="V113" s="1"/>
      <c r="W113" s="17" t="s">
        <v>37</v>
      </c>
      <c r="X113" s="17"/>
      <c r="Y113" s="6"/>
      <c r="Z113" s="1" t="s">
        <v>37</v>
      </c>
    </row>
    <row r="114" spans="1:26">
      <c r="A114" s="3" t="s">
        <v>813</v>
      </c>
      <c r="B114" s="3" t="s">
        <v>115</v>
      </c>
      <c r="C114" s="3" t="s">
        <v>116</v>
      </c>
      <c r="D114" s="3" t="s">
        <v>24</v>
      </c>
      <c r="E114" s="3" t="s">
        <v>25</v>
      </c>
      <c r="F114" s="3" t="s">
        <v>127</v>
      </c>
      <c r="G114" s="2">
        <v>72.84</v>
      </c>
      <c r="H114" s="2">
        <v>7</v>
      </c>
      <c r="I114" s="2">
        <v>25.494</v>
      </c>
      <c r="J114" s="2">
        <v>535.37400000000002</v>
      </c>
      <c r="K114" s="5">
        <v>43511</v>
      </c>
      <c r="L114" s="4">
        <v>0.53055555555555556</v>
      </c>
      <c r="M114" s="3" t="s">
        <v>49</v>
      </c>
      <c r="N114" s="2">
        <v>509.88</v>
      </c>
      <c r="O114" s="2">
        <v>4.7619047620000003</v>
      </c>
      <c r="P114" s="2">
        <v>25.494</v>
      </c>
      <c r="Q114" s="2">
        <v>8.4</v>
      </c>
      <c r="R114" s="3" t="str">
        <f t="shared" si="4"/>
        <v>February</v>
      </c>
      <c r="S114" s="3">
        <f t="shared" si="3"/>
        <v>2</v>
      </c>
      <c r="T114" s="3" t="str">
        <f>IF(tbl_sales[[#This Row],[Sales]]&gt;=500,"High Value","Standard")</f>
        <v>High Value</v>
      </c>
      <c r="U114" s="1" t="str">
        <f>IF(tbl_sales[[#This Row],[Order Size]]="High Value","High Value Order","Standard Order")</f>
        <v>High Value Order</v>
      </c>
      <c r="V114" s="1"/>
      <c r="W114" s="17" t="s">
        <v>37</v>
      </c>
      <c r="X114" s="17"/>
      <c r="Y114" s="6"/>
      <c r="Z114" s="1" t="s">
        <v>37</v>
      </c>
    </row>
    <row r="115" spans="1:26">
      <c r="A115" s="3" t="s">
        <v>819</v>
      </c>
      <c r="B115" s="3" t="s">
        <v>22</v>
      </c>
      <c r="C115" s="3" t="s">
        <v>23</v>
      </c>
      <c r="D115" s="3" t="s">
        <v>24</v>
      </c>
      <c r="E115" s="3" t="s">
        <v>25</v>
      </c>
      <c r="F115" s="3" t="s">
        <v>53</v>
      </c>
      <c r="G115" s="2">
        <v>58.07</v>
      </c>
      <c r="H115" s="2">
        <v>9</v>
      </c>
      <c r="I115" s="2">
        <v>26.131499999999999</v>
      </c>
      <c r="J115" s="2">
        <v>548.76149999999996</v>
      </c>
      <c r="K115" s="5">
        <v>43484</v>
      </c>
      <c r="L115" s="4">
        <v>0.83819444444444446</v>
      </c>
      <c r="M115" s="3" t="s">
        <v>33</v>
      </c>
      <c r="N115" s="2">
        <v>522.63</v>
      </c>
      <c r="O115" s="2">
        <v>4.7619047620000003</v>
      </c>
      <c r="P115" s="2">
        <v>26.131499999999999</v>
      </c>
      <c r="Q115" s="2">
        <v>4.3</v>
      </c>
      <c r="R115" s="3" t="str">
        <f t="shared" si="4"/>
        <v>January</v>
      </c>
      <c r="S115" s="3">
        <f t="shared" si="3"/>
        <v>1</v>
      </c>
      <c r="T115" s="3" t="str">
        <f>IF(tbl_sales[[#This Row],[Sales]]&gt;=500,"High Value","Standard")</f>
        <v>High Value</v>
      </c>
      <c r="U115" s="1" t="str">
        <f>IF(tbl_sales[[#This Row],[Order Size]]="High Value","High Value Order","Standard Order")</f>
        <v>High Value Order</v>
      </c>
      <c r="V115" s="1"/>
      <c r="W115" s="17" t="s">
        <v>37</v>
      </c>
      <c r="X115" s="17"/>
      <c r="Y115" s="6"/>
      <c r="Z115" s="1" t="s">
        <v>37</v>
      </c>
    </row>
    <row r="116" spans="1:26">
      <c r="A116" s="3" t="s">
        <v>826</v>
      </c>
      <c r="B116" s="3" t="s">
        <v>39</v>
      </c>
      <c r="C116" s="3" t="s">
        <v>40</v>
      </c>
      <c r="D116" s="3" t="s">
        <v>24</v>
      </c>
      <c r="E116" s="3" t="s">
        <v>25</v>
      </c>
      <c r="F116" s="3" t="s">
        <v>53</v>
      </c>
      <c r="G116" s="2">
        <v>80.790000000000006</v>
      </c>
      <c r="H116" s="2">
        <v>9</v>
      </c>
      <c r="I116" s="2">
        <v>36.355499999999999</v>
      </c>
      <c r="J116" s="2">
        <v>763.46550000000002</v>
      </c>
      <c r="K116" s="5">
        <v>43497</v>
      </c>
      <c r="L116" s="4">
        <v>0.85486111111111107</v>
      </c>
      <c r="M116" s="3" t="s">
        <v>59</v>
      </c>
      <c r="N116" s="2">
        <v>727.11</v>
      </c>
      <c r="O116" s="2">
        <v>4.7619047620000003</v>
      </c>
      <c r="P116" s="2">
        <v>36.355499999999999</v>
      </c>
      <c r="Q116" s="2">
        <v>9.5</v>
      </c>
      <c r="R116" s="3" t="str">
        <f t="shared" si="4"/>
        <v>February</v>
      </c>
      <c r="S116" s="3">
        <f t="shared" si="3"/>
        <v>2</v>
      </c>
      <c r="T116" s="3" t="str">
        <f>IF(tbl_sales[[#This Row],[Sales]]&gt;=500,"High Value","Standard")</f>
        <v>High Value</v>
      </c>
      <c r="U116" s="1" t="str">
        <f>IF(tbl_sales[[#This Row],[Order Size]]="High Value","High Value Order","Standard Order")</f>
        <v>High Value Order</v>
      </c>
      <c r="V116" s="1"/>
      <c r="W116" s="17" t="s">
        <v>37</v>
      </c>
      <c r="X116" s="17"/>
      <c r="Y116" s="6"/>
      <c r="Z116" s="1" t="s">
        <v>37</v>
      </c>
    </row>
    <row r="117" spans="1:26">
      <c r="A117" s="3" t="s">
        <v>832</v>
      </c>
      <c r="B117" s="3" t="s">
        <v>39</v>
      </c>
      <c r="C117" s="3" t="s">
        <v>40</v>
      </c>
      <c r="D117" s="3" t="s">
        <v>24</v>
      </c>
      <c r="E117" s="3" t="s">
        <v>25</v>
      </c>
      <c r="F117" s="3" t="s">
        <v>127</v>
      </c>
      <c r="G117" s="2">
        <v>27.02</v>
      </c>
      <c r="H117" s="2">
        <v>3</v>
      </c>
      <c r="I117" s="2">
        <v>4.0529999999999999</v>
      </c>
      <c r="J117" s="2">
        <v>85.113</v>
      </c>
      <c r="K117" s="5">
        <v>43526</v>
      </c>
      <c r="L117" s="4">
        <v>0.54236111111111107</v>
      </c>
      <c r="M117" s="3" t="s">
        <v>59</v>
      </c>
      <c r="N117" s="2">
        <v>81.06</v>
      </c>
      <c r="O117" s="2">
        <v>4.7619047620000003</v>
      </c>
      <c r="P117" s="2">
        <v>4.0529999999999999</v>
      </c>
      <c r="Q117" s="2">
        <v>7.1</v>
      </c>
      <c r="R117" s="3" t="str">
        <f t="shared" si="4"/>
        <v>March</v>
      </c>
      <c r="S117" s="3">
        <f t="shared" si="3"/>
        <v>3</v>
      </c>
      <c r="T117" s="3" t="str">
        <f>IF(tbl_sales[[#This Row],[Sales]]&gt;=500,"High Value","Standard")</f>
        <v>Standard</v>
      </c>
      <c r="U117" s="1" t="str">
        <f>IF(tbl_sales[[#This Row],[Order Size]]="High Value","High Value Order","Standard Order")</f>
        <v>Standard Order</v>
      </c>
      <c r="V117" s="1"/>
      <c r="W117" s="17" t="s">
        <v>37</v>
      </c>
      <c r="X117" s="17"/>
      <c r="Y117" s="6"/>
      <c r="Z117" s="1" t="s">
        <v>37</v>
      </c>
    </row>
    <row r="118" spans="1:26">
      <c r="A118" s="3" t="s">
        <v>837</v>
      </c>
      <c r="B118" s="3" t="s">
        <v>115</v>
      </c>
      <c r="C118" s="3" t="s">
        <v>116</v>
      </c>
      <c r="D118" s="3" t="s">
        <v>24</v>
      </c>
      <c r="E118" s="3" t="s">
        <v>25</v>
      </c>
      <c r="F118" s="3" t="s">
        <v>127</v>
      </c>
      <c r="G118" s="2">
        <v>21.94</v>
      </c>
      <c r="H118" s="2">
        <v>5</v>
      </c>
      <c r="I118" s="2">
        <v>5.4850000000000003</v>
      </c>
      <c r="J118" s="2">
        <v>115.185</v>
      </c>
      <c r="K118" s="5">
        <v>43529</v>
      </c>
      <c r="L118" s="4">
        <v>0.52013888888888893</v>
      </c>
      <c r="M118" s="3" t="s">
        <v>33</v>
      </c>
      <c r="N118" s="2">
        <v>109.7</v>
      </c>
      <c r="O118" s="2">
        <v>4.7619047620000003</v>
      </c>
      <c r="P118" s="2">
        <v>5.4850000000000003</v>
      </c>
      <c r="Q118" s="2">
        <v>5.3</v>
      </c>
      <c r="R118" s="3" t="str">
        <f t="shared" si="4"/>
        <v>March</v>
      </c>
      <c r="S118" s="3">
        <f t="shared" si="3"/>
        <v>3</v>
      </c>
      <c r="T118" s="3" t="str">
        <f>IF(tbl_sales[[#This Row],[Sales]]&gt;=500,"High Value","Standard")</f>
        <v>Standard</v>
      </c>
      <c r="U118" s="1" t="str">
        <f>IF(tbl_sales[[#This Row],[Order Size]]="High Value","High Value Order","Standard Order")</f>
        <v>Standard Order</v>
      </c>
      <c r="V118" s="1"/>
      <c r="W118" s="17" t="s">
        <v>37</v>
      </c>
      <c r="X118" s="17"/>
      <c r="Y118" s="6"/>
      <c r="Z118" s="1" t="s">
        <v>37</v>
      </c>
    </row>
    <row r="119" spans="1:26">
      <c r="A119" s="3" t="s">
        <v>843</v>
      </c>
      <c r="B119" s="3" t="s">
        <v>115</v>
      </c>
      <c r="C119" s="3" t="s">
        <v>116</v>
      </c>
      <c r="D119" s="3" t="s">
        <v>24</v>
      </c>
      <c r="E119" s="3" t="s">
        <v>25</v>
      </c>
      <c r="F119" s="3" t="s">
        <v>127</v>
      </c>
      <c r="G119" s="2">
        <v>51.36</v>
      </c>
      <c r="H119" s="2">
        <v>1</v>
      </c>
      <c r="I119" s="2">
        <v>2.5680000000000001</v>
      </c>
      <c r="J119" s="2">
        <v>53.927999999999997</v>
      </c>
      <c r="K119" s="5">
        <v>43481</v>
      </c>
      <c r="L119" s="4">
        <v>0.6430555555555556</v>
      </c>
      <c r="M119" s="3" t="s">
        <v>33</v>
      </c>
      <c r="N119" s="2">
        <v>51.36</v>
      </c>
      <c r="O119" s="2">
        <v>4.7619047620000003</v>
      </c>
      <c r="P119" s="2">
        <v>2.5680000000000001</v>
      </c>
      <c r="Q119" s="2">
        <v>5.2</v>
      </c>
      <c r="R119" s="3" t="str">
        <f t="shared" si="4"/>
        <v>January</v>
      </c>
      <c r="S119" s="3">
        <f t="shared" si="3"/>
        <v>1</v>
      </c>
      <c r="T119" s="3" t="str">
        <f>IF(tbl_sales[[#This Row],[Sales]]&gt;=500,"High Value","Standard")</f>
        <v>Standard</v>
      </c>
      <c r="U119" s="1" t="str">
        <f>IF(tbl_sales[[#This Row],[Order Size]]="High Value","High Value Order","Standard Order")</f>
        <v>Standard Order</v>
      </c>
      <c r="V119" s="1"/>
      <c r="W119" s="17" t="s">
        <v>37</v>
      </c>
      <c r="X119" s="17"/>
      <c r="Y119" s="6"/>
      <c r="Z119" s="1" t="s">
        <v>37</v>
      </c>
    </row>
    <row r="120" spans="1:26">
      <c r="A120" s="3" t="s">
        <v>850</v>
      </c>
      <c r="B120" s="3" t="s">
        <v>22</v>
      </c>
      <c r="C120" s="3" t="s">
        <v>23</v>
      </c>
      <c r="D120" s="3" t="s">
        <v>24</v>
      </c>
      <c r="E120" s="3" t="s">
        <v>25</v>
      </c>
      <c r="F120" s="3" t="s">
        <v>117</v>
      </c>
      <c r="G120" s="2">
        <v>10.96</v>
      </c>
      <c r="H120" s="2">
        <v>10</v>
      </c>
      <c r="I120" s="2">
        <v>5.48</v>
      </c>
      <c r="J120" s="2">
        <v>115.08</v>
      </c>
      <c r="K120" s="5">
        <v>43498</v>
      </c>
      <c r="L120" s="4">
        <v>0.8666666666666667</v>
      </c>
      <c r="M120" s="3" t="s">
        <v>33</v>
      </c>
      <c r="N120" s="2">
        <v>109.6</v>
      </c>
      <c r="O120" s="2">
        <v>4.7619047620000003</v>
      </c>
      <c r="P120" s="2">
        <v>5.48</v>
      </c>
      <c r="Q120" s="2">
        <v>6</v>
      </c>
      <c r="R120" s="3" t="str">
        <f t="shared" si="4"/>
        <v>February</v>
      </c>
      <c r="S120" s="3">
        <f t="shared" si="3"/>
        <v>2</v>
      </c>
      <c r="T120" s="3" t="str">
        <f>IF(tbl_sales[[#This Row],[Sales]]&gt;=500,"High Value","Standard")</f>
        <v>Standard</v>
      </c>
      <c r="U120" s="1" t="str">
        <f>IF(tbl_sales[[#This Row],[Order Size]]="High Value","High Value Order","Standard Order")</f>
        <v>Standard Order</v>
      </c>
      <c r="V120" s="1"/>
      <c r="W120" s="17" t="s">
        <v>37</v>
      </c>
      <c r="X120" s="17"/>
      <c r="Y120" s="6"/>
      <c r="Z120" s="1" t="s">
        <v>37</v>
      </c>
    </row>
    <row r="121" spans="1:26">
      <c r="A121" s="3" t="s">
        <v>856</v>
      </c>
      <c r="B121" s="3" t="s">
        <v>115</v>
      </c>
      <c r="C121" s="3" t="s">
        <v>116</v>
      </c>
      <c r="D121" s="3" t="s">
        <v>24</v>
      </c>
      <c r="E121" s="3" t="s">
        <v>25</v>
      </c>
      <c r="F121" s="3" t="s">
        <v>53</v>
      </c>
      <c r="G121" s="2">
        <v>53.44</v>
      </c>
      <c r="H121" s="2">
        <v>2</v>
      </c>
      <c r="I121" s="2">
        <v>5.3440000000000003</v>
      </c>
      <c r="J121" s="2">
        <v>112.224</v>
      </c>
      <c r="K121" s="5">
        <v>43485</v>
      </c>
      <c r="L121" s="4">
        <v>0.85972222222222228</v>
      </c>
      <c r="M121" s="3" t="s">
        <v>33</v>
      </c>
      <c r="N121" s="2">
        <v>106.88</v>
      </c>
      <c r="O121" s="2">
        <v>4.7619047620000003</v>
      </c>
      <c r="P121" s="2">
        <v>5.3440000000000003</v>
      </c>
      <c r="Q121" s="2">
        <v>4.0999999999999996</v>
      </c>
      <c r="R121" s="3" t="str">
        <f t="shared" si="4"/>
        <v>January</v>
      </c>
      <c r="S121" s="3">
        <f t="shared" si="3"/>
        <v>1</v>
      </c>
      <c r="T121" s="3" t="str">
        <f>IF(tbl_sales[[#This Row],[Sales]]&gt;=500,"High Value","Standard")</f>
        <v>Standard</v>
      </c>
      <c r="U121" s="1" t="str">
        <f>IF(tbl_sales[[#This Row],[Order Size]]="High Value","High Value Order","Standard Order")</f>
        <v>Standard Order</v>
      </c>
      <c r="V121" s="1"/>
      <c r="W121" s="17" t="s">
        <v>37</v>
      </c>
      <c r="X121" s="17"/>
      <c r="Y121" s="6"/>
      <c r="Z121" s="1" t="s">
        <v>37</v>
      </c>
    </row>
    <row r="122" spans="1:26">
      <c r="A122" s="3" t="s">
        <v>861</v>
      </c>
      <c r="B122" s="3" t="s">
        <v>22</v>
      </c>
      <c r="C122" s="3" t="s">
        <v>23</v>
      </c>
      <c r="D122" s="3" t="s">
        <v>24</v>
      </c>
      <c r="E122" s="3" t="s">
        <v>25</v>
      </c>
      <c r="F122" s="3" t="s">
        <v>42</v>
      </c>
      <c r="G122" s="2">
        <v>99.56</v>
      </c>
      <c r="H122" s="2">
        <v>8</v>
      </c>
      <c r="I122" s="2">
        <v>39.823999999999998</v>
      </c>
      <c r="J122" s="2">
        <v>836.30399999999997</v>
      </c>
      <c r="K122" s="5">
        <v>43510</v>
      </c>
      <c r="L122" s="4">
        <v>0.7104166666666667</v>
      </c>
      <c r="M122" s="3" t="s">
        <v>59</v>
      </c>
      <c r="N122" s="2">
        <v>796.48</v>
      </c>
      <c r="O122" s="2">
        <v>4.7619047620000003</v>
      </c>
      <c r="P122" s="2">
        <v>39.823999999999998</v>
      </c>
      <c r="Q122" s="2">
        <v>5.2</v>
      </c>
      <c r="R122" s="3" t="str">
        <f t="shared" si="4"/>
        <v>February</v>
      </c>
      <c r="S122" s="3">
        <f t="shared" si="3"/>
        <v>2</v>
      </c>
      <c r="T122" s="3" t="str">
        <f>IF(tbl_sales[[#This Row],[Sales]]&gt;=500,"High Value","Standard")</f>
        <v>High Value</v>
      </c>
      <c r="U122" s="1" t="str">
        <f>IF(tbl_sales[[#This Row],[Order Size]]="High Value","High Value Order","Standard Order")</f>
        <v>High Value Order</v>
      </c>
      <c r="V122" s="1"/>
      <c r="W122" s="17" t="s">
        <v>37</v>
      </c>
      <c r="X122" s="17"/>
      <c r="Y122" s="6"/>
      <c r="Z122" s="1" t="s">
        <v>37</v>
      </c>
    </row>
    <row r="123" spans="1:26">
      <c r="A123" s="3" t="s">
        <v>866</v>
      </c>
      <c r="B123" s="3" t="s">
        <v>39</v>
      </c>
      <c r="C123" s="3" t="s">
        <v>40</v>
      </c>
      <c r="D123" s="3" t="s">
        <v>24</v>
      </c>
      <c r="E123" s="3" t="s">
        <v>25</v>
      </c>
      <c r="F123" s="3" t="s">
        <v>72</v>
      </c>
      <c r="G123" s="2">
        <v>57.12</v>
      </c>
      <c r="H123" s="2">
        <v>7</v>
      </c>
      <c r="I123" s="2">
        <v>19.992000000000001</v>
      </c>
      <c r="J123" s="2">
        <v>419.83199999999999</v>
      </c>
      <c r="K123" s="5">
        <v>43477</v>
      </c>
      <c r="L123" s="4">
        <v>0.50138888888888888</v>
      </c>
      <c r="M123" s="3" t="s">
        <v>59</v>
      </c>
      <c r="N123" s="2">
        <v>399.84</v>
      </c>
      <c r="O123" s="2">
        <v>4.7619047620000003</v>
      </c>
      <c r="P123" s="2">
        <v>19.992000000000001</v>
      </c>
      <c r="Q123" s="2">
        <v>6.5</v>
      </c>
      <c r="R123" s="3" t="str">
        <f t="shared" si="4"/>
        <v>January</v>
      </c>
      <c r="S123" s="3">
        <f t="shared" si="3"/>
        <v>1</v>
      </c>
      <c r="T123" s="3" t="str">
        <f>IF(tbl_sales[[#This Row],[Sales]]&gt;=500,"High Value","Standard")</f>
        <v>Standard</v>
      </c>
      <c r="U123" s="1" t="str">
        <f>IF(tbl_sales[[#This Row],[Order Size]]="High Value","High Value Order","Standard Order")</f>
        <v>Standard Order</v>
      </c>
      <c r="V123" s="1"/>
      <c r="W123" s="17" t="s">
        <v>37</v>
      </c>
      <c r="X123" s="17"/>
      <c r="Y123" s="6"/>
      <c r="Z123" s="1" t="s">
        <v>37</v>
      </c>
    </row>
    <row r="124" spans="1:26">
      <c r="A124" s="3" t="s">
        <v>872</v>
      </c>
      <c r="B124" s="3" t="s">
        <v>115</v>
      </c>
      <c r="C124" s="3" t="s">
        <v>116</v>
      </c>
      <c r="D124" s="3" t="s">
        <v>24</v>
      </c>
      <c r="E124" s="3" t="s">
        <v>25</v>
      </c>
      <c r="F124" s="3" t="s">
        <v>72</v>
      </c>
      <c r="G124" s="2">
        <v>99.96</v>
      </c>
      <c r="H124" s="2">
        <v>9</v>
      </c>
      <c r="I124" s="2">
        <v>44.981999999999999</v>
      </c>
      <c r="J124" s="2">
        <v>944.62199999999996</v>
      </c>
      <c r="K124" s="5">
        <v>43533</v>
      </c>
      <c r="L124" s="4">
        <v>0.72638888888888886</v>
      </c>
      <c r="M124" s="3" t="s">
        <v>59</v>
      </c>
      <c r="N124" s="2">
        <v>899.64</v>
      </c>
      <c r="O124" s="2">
        <v>4.7619047620000003</v>
      </c>
      <c r="P124" s="2">
        <v>44.981999999999999</v>
      </c>
      <c r="Q124" s="2">
        <v>4.2</v>
      </c>
      <c r="R124" s="3" t="str">
        <f t="shared" si="4"/>
        <v>March</v>
      </c>
      <c r="S124" s="3">
        <f t="shared" si="3"/>
        <v>3</v>
      </c>
      <c r="T124" s="3" t="str">
        <f>IF(tbl_sales[[#This Row],[Sales]]&gt;=500,"High Value","Standard")</f>
        <v>High Value</v>
      </c>
      <c r="U124" s="1" t="str">
        <f>IF(tbl_sales[[#This Row],[Order Size]]="High Value","High Value Order","Standard Order")</f>
        <v>High Value Order</v>
      </c>
      <c r="V124" s="1"/>
      <c r="W124" s="17" t="s">
        <v>37</v>
      </c>
      <c r="X124" s="17"/>
      <c r="Y124" s="6"/>
      <c r="Z124" s="1" t="s">
        <v>37</v>
      </c>
    </row>
    <row r="125" spans="1:26">
      <c r="A125" s="3" t="s">
        <v>878</v>
      </c>
      <c r="B125" s="3" t="s">
        <v>39</v>
      </c>
      <c r="C125" s="3" t="s">
        <v>40</v>
      </c>
      <c r="D125" s="3" t="s">
        <v>24</v>
      </c>
      <c r="E125" s="3" t="s">
        <v>25</v>
      </c>
      <c r="F125" s="3" t="s">
        <v>53</v>
      </c>
      <c r="G125" s="2">
        <v>63.91</v>
      </c>
      <c r="H125" s="2">
        <v>8</v>
      </c>
      <c r="I125" s="2">
        <v>25.564</v>
      </c>
      <c r="J125" s="2">
        <v>536.84400000000005</v>
      </c>
      <c r="K125" s="5">
        <v>43537</v>
      </c>
      <c r="L125" s="4">
        <v>0.82777777777777772</v>
      </c>
      <c r="M125" s="3" t="s">
        <v>59</v>
      </c>
      <c r="N125" s="2">
        <v>511.28</v>
      </c>
      <c r="O125" s="2">
        <v>4.7619047620000003</v>
      </c>
      <c r="P125" s="2">
        <v>25.564</v>
      </c>
      <c r="Q125" s="2">
        <v>4.5999999999999996</v>
      </c>
      <c r="R125" s="3" t="str">
        <f t="shared" si="4"/>
        <v>March</v>
      </c>
      <c r="S125" s="3">
        <f t="shared" si="3"/>
        <v>3</v>
      </c>
      <c r="T125" s="3" t="str">
        <f>IF(tbl_sales[[#This Row],[Sales]]&gt;=500,"High Value","Standard")</f>
        <v>High Value</v>
      </c>
      <c r="U125" s="1" t="str">
        <f>IF(tbl_sales[[#This Row],[Order Size]]="High Value","High Value Order","Standard Order")</f>
        <v>High Value Order</v>
      </c>
      <c r="V125" s="1"/>
      <c r="W125" s="17" t="s">
        <v>37</v>
      </c>
      <c r="X125" s="17"/>
      <c r="Y125" s="6"/>
      <c r="Z125" s="1" t="s">
        <v>37</v>
      </c>
    </row>
    <row r="126" spans="1:26">
      <c r="A126" s="3" t="s">
        <v>884</v>
      </c>
      <c r="B126" s="3" t="s">
        <v>115</v>
      </c>
      <c r="C126" s="3" t="s">
        <v>116</v>
      </c>
      <c r="D126" s="3" t="s">
        <v>24</v>
      </c>
      <c r="E126" s="3" t="s">
        <v>25</v>
      </c>
      <c r="F126" s="3" t="s">
        <v>127</v>
      </c>
      <c r="G126" s="2">
        <v>56.47</v>
      </c>
      <c r="H126" s="2">
        <v>8</v>
      </c>
      <c r="I126" s="2">
        <v>22.588000000000001</v>
      </c>
      <c r="J126" s="2">
        <v>474.34800000000001</v>
      </c>
      <c r="K126" s="5">
        <v>43533</v>
      </c>
      <c r="L126" s="4">
        <v>0.62291666666666667</v>
      </c>
      <c r="M126" s="3" t="s">
        <v>33</v>
      </c>
      <c r="N126" s="2">
        <v>451.76</v>
      </c>
      <c r="O126" s="2">
        <v>4.7619047620000003</v>
      </c>
      <c r="P126" s="2">
        <v>22.588000000000001</v>
      </c>
      <c r="Q126" s="2">
        <v>7.3</v>
      </c>
      <c r="R126" s="3" t="str">
        <f t="shared" si="4"/>
        <v>March</v>
      </c>
      <c r="S126" s="3">
        <f t="shared" si="3"/>
        <v>3</v>
      </c>
      <c r="T126" s="3" t="str">
        <f>IF(tbl_sales[[#This Row],[Sales]]&gt;=500,"High Value","Standard")</f>
        <v>Standard</v>
      </c>
      <c r="U126" s="1" t="str">
        <f>IF(tbl_sales[[#This Row],[Order Size]]="High Value","High Value Order","Standard Order")</f>
        <v>Standard Order</v>
      </c>
      <c r="V126" s="1"/>
      <c r="W126" s="17" t="s">
        <v>37</v>
      </c>
      <c r="X126" s="17"/>
      <c r="Y126" s="6"/>
      <c r="Z126" s="1" t="s">
        <v>37</v>
      </c>
    </row>
    <row r="127" spans="1:26">
      <c r="A127" s="3" t="s">
        <v>890</v>
      </c>
      <c r="B127" s="3" t="s">
        <v>22</v>
      </c>
      <c r="C127" s="3" t="s">
        <v>23</v>
      </c>
      <c r="D127" s="3" t="s">
        <v>24</v>
      </c>
      <c r="E127" s="3" t="s">
        <v>25</v>
      </c>
      <c r="F127" s="3" t="s">
        <v>53</v>
      </c>
      <c r="G127" s="2">
        <v>93.69</v>
      </c>
      <c r="H127" s="2">
        <v>7</v>
      </c>
      <c r="I127" s="2">
        <v>32.791499999999999</v>
      </c>
      <c r="J127" s="2">
        <v>688.62149999999997</v>
      </c>
      <c r="K127" s="5">
        <v>43534</v>
      </c>
      <c r="L127" s="4">
        <v>0.78055555555555556</v>
      </c>
      <c r="M127" s="3" t="s">
        <v>59</v>
      </c>
      <c r="N127" s="2">
        <v>655.83</v>
      </c>
      <c r="O127" s="2">
        <v>4.7619047620000003</v>
      </c>
      <c r="P127" s="2">
        <v>32.791499999999999</v>
      </c>
      <c r="Q127" s="2">
        <v>4.5</v>
      </c>
      <c r="R127" s="3" t="str">
        <f t="shared" si="4"/>
        <v>March</v>
      </c>
      <c r="S127" s="3">
        <f t="shared" si="3"/>
        <v>3</v>
      </c>
      <c r="T127" s="3" t="str">
        <f>IF(tbl_sales[[#This Row],[Sales]]&gt;=500,"High Value","Standard")</f>
        <v>High Value</v>
      </c>
      <c r="U127" s="1" t="str">
        <f>IF(tbl_sales[[#This Row],[Order Size]]="High Value","High Value Order","Standard Order")</f>
        <v>High Value Order</v>
      </c>
      <c r="V127" s="1"/>
      <c r="W127" s="17" t="s">
        <v>37</v>
      </c>
      <c r="X127" s="17"/>
      <c r="Y127" s="6"/>
      <c r="Z127" s="1" t="s">
        <v>37</v>
      </c>
    </row>
    <row r="128" spans="1:26">
      <c r="A128" s="3" t="s">
        <v>896</v>
      </c>
      <c r="B128" s="3" t="s">
        <v>22</v>
      </c>
      <c r="C128" s="3" t="s">
        <v>23</v>
      </c>
      <c r="D128" s="3" t="s">
        <v>24</v>
      </c>
      <c r="E128" s="3" t="s">
        <v>25</v>
      </c>
      <c r="F128" s="3" t="s">
        <v>72</v>
      </c>
      <c r="G128" s="2">
        <v>32.25</v>
      </c>
      <c r="H128" s="2">
        <v>5</v>
      </c>
      <c r="I128" s="2">
        <v>8.0625</v>
      </c>
      <c r="J128" s="2">
        <v>169.3125</v>
      </c>
      <c r="K128" s="5">
        <v>43492</v>
      </c>
      <c r="L128" s="4">
        <v>0.55972222222222223</v>
      </c>
      <c r="M128" s="3" t="s">
        <v>49</v>
      </c>
      <c r="N128" s="2">
        <v>161.25</v>
      </c>
      <c r="O128" s="2">
        <v>4.7619047620000003</v>
      </c>
      <c r="P128" s="2">
        <v>8.0625</v>
      </c>
      <c r="Q128" s="2">
        <v>9</v>
      </c>
      <c r="R128" s="3" t="str">
        <f t="shared" si="4"/>
        <v>January</v>
      </c>
      <c r="S128" s="3">
        <f t="shared" si="3"/>
        <v>1</v>
      </c>
      <c r="T128" s="3" t="str">
        <f>IF(tbl_sales[[#This Row],[Sales]]&gt;=500,"High Value","Standard")</f>
        <v>Standard</v>
      </c>
      <c r="U128" s="1" t="str">
        <f>IF(tbl_sales[[#This Row],[Order Size]]="High Value","High Value Order","Standard Order")</f>
        <v>Standard Order</v>
      </c>
      <c r="V128" s="1"/>
      <c r="W128" s="17" t="s">
        <v>37</v>
      </c>
      <c r="X128" s="17"/>
      <c r="Y128" s="6"/>
      <c r="Z128" s="1" t="s">
        <v>37</v>
      </c>
    </row>
    <row r="129" spans="1:26">
      <c r="A129" s="3" t="s">
        <v>902</v>
      </c>
      <c r="B129" s="3" t="s">
        <v>39</v>
      </c>
      <c r="C129" s="3" t="s">
        <v>40</v>
      </c>
      <c r="D129" s="3" t="s">
        <v>24</v>
      </c>
      <c r="E129" s="3" t="s">
        <v>25</v>
      </c>
      <c r="F129" s="3" t="s">
        <v>127</v>
      </c>
      <c r="G129" s="2">
        <v>31.73</v>
      </c>
      <c r="H129" s="2">
        <v>9</v>
      </c>
      <c r="I129" s="2">
        <v>14.278499999999999</v>
      </c>
      <c r="J129" s="2">
        <v>299.8485</v>
      </c>
      <c r="K129" s="5">
        <v>43473</v>
      </c>
      <c r="L129" s="4">
        <v>0.67847222222222225</v>
      </c>
      <c r="M129" s="3" t="s">
        <v>59</v>
      </c>
      <c r="N129" s="2">
        <v>285.57</v>
      </c>
      <c r="O129" s="2">
        <v>4.7619047620000003</v>
      </c>
      <c r="P129" s="2">
        <v>14.278499999999999</v>
      </c>
      <c r="Q129" s="2">
        <v>5.9</v>
      </c>
      <c r="R129" s="3" t="str">
        <f t="shared" si="4"/>
        <v>January</v>
      </c>
      <c r="S129" s="3">
        <f t="shared" si="3"/>
        <v>1</v>
      </c>
      <c r="T129" s="3" t="str">
        <f>IF(tbl_sales[[#This Row],[Sales]]&gt;=500,"High Value","Standard")</f>
        <v>Standard</v>
      </c>
      <c r="U129" s="1" t="str">
        <f>IF(tbl_sales[[#This Row],[Order Size]]="High Value","High Value Order","Standard Order")</f>
        <v>Standard Order</v>
      </c>
      <c r="V129" s="1"/>
      <c r="W129" s="17" t="s">
        <v>37</v>
      </c>
      <c r="X129" s="17"/>
      <c r="Y129" s="6"/>
      <c r="Z129" s="1" t="s">
        <v>37</v>
      </c>
    </row>
    <row r="130" spans="1:26">
      <c r="A130" s="3" t="s">
        <v>909</v>
      </c>
      <c r="B130" s="3" t="s">
        <v>39</v>
      </c>
      <c r="C130" s="3" t="s">
        <v>40</v>
      </c>
      <c r="D130" s="3" t="s">
        <v>24</v>
      </c>
      <c r="E130" s="3" t="s">
        <v>25</v>
      </c>
      <c r="F130" s="3" t="s">
        <v>117</v>
      </c>
      <c r="G130" s="2">
        <v>68.540000000000006</v>
      </c>
      <c r="H130" s="2">
        <v>8</v>
      </c>
      <c r="I130" s="2">
        <v>27.416</v>
      </c>
      <c r="J130" s="2">
        <v>575.73599999999999</v>
      </c>
      <c r="K130" s="5">
        <v>43473</v>
      </c>
      <c r="L130" s="4">
        <v>0.6645833333333333</v>
      </c>
      <c r="M130" s="3" t="s">
        <v>33</v>
      </c>
      <c r="N130" s="2">
        <v>548.32000000000005</v>
      </c>
      <c r="O130" s="2">
        <v>4.7619047620000003</v>
      </c>
      <c r="P130" s="2">
        <v>27.416</v>
      </c>
      <c r="Q130" s="2">
        <v>8.5</v>
      </c>
      <c r="R130" s="3" t="str">
        <f t="shared" si="4"/>
        <v>January</v>
      </c>
      <c r="S130" s="3">
        <f t="shared" ref="S130:S193" si="5">MONTH(K130)</f>
        <v>1</v>
      </c>
      <c r="T130" s="3" t="str">
        <f>IF(tbl_sales[[#This Row],[Sales]]&gt;=500,"High Value","Standard")</f>
        <v>High Value</v>
      </c>
      <c r="U130" s="1" t="str">
        <f>IF(tbl_sales[[#This Row],[Order Size]]="High Value","High Value Order","Standard Order")</f>
        <v>High Value Order</v>
      </c>
      <c r="V130" s="1"/>
      <c r="W130" s="17" t="s">
        <v>37</v>
      </c>
      <c r="X130" s="17"/>
      <c r="Y130" s="6"/>
      <c r="Z130" s="1" t="s">
        <v>37</v>
      </c>
    </row>
    <row r="131" spans="1:26">
      <c r="A131" s="3" t="s">
        <v>915</v>
      </c>
      <c r="B131" s="3" t="s">
        <v>115</v>
      </c>
      <c r="C131" s="3" t="s">
        <v>116</v>
      </c>
      <c r="D131" s="3" t="s">
        <v>24</v>
      </c>
      <c r="E131" s="3" t="s">
        <v>25</v>
      </c>
      <c r="F131" s="3" t="s">
        <v>72</v>
      </c>
      <c r="G131" s="2">
        <v>90.28</v>
      </c>
      <c r="H131" s="2">
        <v>9</v>
      </c>
      <c r="I131" s="2">
        <v>40.625999999999998</v>
      </c>
      <c r="J131" s="2">
        <v>853.14599999999996</v>
      </c>
      <c r="K131" s="5">
        <v>43504</v>
      </c>
      <c r="L131" s="4">
        <v>0.46875</v>
      </c>
      <c r="M131" s="3" t="s">
        <v>33</v>
      </c>
      <c r="N131" s="2">
        <v>812.52</v>
      </c>
      <c r="O131" s="2">
        <v>4.7619047620000003</v>
      </c>
      <c r="P131" s="2">
        <v>40.625999999999998</v>
      </c>
      <c r="Q131" s="2">
        <v>7.2</v>
      </c>
      <c r="R131" s="3" t="str">
        <f t="shared" ref="R131:R194" si="6">TEXT(K131,"mmmm")</f>
        <v>February</v>
      </c>
      <c r="S131" s="3">
        <f t="shared" si="5"/>
        <v>2</v>
      </c>
      <c r="T131" s="3" t="str">
        <f>IF(tbl_sales[[#This Row],[Sales]]&gt;=500,"High Value","Standard")</f>
        <v>High Value</v>
      </c>
      <c r="U131" s="1" t="str">
        <f>IF(tbl_sales[[#This Row],[Order Size]]="High Value","High Value Order","Standard Order")</f>
        <v>High Value Order</v>
      </c>
      <c r="V131" s="1"/>
      <c r="W131" s="17" t="s">
        <v>37</v>
      </c>
      <c r="X131" s="17"/>
      <c r="Y131" s="6"/>
      <c r="Z131" s="1" t="s">
        <v>37</v>
      </c>
    </row>
    <row r="132" spans="1:26">
      <c r="A132" s="3" t="s">
        <v>920</v>
      </c>
      <c r="B132" s="3" t="s">
        <v>115</v>
      </c>
      <c r="C132" s="3" t="s">
        <v>116</v>
      </c>
      <c r="D132" s="3" t="s">
        <v>41</v>
      </c>
      <c r="E132" s="3" t="s">
        <v>25</v>
      </c>
      <c r="F132" s="3" t="s">
        <v>127</v>
      </c>
      <c r="G132" s="2">
        <v>39.619999999999997</v>
      </c>
      <c r="H132" s="2">
        <v>7</v>
      </c>
      <c r="I132" s="2">
        <v>13.867000000000001</v>
      </c>
      <c r="J132" s="2">
        <v>291.20699999999999</v>
      </c>
      <c r="K132" s="5">
        <v>43490</v>
      </c>
      <c r="L132" s="4">
        <v>0.5541666666666667</v>
      </c>
      <c r="M132" s="3" t="s">
        <v>49</v>
      </c>
      <c r="N132" s="2">
        <v>277.33999999999997</v>
      </c>
      <c r="O132" s="2">
        <v>4.7619047620000003</v>
      </c>
      <c r="P132" s="2">
        <v>13.867000000000001</v>
      </c>
      <c r="Q132" s="2">
        <v>7.5</v>
      </c>
      <c r="R132" s="3" t="str">
        <f t="shared" si="6"/>
        <v>January</v>
      </c>
      <c r="S132" s="3">
        <f t="shared" si="5"/>
        <v>1</v>
      </c>
      <c r="T132" s="3" t="str">
        <f>IF(tbl_sales[[#This Row],[Sales]]&gt;=500,"High Value","Standard")</f>
        <v>Standard</v>
      </c>
      <c r="U132" s="1" t="str">
        <f>IF(tbl_sales[[#This Row],[Order Size]]="High Value","High Value Order","Standard Order")</f>
        <v>Standard Order</v>
      </c>
      <c r="V132" s="1"/>
      <c r="W132" s="17" t="s">
        <v>37</v>
      </c>
      <c r="X132" s="17"/>
      <c r="Y132" s="6"/>
      <c r="Z132" s="1" t="s">
        <v>37</v>
      </c>
    </row>
    <row r="133" spans="1:26">
      <c r="A133" s="3" t="s">
        <v>926</v>
      </c>
      <c r="B133" s="3" t="s">
        <v>22</v>
      </c>
      <c r="C133" s="3" t="s">
        <v>23</v>
      </c>
      <c r="D133" s="3" t="s">
        <v>24</v>
      </c>
      <c r="E133" s="3" t="s">
        <v>25</v>
      </c>
      <c r="F133" s="3" t="s">
        <v>72</v>
      </c>
      <c r="G133" s="2">
        <v>92.13</v>
      </c>
      <c r="H133" s="2">
        <v>6</v>
      </c>
      <c r="I133" s="2">
        <v>27.638999999999999</v>
      </c>
      <c r="J133" s="2">
        <v>580.41899999999998</v>
      </c>
      <c r="K133" s="5">
        <v>43530</v>
      </c>
      <c r="L133" s="4">
        <v>0.8569444444444444</v>
      </c>
      <c r="M133" s="3" t="s">
        <v>49</v>
      </c>
      <c r="N133" s="2">
        <v>552.78</v>
      </c>
      <c r="O133" s="2">
        <v>4.7619047620000003</v>
      </c>
      <c r="P133" s="2">
        <v>27.638999999999999</v>
      </c>
      <c r="Q133" s="2">
        <v>8.3000000000000007</v>
      </c>
      <c r="R133" s="3" t="str">
        <f t="shared" si="6"/>
        <v>March</v>
      </c>
      <c r="S133" s="3">
        <f t="shared" si="5"/>
        <v>3</v>
      </c>
      <c r="T133" s="3" t="str">
        <f>IF(tbl_sales[[#This Row],[Sales]]&gt;=500,"High Value","Standard")</f>
        <v>High Value</v>
      </c>
      <c r="U133" s="1" t="str">
        <f>IF(tbl_sales[[#This Row],[Order Size]]="High Value","High Value Order","Standard Order")</f>
        <v>High Value Order</v>
      </c>
      <c r="V133" s="1"/>
      <c r="W133" s="17" t="s">
        <v>37</v>
      </c>
      <c r="X133" s="17"/>
      <c r="Y133" s="6"/>
      <c r="Z133" s="1" t="s">
        <v>37</v>
      </c>
    </row>
    <row r="134" spans="1:26">
      <c r="A134" s="3" t="s">
        <v>932</v>
      </c>
      <c r="B134" s="3" t="s">
        <v>115</v>
      </c>
      <c r="C134" s="3" t="s">
        <v>116</v>
      </c>
      <c r="D134" s="3" t="s">
        <v>41</v>
      </c>
      <c r="E134" s="3" t="s">
        <v>25</v>
      </c>
      <c r="F134" s="3" t="s">
        <v>72</v>
      </c>
      <c r="G134" s="2">
        <v>34.840000000000003</v>
      </c>
      <c r="H134" s="2">
        <v>4</v>
      </c>
      <c r="I134" s="2">
        <v>6.968</v>
      </c>
      <c r="J134" s="2">
        <v>146.328</v>
      </c>
      <c r="K134" s="5">
        <v>43506</v>
      </c>
      <c r="L134" s="4">
        <v>0.77500000000000002</v>
      </c>
      <c r="M134" s="3" t="s">
        <v>49</v>
      </c>
      <c r="N134" s="2">
        <v>139.36000000000001</v>
      </c>
      <c r="O134" s="2">
        <v>4.7619047620000003</v>
      </c>
      <c r="P134" s="2">
        <v>6.968</v>
      </c>
      <c r="Q134" s="2">
        <v>7.4</v>
      </c>
      <c r="R134" s="3" t="str">
        <f t="shared" si="6"/>
        <v>February</v>
      </c>
      <c r="S134" s="3">
        <f t="shared" si="5"/>
        <v>2</v>
      </c>
      <c r="T134" s="3" t="str">
        <f>IF(tbl_sales[[#This Row],[Sales]]&gt;=500,"High Value","Standard")</f>
        <v>Standard</v>
      </c>
      <c r="U134" s="1" t="str">
        <f>IF(tbl_sales[[#This Row],[Order Size]]="High Value","High Value Order","Standard Order")</f>
        <v>Standard Order</v>
      </c>
      <c r="V134" s="1"/>
      <c r="W134" s="17" t="s">
        <v>37</v>
      </c>
      <c r="X134" s="17"/>
      <c r="Y134" s="6"/>
      <c r="Z134" s="1" t="s">
        <v>37</v>
      </c>
    </row>
    <row r="135" spans="1:26">
      <c r="A135" s="3" t="s">
        <v>938</v>
      </c>
      <c r="B135" s="3" t="s">
        <v>115</v>
      </c>
      <c r="C135" s="3" t="s">
        <v>116</v>
      </c>
      <c r="D135" s="3" t="s">
        <v>24</v>
      </c>
      <c r="E135" s="3" t="s">
        <v>25</v>
      </c>
      <c r="F135" s="3" t="s">
        <v>42</v>
      </c>
      <c r="G135" s="2">
        <v>87.45</v>
      </c>
      <c r="H135" s="2">
        <v>6</v>
      </c>
      <c r="I135" s="2">
        <v>26.234999999999999</v>
      </c>
      <c r="J135" s="2">
        <v>550.93499999999995</v>
      </c>
      <c r="K135" s="5">
        <v>43513</v>
      </c>
      <c r="L135" s="4">
        <v>0.61111111111111116</v>
      </c>
      <c r="M135" s="3" t="s">
        <v>59</v>
      </c>
      <c r="N135" s="2">
        <v>524.70000000000005</v>
      </c>
      <c r="O135" s="2">
        <v>4.7619047620000003</v>
      </c>
      <c r="P135" s="2">
        <v>26.234999999999999</v>
      </c>
      <c r="Q135" s="2">
        <v>8.8000000000000007</v>
      </c>
      <c r="R135" s="3" t="str">
        <f t="shared" si="6"/>
        <v>February</v>
      </c>
      <c r="S135" s="3">
        <f t="shared" si="5"/>
        <v>2</v>
      </c>
      <c r="T135" s="3" t="str">
        <f>IF(tbl_sales[[#This Row],[Sales]]&gt;=500,"High Value","Standard")</f>
        <v>High Value</v>
      </c>
      <c r="U135" s="1" t="str">
        <f>IF(tbl_sales[[#This Row],[Order Size]]="High Value","High Value Order","Standard Order")</f>
        <v>High Value Order</v>
      </c>
      <c r="V135" s="1"/>
      <c r="W135" s="17" t="s">
        <v>37</v>
      </c>
      <c r="X135" s="17"/>
      <c r="Y135" s="6"/>
      <c r="Z135" s="1" t="s">
        <v>37</v>
      </c>
    </row>
    <row r="136" spans="1:26">
      <c r="A136" s="3" t="s">
        <v>945</v>
      </c>
      <c r="B136" s="3" t="s">
        <v>39</v>
      </c>
      <c r="C136" s="3" t="s">
        <v>40</v>
      </c>
      <c r="D136" s="3" t="s">
        <v>41</v>
      </c>
      <c r="E136" s="3" t="s">
        <v>25</v>
      </c>
      <c r="F136" s="3" t="s">
        <v>26</v>
      </c>
      <c r="G136" s="2">
        <v>81.3</v>
      </c>
      <c r="H136" s="2">
        <v>6</v>
      </c>
      <c r="I136" s="2">
        <v>24.39</v>
      </c>
      <c r="J136" s="2">
        <v>512.19000000000005</v>
      </c>
      <c r="K136" s="5">
        <v>43532</v>
      </c>
      <c r="L136" s="4">
        <v>0.69652777777777775</v>
      </c>
      <c r="M136" s="3" t="s">
        <v>33</v>
      </c>
      <c r="N136" s="2">
        <v>487.8</v>
      </c>
      <c r="O136" s="2">
        <v>4.7619047620000003</v>
      </c>
      <c r="P136" s="2">
        <v>24.39</v>
      </c>
      <c r="Q136" s="2">
        <v>5.3</v>
      </c>
      <c r="R136" s="3" t="str">
        <f t="shared" si="6"/>
        <v>March</v>
      </c>
      <c r="S136" s="3">
        <f t="shared" si="5"/>
        <v>3</v>
      </c>
      <c r="T136" s="3" t="str">
        <f>IF(tbl_sales[[#This Row],[Sales]]&gt;=500,"High Value","Standard")</f>
        <v>High Value</v>
      </c>
      <c r="U136" s="1" t="str">
        <f>IF(tbl_sales[[#This Row],[Order Size]]="High Value","High Value Order","Standard Order")</f>
        <v>High Value Order</v>
      </c>
      <c r="V136" s="1"/>
      <c r="W136" s="17" t="s">
        <v>37</v>
      </c>
      <c r="X136" s="17"/>
      <c r="Y136" s="6"/>
      <c r="Z136" s="1" t="s">
        <v>37</v>
      </c>
    </row>
    <row r="137" spans="1:26">
      <c r="A137" s="3" t="s">
        <v>951</v>
      </c>
      <c r="B137" s="3" t="s">
        <v>39</v>
      </c>
      <c r="C137" s="3" t="s">
        <v>40</v>
      </c>
      <c r="D137" s="3" t="s">
        <v>41</v>
      </c>
      <c r="E137" s="3" t="s">
        <v>25</v>
      </c>
      <c r="F137" s="3" t="s">
        <v>127</v>
      </c>
      <c r="G137" s="2">
        <v>90.22</v>
      </c>
      <c r="H137" s="2">
        <v>3</v>
      </c>
      <c r="I137" s="2">
        <v>13.532999999999999</v>
      </c>
      <c r="J137" s="2">
        <v>284.19299999999998</v>
      </c>
      <c r="K137" s="5">
        <v>43514</v>
      </c>
      <c r="L137" s="4">
        <v>0.81874999999999998</v>
      </c>
      <c r="M137" s="3" t="s">
        <v>49</v>
      </c>
      <c r="N137" s="2">
        <v>270.66000000000003</v>
      </c>
      <c r="O137" s="2">
        <v>4.7619047620000003</v>
      </c>
      <c r="P137" s="2">
        <v>13.532999999999999</v>
      </c>
      <c r="Q137" s="2">
        <v>6.2</v>
      </c>
      <c r="R137" s="3" t="str">
        <f t="shared" si="6"/>
        <v>February</v>
      </c>
      <c r="S137" s="3">
        <f t="shared" si="5"/>
        <v>2</v>
      </c>
      <c r="T137" s="3" t="str">
        <f>IF(tbl_sales[[#This Row],[Sales]]&gt;=500,"High Value","Standard")</f>
        <v>Standard</v>
      </c>
      <c r="U137" s="1" t="str">
        <f>IF(tbl_sales[[#This Row],[Order Size]]="High Value","High Value Order","Standard Order")</f>
        <v>Standard Order</v>
      </c>
      <c r="V137" s="1"/>
      <c r="W137" s="17" t="s">
        <v>37</v>
      </c>
      <c r="X137" s="17"/>
      <c r="Y137" s="6"/>
      <c r="Z137" s="1" t="s">
        <v>37</v>
      </c>
    </row>
    <row r="138" spans="1:26">
      <c r="A138" s="3" t="s">
        <v>958</v>
      </c>
      <c r="B138" s="3" t="s">
        <v>22</v>
      </c>
      <c r="C138" s="3" t="s">
        <v>23</v>
      </c>
      <c r="D138" s="3" t="s">
        <v>41</v>
      </c>
      <c r="E138" s="3" t="s">
        <v>25</v>
      </c>
      <c r="F138" s="3" t="s">
        <v>42</v>
      </c>
      <c r="G138" s="2">
        <v>26.31</v>
      </c>
      <c r="H138" s="2">
        <v>5</v>
      </c>
      <c r="I138" s="2">
        <v>6.5774999999999997</v>
      </c>
      <c r="J138" s="2">
        <v>138.1275</v>
      </c>
      <c r="K138" s="5">
        <v>43483</v>
      </c>
      <c r="L138" s="4">
        <v>0.87430555555555556</v>
      </c>
      <c r="M138" s="3" t="s">
        <v>59</v>
      </c>
      <c r="N138" s="2">
        <v>131.55000000000001</v>
      </c>
      <c r="O138" s="2">
        <v>4.7619047620000003</v>
      </c>
      <c r="P138" s="2">
        <v>6.5774999999999997</v>
      </c>
      <c r="Q138" s="2">
        <v>8.8000000000000007</v>
      </c>
      <c r="R138" s="3" t="str">
        <f t="shared" si="6"/>
        <v>January</v>
      </c>
      <c r="S138" s="3">
        <f t="shared" si="5"/>
        <v>1</v>
      </c>
      <c r="T138" s="3" t="str">
        <f>IF(tbl_sales[[#This Row],[Sales]]&gt;=500,"High Value","Standard")</f>
        <v>Standard</v>
      </c>
      <c r="U138" s="1" t="str">
        <f>IF(tbl_sales[[#This Row],[Order Size]]="High Value","High Value Order","Standard Order")</f>
        <v>Standard Order</v>
      </c>
      <c r="V138" s="1"/>
      <c r="W138" s="17" t="s">
        <v>37</v>
      </c>
      <c r="X138" s="17"/>
      <c r="Y138" s="6"/>
      <c r="Z138" s="1" t="s">
        <v>37</v>
      </c>
    </row>
    <row r="139" spans="1:26">
      <c r="A139" s="3" t="s">
        <v>965</v>
      </c>
      <c r="B139" s="3" t="s">
        <v>22</v>
      </c>
      <c r="C139" s="3" t="s">
        <v>23</v>
      </c>
      <c r="D139" s="3" t="s">
        <v>24</v>
      </c>
      <c r="E139" s="3" t="s">
        <v>25</v>
      </c>
      <c r="F139" s="3" t="s">
        <v>53</v>
      </c>
      <c r="G139" s="2">
        <v>34.42</v>
      </c>
      <c r="H139" s="2">
        <v>6</v>
      </c>
      <c r="I139" s="2">
        <v>10.326000000000001</v>
      </c>
      <c r="J139" s="2">
        <v>216.846</v>
      </c>
      <c r="K139" s="5">
        <v>43514</v>
      </c>
      <c r="L139" s="4">
        <v>0.65208333333333335</v>
      </c>
      <c r="M139" s="3" t="s">
        <v>49</v>
      </c>
      <c r="N139" s="2">
        <v>206.52</v>
      </c>
      <c r="O139" s="2">
        <v>4.7619047620000003</v>
      </c>
      <c r="P139" s="2">
        <v>10.326000000000001</v>
      </c>
      <c r="Q139" s="2">
        <v>9.8000000000000007</v>
      </c>
      <c r="R139" s="3" t="str">
        <f t="shared" si="6"/>
        <v>February</v>
      </c>
      <c r="S139" s="3">
        <f t="shared" si="5"/>
        <v>2</v>
      </c>
      <c r="T139" s="3" t="str">
        <f>IF(tbl_sales[[#This Row],[Sales]]&gt;=500,"High Value","Standard")</f>
        <v>Standard</v>
      </c>
      <c r="U139" s="1" t="str">
        <f>IF(tbl_sales[[#This Row],[Order Size]]="High Value","High Value Order","Standard Order")</f>
        <v>Standard Order</v>
      </c>
      <c r="V139" s="1"/>
      <c r="W139" s="17" t="s">
        <v>37</v>
      </c>
      <c r="X139" s="17"/>
      <c r="Y139" s="6"/>
      <c r="Z139" s="1" t="s">
        <v>37</v>
      </c>
    </row>
    <row r="140" spans="1:26">
      <c r="A140" s="3" t="s">
        <v>972</v>
      </c>
      <c r="B140" s="3" t="s">
        <v>115</v>
      </c>
      <c r="C140" s="3" t="s">
        <v>116</v>
      </c>
      <c r="D140" s="3" t="s">
        <v>41</v>
      </c>
      <c r="E140" s="3" t="s">
        <v>25</v>
      </c>
      <c r="F140" s="3" t="s">
        <v>72</v>
      </c>
      <c r="G140" s="2">
        <v>51.91</v>
      </c>
      <c r="H140" s="2">
        <v>10</v>
      </c>
      <c r="I140" s="2">
        <v>25.954999999999998</v>
      </c>
      <c r="J140" s="2">
        <v>545.05499999999995</v>
      </c>
      <c r="K140" s="5">
        <v>43512</v>
      </c>
      <c r="L140" s="4">
        <v>0.51458333333333328</v>
      </c>
      <c r="M140" s="3" t="s">
        <v>49</v>
      </c>
      <c r="N140" s="2">
        <v>519.1</v>
      </c>
      <c r="O140" s="2">
        <v>4.7619047620000003</v>
      </c>
      <c r="P140" s="2">
        <v>25.954999999999998</v>
      </c>
      <c r="Q140" s="2">
        <v>8.1999999999999993</v>
      </c>
      <c r="R140" s="3" t="str">
        <f t="shared" si="6"/>
        <v>February</v>
      </c>
      <c r="S140" s="3">
        <f t="shared" si="5"/>
        <v>2</v>
      </c>
      <c r="T140" s="3" t="str">
        <f>IF(tbl_sales[[#This Row],[Sales]]&gt;=500,"High Value","Standard")</f>
        <v>High Value</v>
      </c>
      <c r="U140" s="1" t="str">
        <f>IF(tbl_sales[[#This Row],[Order Size]]="High Value","High Value Order","Standard Order")</f>
        <v>High Value Order</v>
      </c>
      <c r="V140" s="1"/>
      <c r="W140" s="17" t="s">
        <v>37</v>
      </c>
      <c r="X140" s="17"/>
      <c r="Y140" s="6"/>
      <c r="Z140" s="1" t="s">
        <v>37</v>
      </c>
    </row>
    <row r="141" spans="1:26">
      <c r="A141" s="3" t="s">
        <v>979</v>
      </c>
      <c r="B141" s="3" t="s">
        <v>22</v>
      </c>
      <c r="C141" s="3" t="s">
        <v>23</v>
      </c>
      <c r="D141" s="3" t="s">
        <v>41</v>
      </c>
      <c r="E141" s="3" t="s">
        <v>25</v>
      </c>
      <c r="F141" s="3" t="s">
        <v>72</v>
      </c>
      <c r="G141" s="2">
        <v>72.5</v>
      </c>
      <c r="H141" s="2">
        <v>8</v>
      </c>
      <c r="I141" s="2">
        <v>29</v>
      </c>
      <c r="J141" s="2">
        <v>609</v>
      </c>
      <c r="K141" s="5">
        <v>43540</v>
      </c>
      <c r="L141" s="4">
        <v>0.80902777777777779</v>
      </c>
      <c r="M141" s="3" t="s">
        <v>33</v>
      </c>
      <c r="N141" s="2">
        <v>580</v>
      </c>
      <c r="O141" s="2">
        <v>4.7619047620000003</v>
      </c>
      <c r="P141" s="2">
        <v>29</v>
      </c>
      <c r="Q141" s="2">
        <v>9.1999999999999993</v>
      </c>
      <c r="R141" s="3" t="str">
        <f t="shared" si="6"/>
        <v>March</v>
      </c>
      <c r="S141" s="3">
        <f t="shared" si="5"/>
        <v>3</v>
      </c>
      <c r="T141" s="3" t="str">
        <f>IF(tbl_sales[[#This Row],[Sales]]&gt;=500,"High Value","Standard")</f>
        <v>High Value</v>
      </c>
      <c r="U141" s="1" t="str">
        <f>IF(tbl_sales[[#This Row],[Order Size]]="High Value","High Value Order","Standard Order")</f>
        <v>High Value Order</v>
      </c>
      <c r="V141" s="1"/>
      <c r="W141" s="17" t="s">
        <v>37</v>
      </c>
      <c r="X141" s="17"/>
      <c r="Y141" s="6"/>
      <c r="Z141" s="1" t="s">
        <v>37</v>
      </c>
    </row>
    <row r="142" spans="1:26">
      <c r="A142" s="3" t="s">
        <v>985</v>
      </c>
      <c r="B142" s="3" t="s">
        <v>39</v>
      </c>
      <c r="C142" s="3" t="s">
        <v>40</v>
      </c>
      <c r="D142" s="3" t="s">
        <v>24</v>
      </c>
      <c r="E142" s="3" t="s">
        <v>25</v>
      </c>
      <c r="F142" s="3" t="s">
        <v>72</v>
      </c>
      <c r="G142" s="2">
        <v>89.8</v>
      </c>
      <c r="H142" s="2">
        <v>10</v>
      </c>
      <c r="I142" s="2">
        <v>44.9</v>
      </c>
      <c r="J142" s="2">
        <v>942.9</v>
      </c>
      <c r="K142" s="5">
        <v>43488</v>
      </c>
      <c r="L142" s="4">
        <v>0.54166666666666663</v>
      </c>
      <c r="M142" s="3" t="s">
        <v>59</v>
      </c>
      <c r="N142" s="2">
        <v>898</v>
      </c>
      <c r="O142" s="2">
        <v>4.7619047620000003</v>
      </c>
      <c r="P142" s="2">
        <v>44.9</v>
      </c>
      <c r="Q142" s="2">
        <v>5.4</v>
      </c>
      <c r="R142" s="3" t="str">
        <f t="shared" si="6"/>
        <v>January</v>
      </c>
      <c r="S142" s="3">
        <f t="shared" si="5"/>
        <v>1</v>
      </c>
      <c r="T142" s="3" t="str">
        <f>IF(tbl_sales[[#This Row],[Sales]]&gt;=500,"High Value","Standard")</f>
        <v>High Value</v>
      </c>
      <c r="U142" s="1" t="str">
        <f>IF(tbl_sales[[#This Row],[Order Size]]="High Value","High Value Order","Standard Order")</f>
        <v>High Value Order</v>
      </c>
      <c r="V142" s="1"/>
      <c r="W142" s="17" t="s">
        <v>37</v>
      </c>
      <c r="X142" s="17"/>
      <c r="Y142" s="6"/>
      <c r="Z142" s="1" t="s">
        <v>37</v>
      </c>
    </row>
    <row r="143" spans="1:26">
      <c r="A143" s="3" t="s">
        <v>991</v>
      </c>
      <c r="B143" s="3" t="s">
        <v>39</v>
      </c>
      <c r="C143" s="3" t="s">
        <v>40</v>
      </c>
      <c r="D143" s="3" t="s">
        <v>24</v>
      </c>
      <c r="E143" s="3" t="s">
        <v>992</v>
      </c>
      <c r="F143" s="3" t="s">
        <v>26</v>
      </c>
      <c r="G143" s="2">
        <v>90.5</v>
      </c>
      <c r="H143" s="2">
        <v>10</v>
      </c>
      <c r="I143" s="2">
        <v>45.25</v>
      </c>
      <c r="J143" s="2">
        <v>950.25</v>
      </c>
      <c r="K143" s="5">
        <v>43490</v>
      </c>
      <c r="L143" s="4">
        <v>0.57499999999999996</v>
      </c>
      <c r="M143" s="3" t="s">
        <v>49</v>
      </c>
      <c r="N143" s="2">
        <v>905</v>
      </c>
      <c r="O143" s="2">
        <v>4.7619047620000003</v>
      </c>
      <c r="P143" s="2">
        <v>45.25</v>
      </c>
      <c r="Q143" s="2">
        <v>8.1</v>
      </c>
      <c r="R143" s="3" t="str">
        <f t="shared" si="6"/>
        <v>January</v>
      </c>
      <c r="S143" s="3">
        <f t="shared" si="5"/>
        <v>1</v>
      </c>
      <c r="T143" s="3" t="str">
        <f>IF(tbl_sales[[#This Row],[Sales]]&gt;=500,"High Value","Standard")</f>
        <v>High Value</v>
      </c>
      <c r="U143" s="1" t="str">
        <f>IF(tbl_sales[[#This Row],[Order Size]]="High Value","High Value Order","Standard Order")</f>
        <v>High Value Order</v>
      </c>
      <c r="V143" s="1"/>
      <c r="W143" s="17" t="s">
        <v>37</v>
      </c>
      <c r="X143" s="17"/>
      <c r="Y143" s="6"/>
      <c r="Z143" s="1" t="s">
        <v>37</v>
      </c>
    </row>
    <row r="144" spans="1:26">
      <c r="A144" s="3" t="s">
        <v>998</v>
      </c>
      <c r="B144" s="3" t="s">
        <v>39</v>
      </c>
      <c r="C144" s="3" t="s">
        <v>40</v>
      </c>
      <c r="D144" s="3" t="s">
        <v>24</v>
      </c>
      <c r="E144" s="3" t="s">
        <v>25</v>
      </c>
      <c r="F144" s="3" t="s">
        <v>26</v>
      </c>
      <c r="G144" s="2">
        <v>68.599999999999994</v>
      </c>
      <c r="H144" s="2">
        <v>10</v>
      </c>
      <c r="I144" s="2">
        <v>34.299999999999997</v>
      </c>
      <c r="J144" s="2">
        <v>720.3</v>
      </c>
      <c r="K144" s="5">
        <v>43501</v>
      </c>
      <c r="L144" s="4">
        <v>0.83125000000000004</v>
      </c>
      <c r="M144" s="3" t="s">
        <v>49</v>
      </c>
      <c r="N144" s="2">
        <v>686</v>
      </c>
      <c r="O144" s="2">
        <v>4.7619047620000003</v>
      </c>
      <c r="P144" s="2">
        <v>34.299999999999997</v>
      </c>
      <c r="Q144" s="2">
        <v>9.1</v>
      </c>
      <c r="R144" s="3" t="str">
        <f t="shared" si="6"/>
        <v>February</v>
      </c>
      <c r="S144" s="3">
        <f t="shared" si="5"/>
        <v>2</v>
      </c>
      <c r="T144" s="3" t="str">
        <f>IF(tbl_sales[[#This Row],[Sales]]&gt;=500,"High Value","Standard")</f>
        <v>High Value</v>
      </c>
      <c r="U144" s="1" t="str">
        <f>IF(tbl_sales[[#This Row],[Order Size]]="High Value","High Value Order","Standard Order")</f>
        <v>High Value Order</v>
      </c>
      <c r="V144" s="1"/>
      <c r="W144" s="17" t="s">
        <v>37</v>
      </c>
      <c r="X144" s="17"/>
      <c r="Y144" s="6"/>
      <c r="Z144" s="1" t="s">
        <v>37</v>
      </c>
    </row>
    <row r="145" spans="1:26">
      <c r="A145" s="3" t="s">
        <v>1004</v>
      </c>
      <c r="B145" s="3" t="s">
        <v>39</v>
      </c>
      <c r="C145" s="3" t="s">
        <v>40</v>
      </c>
      <c r="D145" s="3" t="s">
        <v>24</v>
      </c>
      <c r="E145" s="3" t="s">
        <v>25</v>
      </c>
      <c r="F145" s="3" t="s">
        <v>117</v>
      </c>
      <c r="G145" s="2">
        <v>30.41</v>
      </c>
      <c r="H145" s="2">
        <v>1</v>
      </c>
      <c r="I145" s="2">
        <v>1.5205</v>
      </c>
      <c r="J145" s="2">
        <v>31.930499999999999</v>
      </c>
      <c r="K145" s="5">
        <v>43518</v>
      </c>
      <c r="L145" s="4">
        <v>0.44166666666666665</v>
      </c>
      <c r="M145" s="3" t="s">
        <v>59</v>
      </c>
      <c r="N145" s="2">
        <v>30.41</v>
      </c>
      <c r="O145" s="2">
        <v>4.7619047620000003</v>
      </c>
      <c r="P145" s="2">
        <v>1.5205</v>
      </c>
      <c r="Q145" s="2">
        <v>8.4</v>
      </c>
      <c r="R145" s="3" t="str">
        <f t="shared" si="6"/>
        <v>February</v>
      </c>
      <c r="S145" s="3">
        <f t="shared" si="5"/>
        <v>2</v>
      </c>
      <c r="T145" s="3" t="str">
        <f>IF(tbl_sales[[#This Row],[Sales]]&gt;=500,"High Value","Standard")</f>
        <v>Standard</v>
      </c>
      <c r="U145" s="1" t="str">
        <f>IF(tbl_sales[[#This Row],[Order Size]]="High Value","High Value Order","Standard Order")</f>
        <v>Standard Order</v>
      </c>
      <c r="V145" s="1"/>
      <c r="W145" s="17" t="s">
        <v>37</v>
      </c>
      <c r="X145" s="17"/>
      <c r="Y145" s="6"/>
      <c r="Z145" s="1" t="s">
        <v>37</v>
      </c>
    </row>
    <row r="146" spans="1:26">
      <c r="A146" s="3" t="s">
        <v>1010</v>
      </c>
      <c r="B146" s="3" t="s">
        <v>22</v>
      </c>
      <c r="C146" s="3" t="s">
        <v>23</v>
      </c>
      <c r="D146" s="3" t="s">
        <v>41</v>
      </c>
      <c r="E146" s="3" t="s">
        <v>25</v>
      </c>
      <c r="F146" s="3" t="s">
        <v>53</v>
      </c>
      <c r="G146" s="2">
        <v>77.95</v>
      </c>
      <c r="H146" s="2">
        <v>6</v>
      </c>
      <c r="I146" s="2">
        <v>23.385000000000002</v>
      </c>
      <c r="J146" s="2">
        <v>491.08499999999998</v>
      </c>
      <c r="K146" s="5">
        <v>43486</v>
      </c>
      <c r="L146" s="4">
        <v>0.69236111111111109</v>
      </c>
      <c r="M146" s="3" t="s">
        <v>33</v>
      </c>
      <c r="N146" s="2">
        <v>467.7</v>
      </c>
      <c r="O146" s="2">
        <v>4.7619047620000003</v>
      </c>
      <c r="P146" s="2">
        <v>23.385000000000002</v>
      </c>
      <c r="Q146" s="2">
        <v>8</v>
      </c>
      <c r="R146" s="3" t="str">
        <f t="shared" si="6"/>
        <v>January</v>
      </c>
      <c r="S146" s="3">
        <f t="shared" si="5"/>
        <v>1</v>
      </c>
      <c r="T146" s="3" t="str">
        <f>IF(tbl_sales[[#This Row],[Sales]]&gt;=500,"High Value","Standard")</f>
        <v>Standard</v>
      </c>
      <c r="U146" s="1" t="str">
        <f>IF(tbl_sales[[#This Row],[Order Size]]="High Value","High Value Order","Standard Order")</f>
        <v>Standard Order</v>
      </c>
      <c r="V146" s="1"/>
      <c r="W146" s="17" t="s">
        <v>37</v>
      </c>
      <c r="X146" s="17"/>
      <c r="Y146" s="6"/>
      <c r="Z146" s="1" t="s">
        <v>37</v>
      </c>
    </row>
    <row r="147" spans="1:26">
      <c r="A147" s="3" t="s">
        <v>1016</v>
      </c>
      <c r="B147" s="3" t="s">
        <v>39</v>
      </c>
      <c r="C147" s="3" t="s">
        <v>40</v>
      </c>
      <c r="D147" s="3" t="s">
        <v>41</v>
      </c>
      <c r="E147" s="3" t="s">
        <v>25</v>
      </c>
      <c r="F147" s="3" t="s">
        <v>26</v>
      </c>
      <c r="G147" s="2">
        <v>46.26</v>
      </c>
      <c r="H147" s="2">
        <v>6</v>
      </c>
      <c r="I147" s="2">
        <v>13.878</v>
      </c>
      <c r="J147" s="2">
        <v>291.43799999999999</v>
      </c>
      <c r="K147" s="5">
        <v>43532</v>
      </c>
      <c r="L147" s="4">
        <v>0.71597222222222223</v>
      </c>
      <c r="M147" s="3" t="s">
        <v>59</v>
      </c>
      <c r="N147" s="2">
        <v>277.56</v>
      </c>
      <c r="O147" s="2">
        <v>4.7619047620000003</v>
      </c>
      <c r="P147" s="2">
        <v>13.878</v>
      </c>
      <c r="Q147" s="2">
        <v>9.5</v>
      </c>
      <c r="R147" s="3" t="str">
        <f t="shared" si="6"/>
        <v>March</v>
      </c>
      <c r="S147" s="3">
        <f t="shared" si="5"/>
        <v>3</v>
      </c>
      <c r="T147" s="3" t="str">
        <f>IF(tbl_sales[[#This Row],[Sales]]&gt;=500,"High Value","Standard")</f>
        <v>Standard</v>
      </c>
      <c r="U147" s="1" t="str">
        <f>IF(tbl_sales[[#This Row],[Order Size]]="High Value","High Value Order","Standard Order")</f>
        <v>Standard Order</v>
      </c>
      <c r="V147" s="1"/>
      <c r="W147" s="17" t="s">
        <v>37</v>
      </c>
      <c r="X147" s="17"/>
      <c r="Y147" s="6"/>
      <c r="Z147" s="1" t="s">
        <v>37</v>
      </c>
    </row>
    <row r="148" spans="1:26">
      <c r="A148" s="3" t="s">
        <v>1022</v>
      </c>
      <c r="B148" s="3" t="s">
        <v>22</v>
      </c>
      <c r="C148" s="3" t="s">
        <v>23</v>
      </c>
      <c r="D148" s="3" t="s">
        <v>24</v>
      </c>
      <c r="E148" s="3" t="s">
        <v>25</v>
      </c>
      <c r="F148" s="3" t="s">
        <v>127</v>
      </c>
      <c r="G148" s="2">
        <v>30.14</v>
      </c>
      <c r="H148" s="2">
        <v>10</v>
      </c>
      <c r="I148" s="2">
        <v>15.07</v>
      </c>
      <c r="J148" s="2">
        <v>316.47000000000003</v>
      </c>
      <c r="K148" s="5">
        <v>43506</v>
      </c>
      <c r="L148" s="4">
        <v>0.51944444444444449</v>
      </c>
      <c r="M148" s="3" t="s">
        <v>33</v>
      </c>
      <c r="N148" s="2">
        <v>301.39999999999998</v>
      </c>
      <c r="O148" s="2">
        <v>4.7619047620000003</v>
      </c>
      <c r="P148" s="2">
        <v>15.07</v>
      </c>
      <c r="Q148" s="2">
        <v>9.1999999999999993</v>
      </c>
      <c r="R148" s="3" t="str">
        <f t="shared" si="6"/>
        <v>February</v>
      </c>
      <c r="S148" s="3">
        <f t="shared" si="5"/>
        <v>2</v>
      </c>
      <c r="T148" s="3" t="str">
        <f>IF(tbl_sales[[#This Row],[Sales]]&gt;=500,"High Value","Standard")</f>
        <v>Standard</v>
      </c>
      <c r="U148" s="1" t="str">
        <f>IF(tbl_sales[[#This Row],[Order Size]]="High Value","High Value Order","Standard Order")</f>
        <v>Standard Order</v>
      </c>
      <c r="V148" s="1"/>
      <c r="W148" s="17" t="s">
        <v>37</v>
      </c>
      <c r="X148" s="17"/>
      <c r="Y148" s="6"/>
      <c r="Z148" s="1" t="s">
        <v>37</v>
      </c>
    </row>
    <row r="149" spans="1:26">
      <c r="A149" s="3" t="s">
        <v>1027</v>
      </c>
      <c r="B149" s="3" t="s">
        <v>39</v>
      </c>
      <c r="C149" s="3" t="s">
        <v>40</v>
      </c>
      <c r="D149" s="3" t="s">
        <v>41</v>
      </c>
      <c r="E149" s="3" t="s">
        <v>992</v>
      </c>
      <c r="F149" s="3" t="s">
        <v>26</v>
      </c>
      <c r="G149" s="2">
        <v>66.14</v>
      </c>
      <c r="H149" s="2">
        <v>4</v>
      </c>
      <c r="I149" s="2">
        <v>13.228</v>
      </c>
      <c r="J149" s="2">
        <v>277.78800000000001</v>
      </c>
      <c r="K149" s="5">
        <v>43543</v>
      </c>
      <c r="L149" s="4">
        <v>0.53194444444444444</v>
      </c>
      <c r="M149" s="3" t="s">
        <v>59</v>
      </c>
      <c r="N149" s="2">
        <v>264.56</v>
      </c>
      <c r="O149" s="2">
        <v>4.7619047620000003</v>
      </c>
      <c r="P149" s="2">
        <v>13.228</v>
      </c>
      <c r="Q149" s="2">
        <v>5.6</v>
      </c>
      <c r="R149" s="3" t="str">
        <f t="shared" si="6"/>
        <v>March</v>
      </c>
      <c r="S149" s="3">
        <f t="shared" si="5"/>
        <v>3</v>
      </c>
      <c r="T149" s="3" t="str">
        <f>IF(tbl_sales[[#This Row],[Sales]]&gt;=500,"High Value","Standard")</f>
        <v>Standard</v>
      </c>
      <c r="U149" s="1" t="str">
        <f>IF(tbl_sales[[#This Row],[Order Size]]="High Value","High Value Order","Standard Order")</f>
        <v>Standard Order</v>
      </c>
      <c r="V149" s="1"/>
      <c r="W149" s="17" t="s">
        <v>37</v>
      </c>
      <c r="X149" s="17"/>
      <c r="Y149" s="6"/>
      <c r="Z149" s="1" t="s">
        <v>37</v>
      </c>
    </row>
    <row r="150" spans="1:26">
      <c r="A150" s="3" t="s">
        <v>1032</v>
      </c>
      <c r="B150" s="3" t="s">
        <v>115</v>
      </c>
      <c r="C150" s="3" t="s">
        <v>116</v>
      </c>
      <c r="D150" s="3" t="s">
        <v>24</v>
      </c>
      <c r="E150" s="3" t="s">
        <v>992</v>
      </c>
      <c r="F150" s="3" t="s">
        <v>53</v>
      </c>
      <c r="G150" s="2">
        <v>71.86</v>
      </c>
      <c r="H150" s="2">
        <v>8</v>
      </c>
      <c r="I150" s="2">
        <v>28.744</v>
      </c>
      <c r="J150" s="2">
        <v>603.62400000000002</v>
      </c>
      <c r="K150" s="5">
        <v>43530</v>
      </c>
      <c r="L150" s="4">
        <v>0.62986111111111109</v>
      </c>
      <c r="M150" s="3" t="s">
        <v>59</v>
      </c>
      <c r="N150" s="2">
        <v>574.88</v>
      </c>
      <c r="O150" s="2">
        <v>4.7619047620000003</v>
      </c>
      <c r="P150" s="2">
        <v>28.744</v>
      </c>
      <c r="Q150" s="2">
        <v>6.2</v>
      </c>
      <c r="R150" s="3" t="str">
        <f t="shared" si="6"/>
        <v>March</v>
      </c>
      <c r="S150" s="3">
        <f t="shared" si="5"/>
        <v>3</v>
      </c>
      <c r="T150" s="3" t="str">
        <f>IF(tbl_sales[[#This Row],[Sales]]&gt;=500,"High Value","Standard")</f>
        <v>High Value</v>
      </c>
      <c r="U150" s="1" t="str">
        <f>IF(tbl_sales[[#This Row],[Order Size]]="High Value","High Value Order","Standard Order")</f>
        <v>High Value Order</v>
      </c>
      <c r="V150" s="1"/>
      <c r="W150" s="17" t="s">
        <v>37</v>
      </c>
      <c r="X150" s="17"/>
      <c r="Y150" s="6"/>
      <c r="Z150" s="1" t="s">
        <v>37</v>
      </c>
    </row>
    <row r="151" spans="1:26">
      <c r="A151" s="3" t="s">
        <v>1038</v>
      </c>
      <c r="B151" s="3" t="s">
        <v>22</v>
      </c>
      <c r="C151" s="3" t="s">
        <v>23</v>
      </c>
      <c r="D151" s="3" t="s">
        <v>41</v>
      </c>
      <c r="E151" s="3" t="s">
        <v>992</v>
      </c>
      <c r="F151" s="3" t="s">
        <v>26</v>
      </c>
      <c r="G151" s="2">
        <v>32.46</v>
      </c>
      <c r="H151" s="2">
        <v>8</v>
      </c>
      <c r="I151" s="2">
        <v>12.984</v>
      </c>
      <c r="J151" s="2">
        <v>272.66399999999999</v>
      </c>
      <c r="K151" s="5">
        <v>43551</v>
      </c>
      <c r="L151" s="4">
        <v>0.57499999999999996</v>
      </c>
      <c r="M151" s="3" t="s">
        <v>59</v>
      </c>
      <c r="N151" s="2">
        <v>259.68</v>
      </c>
      <c r="O151" s="2">
        <v>4.7619047620000003</v>
      </c>
      <c r="P151" s="2">
        <v>12.984</v>
      </c>
      <c r="Q151" s="2">
        <v>4.9000000000000004</v>
      </c>
      <c r="R151" s="3" t="str">
        <f t="shared" si="6"/>
        <v>March</v>
      </c>
      <c r="S151" s="3">
        <f t="shared" si="5"/>
        <v>3</v>
      </c>
      <c r="T151" s="3" t="str">
        <f>IF(tbl_sales[[#This Row],[Sales]]&gt;=500,"High Value","Standard")</f>
        <v>Standard</v>
      </c>
      <c r="U151" s="1" t="str">
        <f>IF(tbl_sales[[#This Row],[Order Size]]="High Value","High Value Order","Standard Order")</f>
        <v>Standard Order</v>
      </c>
      <c r="V151" s="1"/>
      <c r="W151" s="17" t="s">
        <v>37</v>
      </c>
      <c r="X151" s="17"/>
      <c r="Y151" s="6"/>
      <c r="Z151" s="1" t="s">
        <v>37</v>
      </c>
    </row>
    <row r="152" spans="1:26">
      <c r="A152" s="3" t="s">
        <v>1043</v>
      </c>
      <c r="B152" s="3" t="s">
        <v>115</v>
      </c>
      <c r="C152" s="3" t="s">
        <v>116</v>
      </c>
      <c r="D152" s="3" t="s">
        <v>24</v>
      </c>
      <c r="E152" s="3" t="s">
        <v>25</v>
      </c>
      <c r="F152" s="3" t="s">
        <v>127</v>
      </c>
      <c r="G152" s="2">
        <v>91.54</v>
      </c>
      <c r="H152" s="2">
        <v>4</v>
      </c>
      <c r="I152" s="2">
        <v>18.308</v>
      </c>
      <c r="J152" s="2">
        <v>384.46800000000002</v>
      </c>
      <c r="K152" s="5">
        <v>43547</v>
      </c>
      <c r="L152" s="4">
        <v>0.80555555555555558</v>
      </c>
      <c r="M152" s="3" t="s">
        <v>59</v>
      </c>
      <c r="N152" s="2">
        <v>366.16</v>
      </c>
      <c r="O152" s="2">
        <v>4.7619047620000003</v>
      </c>
      <c r="P152" s="2">
        <v>18.308</v>
      </c>
      <c r="Q152" s="2">
        <v>4.8</v>
      </c>
      <c r="R152" s="3" t="str">
        <f t="shared" si="6"/>
        <v>March</v>
      </c>
      <c r="S152" s="3">
        <f t="shared" si="5"/>
        <v>3</v>
      </c>
      <c r="T152" s="3" t="str">
        <f>IF(tbl_sales[[#This Row],[Sales]]&gt;=500,"High Value","Standard")</f>
        <v>Standard</v>
      </c>
      <c r="U152" s="1" t="str">
        <f>IF(tbl_sales[[#This Row],[Order Size]]="High Value","High Value Order","Standard Order")</f>
        <v>Standard Order</v>
      </c>
      <c r="V152" s="1"/>
      <c r="W152" s="17" t="s">
        <v>37</v>
      </c>
      <c r="X152" s="17"/>
      <c r="Y152" s="6"/>
      <c r="Z152" s="1" t="s">
        <v>37</v>
      </c>
    </row>
    <row r="153" spans="1:26">
      <c r="A153" s="3" t="s">
        <v>1048</v>
      </c>
      <c r="B153" s="3" t="s">
        <v>39</v>
      </c>
      <c r="C153" s="3" t="s">
        <v>40</v>
      </c>
      <c r="D153" s="3" t="s">
        <v>24</v>
      </c>
      <c r="E153" s="3" t="s">
        <v>992</v>
      </c>
      <c r="F153" s="3" t="s">
        <v>72</v>
      </c>
      <c r="G153" s="2">
        <v>34.56</v>
      </c>
      <c r="H153" s="2">
        <v>7</v>
      </c>
      <c r="I153" s="2">
        <v>12.096</v>
      </c>
      <c r="J153" s="2">
        <v>254.01599999999999</v>
      </c>
      <c r="K153" s="5">
        <v>43535</v>
      </c>
      <c r="L153" s="4">
        <v>0.67152777777777772</v>
      </c>
      <c r="M153" s="3" t="s">
        <v>59</v>
      </c>
      <c r="N153" s="2">
        <v>241.92</v>
      </c>
      <c r="O153" s="2">
        <v>4.7619047620000003</v>
      </c>
      <c r="P153" s="2">
        <v>12.096</v>
      </c>
      <c r="Q153" s="2">
        <v>7.3</v>
      </c>
      <c r="R153" s="3" t="str">
        <f t="shared" si="6"/>
        <v>March</v>
      </c>
      <c r="S153" s="3">
        <f t="shared" si="5"/>
        <v>3</v>
      </c>
      <c r="T153" s="3" t="str">
        <f>IF(tbl_sales[[#This Row],[Sales]]&gt;=500,"High Value","Standard")</f>
        <v>Standard</v>
      </c>
      <c r="U153" s="1" t="str">
        <f>IF(tbl_sales[[#This Row],[Order Size]]="High Value","High Value Order","Standard Order")</f>
        <v>Standard Order</v>
      </c>
      <c r="V153" s="1"/>
      <c r="W153" s="17" t="s">
        <v>37</v>
      </c>
      <c r="X153" s="17"/>
      <c r="Y153" s="6"/>
      <c r="Z153" s="1" t="s">
        <v>37</v>
      </c>
    </row>
    <row r="154" spans="1:26">
      <c r="A154" s="3" t="s">
        <v>1053</v>
      </c>
      <c r="B154" s="3" t="s">
        <v>22</v>
      </c>
      <c r="C154" s="3" t="s">
        <v>23</v>
      </c>
      <c r="D154" s="3" t="s">
        <v>41</v>
      </c>
      <c r="E154" s="3" t="s">
        <v>992</v>
      </c>
      <c r="F154" s="3" t="s">
        <v>127</v>
      </c>
      <c r="G154" s="2">
        <v>83.24</v>
      </c>
      <c r="H154" s="2">
        <v>9</v>
      </c>
      <c r="I154" s="2">
        <v>37.457999999999998</v>
      </c>
      <c r="J154" s="2">
        <v>786.61800000000005</v>
      </c>
      <c r="K154" s="5">
        <v>43494</v>
      </c>
      <c r="L154" s="4">
        <v>0.49722222222222223</v>
      </c>
      <c r="M154" s="3" t="s">
        <v>59</v>
      </c>
      <c r="N154" s="2">
        <v>749.16</v>
      </c>
      <c r="O154" s="2">
        <v>4.7619047620000003</v>
      </c>
      <c r="P154" s="2">
        <v>37.457999999999998</v>
      </c>
      <c r="Q154" s="2">
        <v>7.4</v>
      </c>
      <c r="R154" s="3" t="str">
        <f t="shared" si="6"/>
        <v>January</v>
      </c>
      <c r="S154" s="3">
        <f t="shared" si="5"/>
        <v>1</v>
      </c>
      <c r="T154" s="3" t="str">
        <f>IF(tbl_sales[[#This Row],[Sales]]&gt;=500,"High Value","Standard")</f>
        <v>High Value</v>
      </c>
      <c r="U154" s="1" t="str">
        <f>IF(tbl_sales[[#This Row],[Order Size]]="High Value","High Value Order","Standard Order")</f>
        <v>High Value Order</v>
      </c>
      <c r="V154" s="1"/>
      <c r="W154" s="17" t="s">
        <v>37</v>
      </c>
      <c r="X154" s="17"/>
      <c r="Y154" s="6"/>
      <c r="Z154" s="1" t="s">
        <v>37</v>
      </c>
    </row>
    <row r="155" spans="1:26">
      <c r="A155" s="3" t="s">
        <v>1060</v>
      </c>
      <c r="B155" s="3" t="s">
        <v>39</v>
      </c>
      <c r="C155" s="3" t="s">
        <v>40</v>
      </c>
      <c r="D155" s="3" t="s">
        <v>41</v>
      </c>
      <c r="E155" s="3" t="s">
        <v>25</v>
      </c>
      <c r="F155" s="3" t="s">
        <v>117</v>
      </c>
      <c r="G155" s="2">
        <v>16.48</v>
      </c>
      <c r="H155" s="2">
        <v>6</v>
      </c>
      <c r="I155" s="2">
        <v>4.944</v>
      </c>
      <c r="J155" s="2">
        <v>103.824</v>
      </c>
      <c r="K155" s="5">
        <v>43503</v>
      </c>
      <c r="L155" s="4">
        <v>0.76597222222222228</v>
      </c>
      <c r="M155" s="3" t="s">
        <v>33</v>
      </c>
      <c r="N155" s="2">
        <v>98.88</v>
      </c>
      <c r="O155" s="2">
        <v>4.7619047620000003</v>
      </c>
      <c r="P155" s="2">
        <v>4.944</v>
      </c>
      <c r="Q155" s="2">
        <v>9.9</v>
      </c>
      <c r="R155" s="3" t="str">
        <f t="shared" si="6"/>
        <v>February</v>
      </c>
      <c r="S155" s="3">
        <f t="shared" si="5"/>
        <v>2</v>
      </c>
      <c r="T155" s="3" t="str">
        <f>IF(tbl_sales[[#This Row],[Sales]]&gt;=500,"High Value","Standard")</f>
        <v>Standard</v>
      </c>
      <c r="U155" s="1" t="str">
        <f>IF(tbl_sales[[#This Row],[Order Size]]="High Value","High Value Order","Standard Order")</f>
        <v>Standard Order</v>
      </c>
      <c r="V155" s="1"/>
      <c r="W155" s="17" t="s">
        <v>37</v>
      </c>
      <c r="X155" s="17"/>
      <c r="Y155" s="6"/>
      <c r="Z155" s="1" t="s">
        <v>37</v>
      </c>
    </row>
    <row r="156" spans="1:26">
      <c r="A156" s="3" t="s">
        <v>1066</v>
      </c>
      <c r="B156" s="3" t="s">
        <v>39</v>
      </c>
      <c r="C156" s="3" t="s">
        <v>40</v>
      </c>
      <c r="D156" s="3" t="s">
        <v>41</v>
      </c>
      <c r="E156" s="3" t="s">
        <v>25</v>
      </c>
      <c r="F156" s="3" t="s">
        <v>72</v>
      </c>
      <c r="G156" s="2">
        <v>80.97</v>
      </c>
      <c r="H156" s="2">
        <v>8</v>
      </c>
      <c r="I156" s="2">
        <v>32.387999999999998</v>
      </c>
      <c r="J156" s="2">
        <v>680.14800000000002</v>
      </c>
      <c r="K156" s="5">
        <v>43493</v>
      </c>
      <c r="L156" s="4">
        <v>0.54513888888888884</v>
      </c>
      <c r="M156" s="3" t="s">
        <v>49</v>
      </c>
      <c r="N156" s="2">
        <v>647.76</v>
      </c>
      <c r="O156" s="2">
        <v>4.7619047620000003</v>
      </c>
      <c r="P156" s="2">
        <v>32.387999999999998</v>
      </c>
      <c r="Q156" s="2">
        <v>9.3000000000000007</v>
      </c>
      <c r="R156" s="3" t="str">
        <f t="shared" si="6"/>
        <v>January</v>
      </c>
      <c r="S156" s="3">
        <f t="shared" si="5"/>
        <v>1</v>
      </c>
      <c r="T156" s="3" t="str">
        <f>IF(tbl_sales[[#This Row],[Sales]]&gt;=500,"High Value","Standard")</f>
        <v>High Value</v>
      </c>
      <c r="U156" s="1" t="str">
        <f>IF(tbl_sales[[#This Row],[Order Size]]="High Value","High Value Order","Standard Order")</f>
        <v>High Value Order</v>
      </c>
      <c r="V156" s="1"/>
      <c r="W156" s="17" t="s">
        <v>37</v>
      </c>
      <c r="X156" s="17"/>
      <c r="Y156" s="6"/>
      <c r="Z156" s="1" t="s">
        <v>37</v>
      </c>
    </row>
    <row r="157" spans="1:26">
      <c r="A157" s="3" t="s">
        <v>1072</v>
      </c>
      <c r="B157" s="3" t="s">
        <v>22</v>
      </c>
      <c r="C157" s="3" t="s">
        <v>23</v>
      </c>
      <c r="D157" s="3" t="s">
        <v>24</v>
      </c>
      <c r="E157" s="3" t="s">
        <v>992</v>
      </c>
      <c r="F157" s="3" t="s">
        <v>117</v>
      </c>
      <c r="G157" s="2">
        <v>92.29</v>
      </c>
      <c r="H157" s="2">
        <v>5</v>
      </c>
      <c r="I157" s="2">
        <v>23.072500000000002</v>
      </c>
      <c r="J157" s="2">
        <v>484.52249999999998</v>
      </c>
      <c r="K157" s="5">
        <v>43516</v>
      </c>
      <c r="L157" s="4">
        <v>0.66319444444444442</v>
      </c>
      <c r="M157" s="3" t="s">
        <v>59</v>
      </c>
      <c r="N157" s="2">
        <v>461.45</v>
      </c>
      <c r="O157" s="2">
        <v>4.7619047620000003</v>
      </c>
      <c r="P157" s="2">
        <v>23.072500000000002</v>
      </c>
      <c r="Q157" s="2">
        <v>9</v>
      </c>
      <c r="R157" s="3" t="str">
        <f t="shared" si="6"/>
        <v>February</v>
      </c>
      <c r="S157" s="3">
        <f t="shared" si="5"/>
        <v>2</v>
      </c>
      <c r="T157" s="3" t="str">
        <f>IF(tbl_sales[[#This Row],[Sales]]&gt;=500,"High Value","Standard")</f>
        <v>Standard</v>
      </c>
      <c r="U157" s="1" t="str">
        <f>IF(tbl_sales[[#This Row],[Order Size]]="High Value","High Value Order","Standard Order")</f>
        <v>Standard Order</v>
      </c>
      <c r="V157" s="1"/>
      <c r="W157" s="17" t="s">
        <v>37</v>
      </c>
      <c r="X157" s="17"/>
      <c r="Y157" s="6"/>
      <c r="Z157" s="1" t="s">
        <v>37</v>
      </c>
    </row>
    <row r="158" spans="1:26">
      <c r="A158" s="3" t="s">
        <v>1077</v>
      </c>
      <c r="B158" s="3" t="s">
        <v>115</v>
      </c>
      <c r="C158" s="3" t="s">
        <v>116</v>
      </c>
      <c r="D158" s="3" t="s">
        <v>24</v>
      </c>
      <c r="E158" s="3" t="s">
        <v>992</v>
      </c>
      <c r="F158" s="3" t="s">
        <v>42</v>
      </c>
      <c r="G158" s="2">
        <v>72.17</v>
      </c>
      <c r="H158" s="2">
        <v>1</v>
      </c>
      <c r="I158" s="2">
        <v>3.6084999999999998</v>
      </c>
      <c r="J158" s="2">
        <v>75.778499999999994</v>
      </c>
      <c r="K158" s="5">
        <v>43469</v>
      </c>
      <c r="L158" s="4">
        <v>0.81944444444444442</v>
      </c>
      <c r="M158" s="3" t="s">
        <v>49</v>
      </c>
      <c r="N158" s="2">
        <v>72.17</v>
      </c>
      <c r="O158" s="2">
        <v>4.7619047620000003</v>
      </c>
      <c r="P158" s="2">
        <v>3.6084999999999998</v>
      </c>
      <c r="Q158" s="2">
        <v>6.1</v>
      </c>
      <c r="R158" s="3" t="str">
        <f t="shared" si="6"/>
        <v>January</v>
      </c>
      <c r="S158" s="3">
        <f t="shared" si="5"/>
        <v>1</v>
      </c>
      <c r="T158" s="3" t="str">
        <f>IF(tbl_sales[[#This Row],[Sales]]&gt;=500,"High Value","Standard")</f>
        <v>Standard</v>
      </c>
      <c r="U158" s="1" t="str">
        <f>IF(tbl_sales[[#This Row],[Order Size]]="High Value","High Value Order","Standard Order")</f>
        <v>Standard Order</v>
      </c>
      <c r="V158" s="1"/>
      <c r="W158" s="17" t="s">
        <v>37</v>
      </c>
      <c r="X158" s="17"/>
      <c r="Y158" s="6"/>
      <c r="Z158" s="1" t="s">
        <v>37</v>
      </c>
    </row>
    <row r="159" spans="1:26">
      <c r="A159" s="3" t="s">
        <v>1083</v>
      </c>
      <c r="B159" s="3" t="s">
        <v>115</v>
      </c>
      <c r="C159" s="3" t="s">
        <v>116</v>
      </c>
      <c r="D159" s="3" t="s">
        <v>41</v>
      </c>
      <c r="E159" s="3" t="s">
        <v>992</v>
      </c>
      <c r="F159" s="3" t="s">
        <v>53</v>
      </c>
      <c r="G159" s="2">
        <v>50.28</v>
      </c>
      <c r="H159" s="2">
        <v>5</v>
      </c>
      <c r="I159" s="2">
        <v>12.57</v>
      </c>
      <c r="J159" s="2">
        <v>263.97000000000003</v>
      </c>
      <c r="K159" s="5">
        <v>43531</v>
      </c>
      <c r="L159" s="4">
        <v>0.58194444444444449</v>
      </c>
      <c r="M159" s="3" t="s">
        <v>33</v>
      </c>
      <c r="N159" s="2">
        <v>251.4</v>
      </c>
      <c r="O159" s="2">
        <v>4.7619047620000003</v>
      </c>
      <c r="P159" s="2">
        <v>12.57</v>
      </c>
      <c r="Q159" s="2">
        <v>9.6999999999999993</v>
      </c>
      <c r="R159" s="3" t="str">
        <f t="shared" si="6"/>
        <v>March</v>
      </c>
      <c r="S159" s="3">
        <f t="shared" si="5"/>
        <v>3</v>
      </c>
      <c r="T159" s="3" t="str">
        <f>IF(tbl_sales[[#This Row],[Sales]]&gt;=500,"High Value","Standard")</f>
        <v>Standard</v>
      </c>
      <c r="U159" s="1" t="str">
        <f>IF(tbl_sales[[#This Row],[Order Size]]="High Value","High Value Order","Standard Order")</f>
        <v>Standard Order</v>
      </c>
      <c r="V159" s="1"/>
      <c r="W159" s="17" t="s">
        <v>37</v>
      </c>
      <c r="X159" s="17"/>
      <c r="Y159" s="6"/>
      <c r="Z159" s="1" t="s">
        <v>37</v>
      </c>
    </row>
    <row r="160" spans="1:26">
      <c r="A160" s="3" t="s">
        <v>1090</v>
      </c>
      <c r="B160" s="3" t="s">
        <v>115</v>
      </c>
      <c r="C160" s="3" t="s">
        <v>116</v>
      </c>
      <c r="D160" s="3" t="s">
        <v>24</v>
      </c>
      <c r="E160" s="3" t="s">
        <v>992</v>
      </c>
      <c r="F160" s="3" t="s">
        <v>26</v>
      </c>
      <c r="G160" s="2">
        <v>97.22</v>
      </c>
      <c r="H160" s="2">
        <v>9</v>
      </c>
      <c r="I160" s="2">
        <v>43.749000000000002</v>
      </c>
      <c r="J160" s="2">
        <v>918.72900000000004</v>
      </c>
      <c r="K160" s="5">
        <v>43554</v>
      </c>
      <c r="L160" s="4">
        <v>0.61319444444444449</v>
      </c>
      <c r="M160" s="3" t="s">
        <v>33</v>
      </c>
      <c r="N160" s="2">
        <v>874.98</v>
      </c>
      <c r="O160" s="2">
        <v>4.7619047620000003</v>
      </c>
      <c r="P160" s="2">
        <v>43.749000000000002</v>
      </c>
      <c r="Q160" s="2">
        <v>6</v>
      </c>
      <c r="R160" s="3" t="str">
        <f t="shared" si="6"/>
        <v>March</v>
      </c>
      <c r="S160" s="3">
        <f t="shared" si="5"/>
        <v>3</v>
      </c>
      <c r="T160" s="3" t="str">
        <f>IF(tbl_sales[[#This Row],[Sales]]&gt;=500,"High Value","Standard")</f>
        <v>High Value</v>
      </c>
      <c r="U160" s="1" t="str">
        <f>IF(tbl_sales[[#This Row],[Order Size]]="High Value","High Value Order","Standard Order")</f>
        <v>High Value Order</v>
      </c>
      <c r="V160" s="1"/>
      <c r="W160" s="17" t="s">
        <v>37</v>
      </c>
      <c r="X160" s="17"/>
      <c r="Y160" s="6"/>
      <c r="Z160" s="1" t="s">
        <v>37</v>
      </c>
    </row>
    <row r="161" spans="1:26">
      <c r="A161" s="3" t="s">
        <v>1097</v>
      </c>
      <c r="B161" s="3" t="s">
        <v>115</v>
      </c>
      <c r="C161" s="3" t="s">
        <v>116</v>
      </c>
      <c r="D161" s="3" t="s">
        <v>41</v>
      </c>
      <c r="E161" s="3" t="s">
        <v>992</v>
      </c>
      <c r="F161" s="3" t="s">
        <v>72</v>
      </c>
      <c r="G161" s="2">
        <v>93.39</v>
      </c>
      <c r="H161" s="2">
        <v>6</v>
      </c>
      <c r="I161" s="2">
        <v>28.016999999999999</v>
      </c>
      <c r="J161" s="2">
        <v>588.35699999999997</v>
      </c>
      <c r="K161" s="5">
        <v>43551</v>
      </c>
      <c r="L161" s="4">
        <v>0.8041666666666667</v>
      </c>
      <c r="M161" s="3" t="s">
        <v>33</v>
      </c>
      <c r="N161" s="2">
        <v>560.34</v>
      </c>
      <c r="O161" s="2">
        <v>4.7619047620000003</v>
      </c>
      <c r="P161" s="2">
        <v>28.016999999999999</v>
      </c>
      <c r="Q161" s="2">
        <v>10</v>
      </c>
      <c r="R161" s="3" t="str">
        <f t="shared" si="6"/>
        <v>March</v>
      </c>
      <c r="S161" s="3">
        <f t="shared" si="5"/>
        <v>3</v>
      </c>
      <c r="T161" s="3" t="str">
        <f>IF(tbl_sales[[#This Row],[Sales]]&gt;=500,"High Value","Standard")</f>
        <v>High Value</v>
      </c>
      <c r="U161" s="1" t="str">
        <f>IF(tbl_sales[[#This Row],[Order Size]]="High Value","High Value Order","Standard Order")</f>
        <v>High Value Order</v>
      </c>
      <c r="V161" s="1"/>
      <c r="W161" s="17" t="s">
        <v>37</v>
      </c>
      <c r="X161" s="17"/>
      <c r="Y161" s="6"/>
      <c r="Z161" s="1" t="s">
        <v>37</v>
      </c>
    </row>
    <row r="162" spans="1:26">
      <c r="A162" s="3" t="s">
        <v>1103</v>
      </c>
      <c r="B162" s="3" t="s">
        <v>39</v>
      </c>
      <c r="C162" s="3" t="s">
        <v>40</v>
      </c>
      <c r="D162" s="3" t="s">
        <v>41</v>
      </c>
      <c r="E162" s="3" t="s">
        <v>25</v>
      </c>
      <c r="F162" s="3" t="s">
        <v>117</v>
      </c>
      <c r="G162" s="2">
        <v>43.18</v>
      </c>
      <c r="H162" s="2">
        <v>8</v>
      </c>
      <c r="I162" s="2">
        <v>17.271999999999998</v>
      </c>
      <c r="J162" s="2">
        <v>362.71199999999999</v>
      </c>
      <c r="K162" s="5">
        <v>43484</v>
      </c>
      <c r="L162" s="4">
        <v>0.81874999999999998</v>
      </c>
      <c r="M162" s="3" t="s">
        <v>59</v>
      </c>
      <c r="N162" s="2">
        <v>345.44</v>
      </c>
      <c r="O162" s="2">
        <v>4.7619047620000003</v>
      </c>
      <c r="P162" s="2">
        <v>17.271999999999998</v>
      </c>
      <c r="Q162" s="2">
        <v>8.3000000000000007</v>
      </c>
      <c r="R162" s="3" t="str">
        <f t="shared" si="6"/>
        <v>January</v>
      </c>
      <c r="S162" s="3">
        <f t="shared" si="5"/>
        <v>1</v>
      </c>
      <c r="T162" s="3" t="str">
        <f>IF(tbl_sales[[#This Row],[Sales]]&gt;=500,"High Value","Standard")</f>
        <v>Standard</v>
      </c>
      <c r="U162" s="1" t="str">
        <f>IF(tbl_sales[[#This Row],[Order Size]]="High Value","High Value Order","Standard Order")</f>
        <v>Standard Order</v>
      </c>
      <c r="V162" s="1"/>
      <c r="W162" s="17" t="s">
        <v>37</v>
      </c>
      <c r="X162" s="17"/>
      <c r="Y162" s="6"/>
      <c r="Z162" s="1" t="s">
        <v>37</v>
      </c>
    </row>
    <row r="163" spans="1:26">
      <c r="A163" s="3" t="s">
        <v>1108</v>
      </c>
      <c r="B163" s="3" t="s">
        <v>22</v>
      </c>
      <c r="C163" s="3" t="s">
        <v>23</v>
      </c>
      <c r="D163" s="3" t="s">
        <v>41</v>
      </c>
      <c r="E163" s="3" t="s">
        <v>992</v>
      </c>
      <c r="F163" s="3" t="s">
        <v>72</v>
      </c>
      <c r="G163" s="2">
        <v>63.69</v>
      </c>
      <c r="H163" s="2">
        <v>1</v>
      </c>
      <c r="I163" s="2">
        <v>3.1844999999999999</v>
      </c>
      <c r="J163" s="2">
        <v>66.874499999999998</v>
      </c>
      <c r="K163" s="5">
        <v>43521</v>
      </c>
      <c r="L163" s="4">
        <v>0.68125000000000002</v>
      </c>
      <c r="M163" s="3" t="s">
        <v>49</v>
      </c>
      <c r="N163" s="2">
        <v>63.69</v>
      </c>
      <c r="O163" s="2">
        <v>4.7619047620000003</v>
      </c>
      <c r="P163" s="2">
        <v>3.1844999999999999</v>
      </c>
      <c r="Q163" s="2">
        <v>6</v>
      </c>
      <c r="R163" s="3" t="str">
        <f t="shared" si="6"/>
        <v>February</v>
      </c>
      <c r="S163" s="3">
        <f t="shared" si="5"/>
        <v>2</v>
      </c>
      <c r="T163" s="3" t="str">
        <f>IF(tbl_sales[[#This Row],[Sales]]&gt;=500,"High Value","Standard")</f>
        <v>Standard</v>
      </c>
      <c r="U163" s="1" t="str">
        <f>IF(tbl_sales[[#This Row],[Order Size]]="High Value","High Value Order","Standard Order")</f>
        <v>Standard Order</v>
      </c>
      <c r="V163" s="1"/>
      <c r="W163" s="17" t="s">
        <v>37</v>
      </c>
      <c r="X163" s="17"/>
      <c r="Y163" s="6"/>
      <c r="Z163" s="1" t="s">
        <v>37</v>
      </c>
    </row>
    <row r="164" spans="1:26">
      <c r="A164" s="3" t="s">
        <v>1113</v>
      </c>
      <c r="B164" s="3" t="s">
        <v>22</v>
      </c>
      <c r="C164" s="3" t="s">
        <v>23</v>
      </c>
      <c r="D164" s="3" t="s">
        <v>41</v>
      </c>
      <c r="E164" s="3" t="s">
        <v>992</v>
      </c>
      <c r="F164" s="3" t="s">
        <v>117</v>
      </c>
      <c r="G164" s="2">
        <v>45.79</v>
      </c>
      <c r="H164" s="2">
        <v>7</v>
      </c>
      <c r="I164" s="2">
        <v>16.026499999999999</v>
      </c>
      <c r="J164" s="2">
        <v>336.55650000000003</v>
      </c>
      <c r="K164" s="5">
        <v>43537</v>
      </c>
      <c r="L164" s="4">
        <v>0.82222222222222219</v>
      </c>
      <c r="M164" s="3" t="s">
        <v>59</v>
      </c>
      <c r="N164" s="2">
        <v>320.52999999999997</v>
      </c>
      <c r="O164" s="2">
        <v>4.7619047620000003</v>
      </c>
      <c r="P164" s="2">
        <v>16.026499999999999</v>
      </c>
      <c r="Q164" s="2">
        <v>7</v>
      </c>
      <c r="R164" s="3" t="str">
        <f t="shared" si="6"/>
        <v>March</v>
      </c>
      <c r="S164" s="3">
        <f t="shared" si="5"/>
        <v>3</v>
      </c>
      <c r="T164" s="3" t="str">
        <f>IF(tbl_sales[[#This Row],[Sales]]&gt;=500,"High Value","Standard")</f>
        <v>Standard</v>
      </c>
      <c r="U164" s="1" t="str">
        <f>IF(tbl_sales[[#This Row],[Order Size]]="High Value","High Value Order","Standard Order")</f>
        <v>Standard Order</v>
      </c>
      <c r="V164" s="1"/>
      <c r="W164" s="17" t="s">
        <v>37</v>
      </c>
      <c r="X164" s="17"/>
      <c r="Y164" s="6"/>
      <c r="Z164" s="1" t="s">
        <v>37</v>
      </c>
    </row>
    <row r="165" spans="1:26">
      <c r="A165" s="3" t="s">
        <v>1119</v>
      </c>
      <c r="B165" s="3" t="s">
        <v>39</v>
      </c>
      <c r="C165" s="3" t="s">
        <v>40</v>
      </c>
      <c r="D165" s="3" t="s">
        <v>41</v>
      </c>
      <c r="E165" s="3" t="s">
        <v>992</v>
      </c>
      <c r="F165" s="3" t="s">
        <v>72</v>
      </c>
      <c r="G165" s="2">
        <v>76.400000000000006</v>
      </c>
      <c r="H165" s="2">
        <v>2</v>
      </c>
      <c r="I165" s="2">
        <v>7.64</v>
      </c>
      <c r="J165" s="2">
        <v>160.44</v>
      </c>
      <c r="K165" s="5">
        <v>43495</v>
      </c>
      <c r="L165" s="4">
        <v>0.8208333333333333</v>
      </c>
      <c r="M165" s="3" t="s">
        <v>33</v>
      </c>
      <c r="N165" s="2">
        <v>152.80000000000001</v>
      </c>
      <c r="O165" s="2">
        <v>4.7619047620000003</v>
      </c>
      <c r="P165" s="2">
        <v>7.64</v>
      </c>
      <c r="Q165" s="2">
        <v>6.5</v>
      </c>
      <c r="R165" s="3" t="str">
        <f t="shared" si="6"/>
        <v>January</v>
      </c>
      <c r="S165" s="3">
        <f t="shared" si="5"/>
        <v>1</v>
      </c>
      <c r="T165" s="3" t="str">
        <f>IF(tbl_sales[[#This Row],[Sales]]&gt;=500,"High Value","Standard")</f>
        <v>Standard</v>
      </c>
      <c r="U165" s="1" t="str">
        <f>IF(tbl_sales[[#This Row],[Order Size]]="High Value","High Value Order","Standard Order")</f>
        <v>Standard Order</v>
      </c>
      <c r="V165" s="1"/>
      <c r="W165" s="17" t="s">
        <v>37</v>
      </c>
      <c r="X165" s="17"/>
      <c r="Y165" s="6"/>
      <c r="Z165" s="1" t="s">
        <v>37</v>
      </c>
    </row>
    <row r="166" spans="1:26">
      <c r="A166" s="3" t="s">
        <v>1125</v>
      </c>
      <c r="B166" s="3" t="s">
        <v>115</v>
      </c>
      <c r="C166" s="3" t="s">
        <v>116</v>
      </c>
      <c r="D166" s="3" t="s">
        <v>41</v>
      </c>
      <c r="E166" s="3" t="s">
        <v>992</v>
      </c>
      <c r="F166" s="3" t="s">
        <v>117</v>
      </c>
      <c r="G166" s="2">
        <v>39.9</v>
      </c>
      <c r="H166" s="2">
        <v>10</v>
      </c>
      <c r="I166" s="2">
        <v>19.95</v>
      </c>
      <c r="J166" s="2">
        <v>418.95</v>
      </c>
      <c r="K166" s="5">
        <v>43516</v>
      </c>
      <c r="L166" s="4">
        <v>0.64166666666666672</v>
      </c>
      <c r="M166" s="3" t="s">
        <v>59</v>
      </c>
      <c r="N166" s="2">
        <v>399</v>
      </c>
      <c r="O166" s="2">
        <v>4.7619047620000003</v>
      </c>
      <c r="P166" s="2">
        <v>19.95</v>
      </c>
      <c r="Q166" s="2">
        <v>5.9</v>
      </c>
      <c r="R166" s="3" t="str">
        <f t="shared" si="6"/>
        <v>February</v>
      </c>
      <c r="S166" s="3">
        <f t="shared" si="5"/>
        <v>2</v>
      </c>
      <c r="T166" s="3" t="str">
        <f>IF(tbl_sales[[#This Row],[Sales]]&gt;=500,"High Value","Standard")</f>
        <v>Standard</v>
      </c>
      <c r="U166" s="1" t="str">
        <f>IF(tbl_sales[[#This Row],[Order Size]]="High Value","High Value Order","Standard Order")</f>
        <v>Standard Order</v>
      </c>
      <c r="V166" s="1"/>
      <c r="W166" s="17" t="s">
        <v>37</v>
      </c>
      <c r="X166" s="17"/>
      <c r="Y166" s="6"/>
      <c r="Z166" s="1" t="s">
        <v>37</v>
      </c>
    </row>
    <row r="167" spans="1:26">
      <c r="A167" s="3" t="s">
        <v>1131</v>
      </c>
      <c r="B167" s="3" t="s">
        <v>115</v>
      </c>
      <c r="C167" s="3" t="s">
        <v>116</v>
      </c>
      <c r="D167" s="3" t="s">
        <v>24</v>
      </c>
      <c r="E167" s="3" t="s">
        <v>992</v>
      </c>
      <c r="F167" s="3" t="s">
        <v>26</v>
      </c>
      <c r="G167" s="2">
        <v>42.57</v>
      </c>
      <c r="H167" s="2">
        <v>8</v>
      </c>
      <c r="I167" s="2">
        <v>17.027999999999999</v>
      </c>
      <c r="J167" s="2">
        <v>357.58800000000002</v>
      </c>
      <c r="K167" s="5">
        <v>43521</v>
      </c>
      <c r="L167" s="4">
        <v>0.59166666666666667</v>
      </c>
      <c r="M167" s="3" t="s">
        <v>33</v>
      </c>
      <c r="N167" s="2">
        <v>340.56</v>
      </c>
      <c r="O167" s="2">
        <v>4.7619047620000003</v>
      </c>
      <c r="P167" s="2">
        <v>17.027999999999999</v>
      </c>
      <c r="Q167" s="2">
        <v>5.6</v>
      </c>
      <c r="R167" s="3" t="str">
        <f t="shared" si="6"/>
        <v>February</v>
      </c>
      <c r="S167" s="3">
        <f t="shared" si="5"/>
        <v>2</v>
      </c>
      <c r="T167" s="3" t="str">
        <f>IF(tbl_sales[[#This Row],[Sales]]&gt;=500,"High Value","Standard")</f>
        <v>Standard</v>
      </c>
      <c r="U167" s="1" t="str">
        <f>IF(tbl_sales[[#This Row],[Order Size]]="High Value","High Value Order","Standard Order")</f>
        <v>Standard Order</v>
      </c>
      <c r="V167" s="1"/>
      <c r="W167" s="17" t="s">
        <v>37</v>
      </c>
      <c r="X167" s="17"/>
      <c r="Y167" s="6"/>
      <c r="Z167" s="1" t="s">
        <v>37</v>
      </c>
    </row>
    <row r="168" spans="1:26">
      <c r="A168" s="3" t="s">
        <v>1137</v>
      </c>
      <c r="B168" s="3" t="s">
        <v>39</v>
      </c>
      <c r="C168" s="3" t="s">
        <v>40</v>
      </c>
      <c r="D168" s="3" t="s">
        <v>41</v>
      </c>
      <c r="E168" s="3" t="s">
        <v>992</v>
      </c>
      <c r="F168" s="3" t="s">
        <v>53</v>
      </c>
      <c r="G168" s="2">
        <v>95.58</v>
      </c>
      <c r="H168" s="2">
        <v>10</v>
      </c>
      <c r="I168" s="2">
        <v>47.79</v>
      </c>
      <c r="J168" s="2">
        <v>1003.59</v>
      </c>
      <c r="K168" s="5">
        <v>43481</v>
      </c>
      <c r="L168" s="4">
        <v>0.56388888888888888</v>
      </c>
      <c r="M168" s="3" t="s">
        <v>49</v>
      </c>
      <c r="N168" s="2">
        <v>955.8</v>
      </c>
      <c r="O168" s="2">
        <v>4.7619047620000003</v>
      </c>
      <c r="P168" s="2">
        <v>47.79</v>
      </c>
      <c r="Q168" s="2">
        <v>4.8</v>
      </c>
      <c r="R168" s="3" t="str">
        <f t="shared" si="6"/>
        <v>January</v>
      </c>
      <c r="S168" s="3">
        <f t="shared" si="5"/>
        <v>1</v>
      </c>
      <c r="T168" s="3" t="str">
        <f>IF(tbl_sales[[#This Row],[Sales]]&gt;=500,"High Value","Standard")</f>
        <v>High Value</v>
      </c>
      <c r="U168" s="1" t="str">
        <f>IF(tbl_sales[[#This Row],[Order Size]]="High Value","High Value Order","Standard Order")</f>
        <v>High Value Order</v>
      </c>
      <c r="V168" s="1"/>
      <c r="W168" s="17" t="s">
        <v>37</v>
      </c>
      <c r="X168" s="17"/>
      <c r="Y168" s="6"/>
      <c r="Z168" s="1" t="s">
        <v>37</v>
      </c>
    </row>
    <row r="169" spans="1:26">
      <c r="A169" s="3" t="s">
        <v>1143</v>
      </c>
      <c r="B169" s="3" t="s">
        <v>22</v>
      </c>
      <c r="C169" s="3" t="s">
        <v>23</v>
      </c>
      <c r="D169" s="3" t="s">
        <v>41</v>
      </c>
      <c r="E169" s="3" t="s">
        <v>992</v>
      </c>
      <c r="F169" s="3" t="s">
        <v>127</v>
      </c>
      <c r="G169" s="2">
        <v>98.98</v>
      </c>
      <c r="H169" s="2">
        <v>10</v>
      </c>
      <c r="I169" s="2">
        <v>49.49</v>
      </c>
      <c r="J169" s="2">
        <v>1039.29</v>
      </c>
      <c r="K169" s="5">
        <v>43504</v>
      </c>
      <c r="L169" s="4">
        <v>0.68055555555555558</v>
      </c>
      <c r="M169" s="3" t="s">
        <v>59</v>
      </c>
      <c r="N169" s="2">
        <v>989.8</v>
      </c>
      <c r="O169" s="2">
        <v>4.7619047620000003</v>
      </c>
      <c r="P169" s="2">
        <v>49.49</v>
      </c>
      <c r="Q169" s="2">
        <v>8.6999999999999993</v>
      </c>
      <c r="R169" s="3" t="str">
        <f t="shared" si="6"/>
        <v>February</v>
      </c>
      <c r="S169" s="3">
        <f t="shared" si="5"/>
        <v>2</v>
      </c>
      <c r="T169" s="3" t="str">
        <f>IF(tbl_sales[[#This Row],[Sales]]&gt;=500,"High Value","Standard")</f>
        <v>High Value</v>
      </c>
      <c r="U169" s="1" t="str">
        <f>IF(tbl_sales[[#This Row],[Order Size]]="High Value","High Value Order","Standard Order")</f>
        <v>High Value Order</v>
      </c>
      <c r="V169" s="1"/>
      <c r="W169" s="17" t="s">
        <v>37</v>
      </c>
      <c r="X169" s="17"/>
      <c r="Y169" s="6"/>
      <c r="Z169" s="1" t="s">
        <v>37</v>
      </c>
    </row>
    <row r="170" spans="1:26">
      <c r="A170" s="3" t="s">
        <v>1149</v>
      </c>
      <c r="B170" s="3" t="s">
        <v>22</v>
      </c>
      <c r="C170" s="3" t="s">
        <v>23</v>
      </c>
      <c r="D170" s="3" t="s">
        <v>41</v>
      </c>
      <c r="E170" s="3" t="s">
        <v>992</v>
      </c>
      <c r="F170" s="3" t="s">
        <v>117</v>
      </c>
      <c r="G170" s="2">
        <v>51.28</v>
      </c>
      <c r="H170" s="2">
        <v>6</v>
      </c>
      <c r="I170" s="2">
        <v>15.384</v>
      </c>
      <c r="J170" s="2">
        <v>323.06400000000002</v>
      </c>
      <c r="K170" s="5">
        <v>43484</v>
      </c>
      <c r="L170" s="4">
        <v>0.68819444444444444</v>
      </c>
      <c r="M170" s="3" t="s">
        <v>49</v>
      </c>
      <c r="N170" s="2">
        <v>307.68</v>
      </c>
      <c r="O170" s="2">
        <v>4.7619047620000003</v>
      </c>
      <c r="P170" s="2">
        <v>15.384</v>
      </c>
      <c r="Q170" s="2">
        <v>6.5</v>
      </c>
      <c r="R170" s="3" t="str">
        <f t="shared" si="6"/>
        <v>January</v>
      </c>
      <c r="S170" s="3">
        <f t="shared" si="5"/>
        <v>1</v>
      </c>
      <c r="T170" s="3" t="str">
        <f>IF(tbl_sales[[#This Row],[Sales]]&gt;=500,"High Value","Standard")</f>
        <v>Standard</v>
      </c>
      <c r="U170" s="1" t="str">
        <f>IF(tbl_sales[[#This Row],[Order Size]]="High Value","High Value Order","Standard Order")</f>
        <v>Standard Order</v>
      </c>
      <c r="V170" s="1"/>
      <c r="W170" s="17" t="s">
        <v>37</v>
      </c>
      <c r="X170" s="17"/>
      <c r="Y170" s="6"/>
      <c r="Z170" s="1" t="s">
        <v>37</v>
      </c>
    </row>
    <row r="171" spans="1:26">
      <c r="A171" s="3" t="s">
        <v>1155</v>
      </c>
      <c r="B171" s="3" t="s">
        <v>22</v>
      </c>
      <c r="C171" s="3" t="s">
        <v>23</v>
      </c>
      <c r="D171" s="3" t="s">
        <v>24</v>
      </c>
      <c r="E171" s="3" t="s">
        <v>992</v>
      </c>
      <c r="F171" s="3" t="s">
        <v>72</v>
      </c>
      <c r="G171" s="2">
        <v>69.52</v>
      </c>
      <c r="H171" s="2">
        <v>7</v>
      </c>
      <c r="I171" s="2">
        <v>24.332000000000001</v>
      </c>
      <c r="J171" s="2">
        <v>510.97199999999998</v>
      </c>
      <c r="K171" s="5">
        <v>43497</v>
      </c>
      <c r="L171" s="4">
        <v>0.63194444444444442</v>
      </c>
      <c r="M171" s="3" t="s">
        <v>59</v>
      </c>
      <c r="N171" s="2">
        <v>486.64</v>
      </c>
      <c r="O171" s="2">
        <v>4.7619047620000003</v>
      </c>
      <c r="P171" s="2">
        <v>24.332000000000001</v>
      </c>
      <c r="Q171" s="2">
        <v>8.5</v>
      </c>
      <c r="R171" s="3" t="str">
        <f t="shared" si="6"/>
        <v>February</v>
      </c>
      <c r="S171" s="3">
        <f t="shared" si="5"/>
        <v>2</v>
      </c>
      <c r="T171" s="3" t="str">
        <f>IF(tbl_sales[[#This Row],[Sales]]&gt;=500,"High Value","Standard")</f>
        <v>High Value</v>
      </c>
      <c r="U171" s="1" t="str">
        <f>IF(tbl_sales[[#This Row],[Order Size]]="High Value","High Value Order","Standard Order")</f>
        <v>High Value Order</v>
      </c>
      <c r="V171" s="1"/>
      <c r="W171" s="17" t="s">
        <v>37</v>
      </c>
      <c r="X171" s="17"/>
      <c r="Y171" s="6"/>
      <c r="Z171" s="1" t="s">
        <v>37</v>
      </c>
    </row>
    <row r="172" spans="1:26">
      <c r="A172" s="3" t="s">
        <v>1160</v>
      </c>
      <c r="B172" s="3" t="s">
        <v>22</v>
      </c>
      <c r="C172" s="3" t="s">
        <v>23</v>
      </c>
      <c r="D172" s="3" t="s">
        <v>41</v>
      </c>
      <c r="E172" s="3" t="s">
        <v>992</v>
      </c>
      <c r="F172" s="3" t="s">
        <v>26</v>
      </c>
      <c r="G172" s="2">
        <v>70.010000000000005</v>
      </c>
      <c r="H172" s="2">
        <v>5</v>
      </c>
      <c r="I172" s="2">
        <v>17.502500000000001</v>
      </c>
      <c r="J172" s="2">
        <v>367.55250000000001</v>
      </c>
      <c r="K172" s="5">
        <v>43468</v>
      </c>
      <c r="L172" s="4">
        <v>0.48333333333333334</v>
      </c>
      <c r="M172" s="3" t="s">
        <v>33</v>
      </c>
      <c r="N172" s="2">
        <v>350.05</v>
      </c>
      <c r="O172" s="2">
        <v>4.7619047620000003</v>
      </c>
      <c r="P172" s="2">
        <v>17.502500000000001</v>
      </c>
      <c r="Q172" s="2">
        <v>5.5</v>
      </c>
      <c r="R172" s="3" t="str">
        <f t="shared" si="6"/>
        <v>January</v>
      </c>
      <c r="S172" s="3">
        <f t="shared" si="5"/>
        <v>1</v>
      </c>
      <c r="T172" s="3" t="str">
        <f>IF(tbl_sales[[#This Row],[Sales]]&gt;=500,"High Value","Standard")</f>
        <v>Standard</v>
      </c>
      <c r="U172" s="1" t="str">
        <f>IF(tbl_sales[[#This Row],[Order Size]]="High Value","High Value Order","Standard Order")</f>
        <v>Standard Order</v>
      </c>
      <c r="V172" s="1"/>
      <c r="W172" s="17" t="s">
        <v>37</v>
      </c>
      <c r="X172" s="17"/>
      <c r="Y172" s="6"/>
      <c r="Z172" s="1" t="s">
        <v>37</v>
      </c>
    </row>
    <row r="173" spans="1:26">
      <c r="A173" s="3" t="s">
        <v>1167</v>
      </c>
      <c r="B173" s="3" t="s">
        <v>115</v>
      </c>
      <c r="C173" s="3" t="s">
        <v>116</v>
      </c>
      <c r="D173" s="3" t="s">
        <v>24</v>
      </c>
      <c r="E173" s="3" t="s">
        <v>992</v>
      </c>
      <c r="F173" s="3" t="s">
        <v>117</v>
      </c>
      <c r="G173" s="2">
        <v>80.05</v>
      </c>
      <c r="H173" s="2">
        <v>5</v>
      </c>
      <c r="I173" s="2">
        <v>20.012499999999999</v>
      </c>
      <c r="J173" s="2">
        <v>420.26249999999999</v>
      </c>
      <c r="K173" s="5">
        <v>43491</v>
      </c>
      <c r="L173" s="4">
        <v>0.53125</v>
      </c>
      <c r="M173" s="3" t="s">
        <v>59</v>
      </c>
      <c r="N173" s="2">
        <v>400.25</v>
      </c>
      <c r="O173" s="2">
        <v>4.7619047620000003</v>
      </c>
      <c r="P173" s="2">
        <v>20.012499999999999</v>
      </c>
      <c r="Q173" s="2">
        <v>9.4</v>
      </c>
      <c r="R173" s="3" t="str">
        <f t="shared" si="6"/>
        <v>January</v>
      </c>
      <c r="S173" s="3">
        <f t="shared" si="5"/>
        <v>1</v>
      </c>
      <c r="T173" s="3" t="str">
        <f>IF(tbl_sales[[#This Row],[Sales]]&gt;=500,"High Value","Standard")</f>
        <v>Standard</v>
      </c>
      <c r="U173" s="1" t="str">
        <f>IF(tbl_sales[[#This Row],[Order Size]]="High Value","High Value Order","Standard Order")</f>
        <v>Standard Order</v>
      </c>
      <c r="V173" s="1"/>
      <c r="W173" s="17" t="s">
        <v>37</v>
      </c>
      <c r="X173" s="17"/>
      <c r="Y173" s="6"/>
      <c r="Z173" s="1" t="s">
        <v>37</v>
      </c>
    </row>
    <row r="174" spans="1:26">
      <c r="A174" s="3" t="s">
        <v>1172</v>
      </c>
      <c r="B174" s="3" t="s">
        <v>39</v>
      </c>
      <c r="C174" s="3" t="s">
        <v>40</v>
      </c>
      <c r="D174" s="3" t="s">
        <v>41</v>
      </c>
      <c r="E174" s="3" t="s">
        <v>992</v>
      </c>
      <c r="F174" s="3" t="s">
        <v>42</v>
      </c>
      <c r="G174" s="2">
        <v>20.85</v>
      </c>
      <c r="H174" s="2">
        <v>8</v>
      </c>
      <c r="I174" s="2">
        <v>8.34</v>
      </c>
      <c r="J174" s="2">
        <v>175.14</v>
      </c>
      <c r="K174" s="5">
        <v>43527</v>
      </c>
      <c r="L174" s="4">
        <v>0.80347222222222225</v>
      </c>
      <c r="M174" s="3" t="s">
        <v>49</v>
      </c>
      <c r="N174" s="2">
        <v>166.8</v>
      </c>
      <c r="O174" s="2">
        <v>4.7619047620000003</v>
      </c>
      <c r="P174" s="2">
        <v>8.34</v>
      </c>
      <c r="Q174" s="2">
        <v>6.3</v>
      </c>
      <c r="R174" s="3" t="str">
        <f t="shared" si="6"/>
        <v>March</v>
      </c>
      <c r="S174" s="3">
        <f t="shared" si="5"/>
        <v>3</v>
      </c>
      <c r="T174" s="3" t="str">
        <f>IF(tbl_sales[[#This Row],[Sales]]&gt;=500,"High Value","Standard")</f>
        <v>Standard</v>
      </c>
      <c r="U174" s="1" t="str">
        <f>IF(tbl_sales[[#This Row],[Order Size]]="High Value","High Value Order","Standard Order")</f>
        <v>Standard Order</v>
      </c>
      <c r="V174" s="1"/>
      <c r="W174" s="17" t="s">
        <v>37</v>
      </c>
      <c r="X174" s="17"/>
      <c r="Y174" s="6"/>
      <c r="Z174" s="1" t="s">
        <v>37</v>
      </c>
    </row>
    <row r="175" spans="1:26">
      <c r="A175" s="3" t="s">
        <v>1178</v>
      </c>
      <c r="B175" s="3" t="s">
        <v>115</v>
      </c>
      <c r="C175" s="3" t="s">
        <v>116</v>
      </c>
      <c r="D175" s="3" t="s">
        <v>24</v>
      </c>
      <c r="E175" s="3" t="s">
        <v>992</v>
      </c>
      <c r="F175" s="3" t="s">
        <v>42</v>
      </c>
      <c r="G175" s="2">
        <v>52.89</v>
      </c>
      <c r="H175" s="2">
        <v>6</v>
      </c>
      <c r="I175" s="2">
        <v>15.867000000000001</v>
      </c>
      <c r="J175" s="2">
        <v>333.20699999999999</v>
      </c>
      <c r="K175" s="5">
        <v>43484</v>
      </c>
      <c r="L175" s="4">
        <v>0.7319444444444444</v>
      </c>
      <c r="M175" s="3" t="s">
        <v>59</v>
      </c>
      <c r="N175" s="2">
        <v>317.33999999999997</v>
      </c>
      <c r="O175" s="2">
        <v>4.7619047620000003</v>
      </c>
      <c r="P175" s="2">
        <v>15.867000000000001</v>
      </c>
      <c r="Q175" s="2">
        <v>9.8000000000000007</v>
      </c>
      <c r="R175" s="3" t="str">
        <f t="shared" si="6"/>
        <v>January</v>
      </c>
      <c r="S175" s="3">
        <f t="shared" si="5"/>
        <v>1</v>
      </c>
      <c r="T175" s="3" t="str">
        <f>IF(tbl_sales[[#This Row],[Sales]]&gt;=500,"High Value","Standard")</f>
        <v>Standard</v>
      </c>
      <c r="U175" s="1" t="str">
        <f>IF(tbl_sales[[#This Row],[Order Size]]="High Value","High Value Order","Standard Order")</f>
        <v>Standard Order</v>
      </c>
      <c r="V175" s="1"/>
      <c r="W175" s="17" t="s">
        <v>37</v>
      </c>
      <c r="X175" s="17"/>
      <c r="Y175" s="6"/>
      <c r="Z175" s="1" t="s">
        <v>37</v>
      </c>
    </row>
    <row r="176" spans="1:26">
      <c r="A176" s="3" t="s">
        <v>1184</v>
      </c>
      <c r="B176" s="3" t="s">
        <v>115</v>
      </c>
      <c r="C176" s="3" t="s">
        <v>116</v>
      </c>
      <c r="D176" s="3" t="s">
        <v>41</v>
      </c>
      <c r="E176" s="3" t="s">
        <v>992</v>
      </c>
      <c r="F176" s="3" t="s">
        <v>117</v>
      </c>
      <c r="G176" s="2">
        <v>19.79</v>
      </c>
      <c r="H176" s="2">
        <v>8</v>
      </c>
      <c r="I176" s="2">
        <v>7.9160000000000004</v>
      </c>
      <c r="J176" s="2">
        <v>166.23599999999999</v>
      </c>
      <c r="K176" s="5">
        <v>43483</v>
      </c>
      <c r="L176" s="4">
        <v>0.50277777777777777</v>
      </c>
      <c r="M176" s="3" t="s">
        <v>33</v>
      </c>
      <c r="N176" s="2">
        <v>158.32</v>
      </c>
      <c r="O176" s="2">
        <v>4.7619047620000003</v>
      </c>
      <c r="P176" s="2">
        <v>7.9160000000000004</v>
      </c>
      <c r="Q176" s="2">
        <v>8.6999999999999993</v>
      </c>
      <c r="R176" s="3" t="str">
        <f t="shared" si="6"/>
        <v>January</v>
      </c>
      <c r="S176" s="3">
        <f t="shared" si="5"/>
        <v>1</v>
      </c>
      <c r="T176" s="3" t="str">
        <f>IF(tbl_sales[[#This Row],[Sales]]&gt;=500,"High Value","Standard")</f>
        <v>Standard</v>
      </c>
      <c r="U176" s="1" t="str">
        <f>IF(tbl_sales[[#This Row],[Order Size]]="High Value","High Value Order","Standard Order")</f>
        <v>Standard Order</v>
      </c>
      <c r="V176" s="1"/>
      <c r="W176" s="17" t="s">
        <v>37</v>
      </c>
      <c r="X176" s="17"/>
      <c r="Y176" s="6"/>
      <c r="Z176" s="1" t="s">
        <v>37</v>
      </c>
    </row>
    <row r="177" spans="1:26">
      <c r="A177" s="3" t="s">
        <v>1190</v>
      </c>
      <c r="B177" s="3" t="s">
        <v>22</v>
      </c>
      <c r="C177" s="3" t="s">
        <v>23</v>
      </c>
      <c r="D177" s="3" t="s">
        <v>24</v>
      </c>
      <c r="E177" s="3" t="s">
        <v>992</v>
      </c>
      <c r="F177" s="3" t="s">
        <v>53</v>
      </c>
      <c r="G177" s="2">
        <v>33.840000000000003</v>
      </c>
      <c r="H177" s="2">
        <v>9</v>
      </c>
      <c r="I177" s="2">
        <v>15.228</v>
      </c>
      <c r="J177" s="2">
        <v>319.78800000000001</v>
      </c>
      <c r="K177" s="5">
        <v>43545</v>
      </c>
      <c r="L177" s="4">
        <v>0.68125000000000002</v>
      </c>
      <c r="M177" s="3" t="s">
        <v>33</v>
      </c>
      <c r="N177" s="2">
        <v>304.56</v>
      </c>
      <c r="O177" s="2">
        <v>4.7619047620000003</v>
      </c>
      <c r="P177" s="2">
        <v>15.228</v>
      </c>
      <c r="Q177" s="2">
        <v>8.8000000000000007</v>
      </c>
      <c r="R177" s="3" t="str">
        <f t="shared" si="6"/>
        <v>March</v>
      </c>
      <c r="S177" s="3">
        <f t="shared" si="5"/>
        <v>3</v>
      </c>
      <c r="T177" s="3" t="str">
        <f>IF(tbl_sales[[#This Row],[Sales]]&gt;=500,"High Value","Standard")</f>
        <v>Standard</v>
      </c>
      <c r="U177" s="1" t="str">
        <f>IF(tbl_sales[[#This Row],[Order Size]]="High Value","High Value Order","Standard Order")</f>
        <v>Standard Order</v>
      </c>
      <c r="V177" s="1"/>
      <c r="W177" s="17" t="s">
        <v>37</v>
      </c>
      <c r="X177" s="17"/>
      <c r="Y177" s="6"/>
      <c r="Z177" s="1" t="s">
        <v>37</v>
      </c>
    </row>
    <row r="178" spans="1:26">
      <c r="A178" s="3" t="s">
        <v>1196</v>
      </c>
      <c r="B178" s="3" t="s">
        <v>22</v>
      </c>
      <c r="C178" s="3" t="s">
        <v>23</v>
      </c>
      <c r="D178" s="3" t="s">
        <v>24</v>
      </c>
      <c r="E178" s="3" t="s">
        <v>992</v>
      </c>
      <c r="F178" s="3" t="s">
        <v>117</v>
      </c>
      <c r="G178" s="2">
        <v>22.17</v>
      </c>
      <c r="H178" s="2">
        <v>8</v>
      </c>
      <c r="I178" s="2">
        <v>8.8680000000000003</v>
      </c>
      <c r="J178" s="2">
        <v>186.22800000000001</v>
      </c>
      <c r="K178" s="5">
        <v>43527</v>
      </c>
      <c r="L178" s="4">
        <v>0.70902777777777781</v>
      </c>
      <c r="M178" s="3" t="s">
        <v>59</v>
      </c>
      <c r="N178" s="2">
        <v>177.36</v>
      </c>
      <c r="O178" s="2">
        <v>4.7619047620000003</v>
      </c>
      <c r="P178" s="2">
        <v>8.8680000000000003</v>
      </c>
      <c r="Q178" s="2">
        <v>9.6</v>
      </c>
      <c r="R178" s="3" t="str">
        <f t="shared" si="6"/>
        <v>March</v>
      </c>
      <c r="S178" s="3">
        <f t="shared" si="5"/>
        <v>3</v>
      </c>
      <c r="T178" s="3" t="str">
        <f>IF(tbl_sales[[#This Row],[Sales]]&gt;=500,"High Value","Standard")</f>
        <v>Standard</v>
      </c>
      <c r="U178" s="1" t="str">
        <f>IF(tbl_sales[[#This Row],[Order Size]]="High Value","High Value Order","Standard Order")</f>
        <v>Standard Order</v>
      </c>
      <c r="V178" s="1"/>
      <c r="W178" s="17" t="s">
        <v>37</v>
      </c>
      <c r="X178" s="17"/>
      <c r="Y178" s="6"/>
      <c r="Z178" s="1" t="s">
        <v>37</v>
      </c>
    </row>
    <row r="179" spans="1:26">
      <c r="A179" s="3" t="s">
        <v>1202</v>
      </c>
      <c r="B179" s="3" t="s">
        <v>39</v>
      </c>
      <c r="C179" s="3" t="s">
        <v>40</v>
      </c>
      <c r="D179" s="3" t="s">
        <v>41</v>
      </c>
      <c r="E179" s="3" t="s">
        <v>25</v>
      </c>
      <c r="F179" s="3" t="s">
        <v>127</v>
      </c>
      <c r="G179" s="2">
        <v>22.51</v>
      </c>
      <c r="H179" s="2">
        <v>7</v>
      </c>
      <c r="I179" s="2">
        <v>7.8784999999999998</v>
      </c>
      <c r="J179" s="2">
        <v>165.4485</v>
      </c>
      <c r="K179" s="5">
        <v>43509</v>
      </c>
      <c r="L179" s="4">
        <v>0.4513888888888889</v>
      </c>
      <c r="M179" s="3" t="s">
        <v>59</v>
      </c>
      <c r="N179" s="2">
        <v>157.57</v>
      </c>
      <c r="O179" s="2">
        <v>4.7619047620000003</v>
      </c>
      <c r="P179" s="2">
        <v>7.8784999999999998</v>
      </c>
      <c r="Q179" s="2">
        <v>4.8</v>
      </c>
      <c r="R179" s="3" t="str">
        <f t="shared" si="6"/>
        <v>February</v>
      </c>
      <c r="S179" s="3">
        <f t="shared" si="5"/>
        <v>2</v>
      </c>
      <c r="T179" s="3" t="str">
        <f>IF(tbl_sales[[#This Row],[Sales]]&gt;=500,"High Value","Standard")</f>
        <v>Standard</v>
      </c>
      <c r="U179" s="1" t="str">
        <f>IF(tbl_sales[[#This Row],[Order Size]]="High Value","High Value Order","Standard Order")</f>
        <v>Standard Order</v>
      </c>
      <c r="V179" s="1"/>
      <c r="W179" s="17" t="s">
        <v>37</v>
      </c>
      <c r="X179" s="17"/>
      <c r="Y179" s="6"/>
      <c r="Z179" s="1" t="s">
        <v>37</v>
      </c>
    </row>
    <row r="180" spans="1:26">
      <c r="A180" s="3" t="s">
        <v>1209</v>
      </c>
      <c r="B180" s="3" t="s">
        <v>22</v>
      </c>
      <c r="C180" s="3" t="s">
        <v>23</v>
      </c>
      <c r="D180" s="3" t="s">
        <v>41</v>
      </c>
      <c r="E180" s="3" t="s">
        <v>992</v>
      </c>
      <c r="F180" s="3" t="s">
        <v>117</v>
      </c>
      <c r="G180" s="2">
        <v>73.88</v>
      </c>
      <c r="H180" s="2">
        <v>6</v>
      </c>
      <c r="I180" s="2">
        <v>22.164000000000001</v>
      </c>
      <c r="J180" s="2">
        <v>465.44400000000002</v>
      </c>
      <c r="K180" s="5">
        <v>43547</v>
      </c>
      <c r="L180" s="4">
        <v>0.80277777777777781</v>
      </c>
      <c r="M180" s="3" t="s">
        <v>33</v>
      </c>
      <c r="N180" s="2">
        <v>443.28</v>
      </c>
      <c r="O180" s="2">
        <v>4.7619047620000003</v>
      </c>
      <c r="P180" s="2">
        <v>22.164000000000001</v>
      </c>
      <c r="Q180" s="2">
        <v>4.4000000000000004</v>
      </c>
      <c r="R180" s="3" t="str">
        <f t="shared" si="6"/>
        <v>March</v>
      </c>
      <c r="S180" s="3">
        <f t="shared" si="5"/>
        <v>3</v>
      </c>
      <c r="T180" s="3" t="str">
        <f>IF(tbl_sales[[#This Row],[Sales]]&gt;=500,"High Value","Standard")</f>
        <v>Standard</v>
      </c>
      <c r="U180" s="1" t="str">
        <f>IF(tbl_sales[[#This Row],[Order Size]]="High Value","High Value Order","Standard Order")</f>
        <v>Standard Order</v>
      </c>
      <c r="V180" s="1"/>
      <c r="W180" s="17" t="s">
        <v>37</v>
      </c>
      <c r="X180" s="17"/>
      <c r="Y180" s="6"/>
      <c r="Z180" s="1" t="s">
        <v>37</v>
      </c>
    </row>
    <row r="181" spans="1:26">
      <c r="A181" s="3" t="s">
        <v>1215</v>
      </c>
      <c r="B181" s="3" t="s">
        <v>39</v>
      </c>
      <c r="C181" s="3" t="s">
        <v>40</v>
      </c>
      <c r="D181" s="3" t="s">
        <v>24</v>
      </c>
      <c r="E181" s="3" t="s">
        <v>992</v>
      </c>
      <c r="F181" s="3" t="s">
        <v>26</v>
      </c>
      <c r="G181" s="2">
        <v>86.8</v>
      </c>
      <c r="H181" s="2">
        <v>3</v>
      </c>
      <c r="I181" s="2">
        <v>13.02</v>
      </c>
      <c r="J181" s="2">
        <v>273.42</v>
      </c>
      <c r="K181" s="5">
        <v>43493</v>
      </c>
      <c r="L181" s="4">
        <v>0.69930555555555551</v>
      </c>
      <c r="M181" s="3" t="s">
        <v>33</v>
      </c>
      <c r="N181" s="2">
        <v>260.39999999999998</v>
      </c>
      <c r="O181" s="2">
        <v>4.7619047620000003</v>
      </c>
      <c r="P181" s="2">
        <v>13.02</v>
      </c>
      <c r="Q181" s="2">
        <v>9.9</v>
      </c>
      <c r="R181" s="3" t="str">
        <f t="shared" si="6"/>
        <v>January</v>
      </c>
      <c r="S181" s="3">
        <f t="shared" si="5"/>
        <v>1</v>
      </c>
      <c r="T181" s="3" t="str">
        <f>IF(tbl_sales[[#This Row],[Sales]]&gt;=500,"High Value","Standard")</f>
        <v>Standard</v>
      </c>
      <c r="U181" s="1" t="str">
        <f>IF(tbl_sales[[#This Row],[Order Size]]="High Value","High Value Order","Standard Order")</f>
        <v>Standard Order</v>
      </c>
      <c r="V181" s="1"/>
      <c r="W181" s="17" t="s">
        <v>37</v>
      </c>
      <c r="X181" s="17"/>
      <c r="Y181" s="6"/>
      <c r="Z181" s="1" t="s">
        <v>37</v>
      </c>
    </row>
    <row r="182" spans="1:26">
      <c r="A182" s="3" t="s">
        <v>1221</v>
      </c>
      <c r="B182" s="3" t="s">
        <v>39</v>
      </c>
      <c r="C182" s="3" t="s">
        <v>40</v>
      </c>
      <c r="D182" s="3" t="s">
        <v>41</v>
      </c>
      <c r="E182" s="3" t="s">
        <v>992</v>
      </c>
      <c r="F182" s="3" t="s">
        <v>127</v>
      </c>
      <c r="G182" s="2">
        <v>64.260000000000005</v>
      </c>
      <c r="H182" s="2">
        <v>7</v>
      </c>
      <c r="I182" s="2">
        <v>22.491</v>
      </c>
      <c r="J182" s="2">
        <v>472.31099999999998</v>
      </c>
      <c r="K182" s="5">
        <v>43505</v>
      </c>
      <c r="L182" s="4">
        <v>0.41666666666666669</v>
      </c>
      <c r="M182" s="3" t="s">
        <v>49</v>
      </c>
      <c r="N182" s="2">
        <v>449.82</v>
      </c>
      <c r="O182" s="2">
        <v>4.7619047620000003</v>
      </c>
      <c r="P182" s="2">
        <v>22.491</v>
      </c>
      <c r="Q182" s="2">
        <v>5.7</v>
      </c>
      <c r="R182" s="3" t="str">
        <f t="shared" si="6"/>
        <v>February</v>
      </c>
      <c r="S182" s="3">
        <f t="shared" si="5"/>
        <v>2</v>
      </c>
      <c r="T182" s="3" t="str">
        <f>IF(tbl_sales[[#This Row],[Sales]]&gt;=500,"High Value","Standard")</f>
        <v>Standard</v>
      </c>
      <c r="U182" s="1" t="str">
        <f>IF(tbl_sales[[#This Row],[Order Size]]="High Value","High Value Order","Standard Order")</f>
        <v>Standard Order</v>
      </c>
      <c r="V182" s="1"/>
      <c r="W182" s="17" t="s">
        <v>37</v>
      </c>
      <c r="X182" s="17"/>
      <c r="Y182" s="6"/>
      <c r="Z182" s="1" t="s">
        <v>37</v>
      </c>
    </row>
    <row r="183" spans="1:26">
      <c r="A183" s="3" t="s">
        <v>1227</v>
      </c>
      <c r="B183" s="3" t="s">
        <v>39</v>
      </c>
      <c r="C183" s="3" t="s">
        <v>40</v>
      </c>
      <c r="D183" s="3" t="s">
        <v>24</v>
      </c>
      <c r="E183" s="3" t="s">
        <v>992</v>
      </c>
      <c r="F183" s="3" t="s">
        <v>117</v>
      </c>
      <c r="G183" s="2">
        <v>38.47</v>
      </c>
      <c r="H183" s="2">
        <v>8</v>
      </c>
      <c r="I183" s="2">
        <v>15.388</v>
      </c>
      <c r="J183" s="2">
        <v>323.14800000000002</v>
      </c>
      <c r="K183" s="5">
        <v>43488</v>
      </c>
      <c r="L183" s="4">
        <v>0.49375000000000002</v>
      </c>
      <c r="M183" s="3" t="s">
        <v>49</v>
      </c>
      <c r="N183" s="2">
        <v>307.76</v>
      </c>
      <c r="O183" s="2">
        <v>4.7619047620000003</v>
      </c>
      <c r="P183" s="2">
        <v>15.388</v>
      </c>
      <c r="Q183" s="2">
        <v>7.7</v>
      </c>
      <c r="R183" s="3" t="str">
        <f t="shared" si="6"/>
        <v>January</v>
      </c>
      <c r="S183" s="3">
        <f t="shared" si="5"/>
        <v>1</v>
      </c>
      <c r="T183" s="3" t="str">
        <f>IF(tbl_sales[[#This Row],[Sales]]&gt;=500,"High Value","Standard")</f>
        <v>Standard</v>
      </c>
      <c r="U183" s="1" t="str">
        <f>IF(tbl_sales[[#This Row],[Order Size]]="High Value","High Value Order","Standard Order")</f>
        <v>Standard Order</v>
      </c>
      <c r="V183" s="1"/>
      <c r="W183" s="17" t="s">
        <v>37</v>
      </c>
      <c r="X183" s="17"/>
      <c r="Y183" s="6"/>
      <c r="Z183" s="1" t="s">
        <v>37</v>
      </c>
    </row>
    <row r="184" spans="1:26">
      <c r="A184" s="3" t="s">
        <v>1233</v>
      </c>
      <c r="B184" s="3" t="s">
        <v>22</v>
      </c>
      <c r="C184" s="3" t="s">
        <v>23</v>
      </c>
      <c r="D184" s="3" t="s">
        <v>24</v>
      </c>
      <c r="E184" s="3" t="s">
        <v>992</v>
      </c>
      <c r="F184" s="3" t="s">
        <v>72</v>
      </c>
      <c r="G184" s="2">
        <v>15.5</v>
      </c>
      <c r="H184" s="2">
        <v>10</v>
      </c>
      <c r="I184" s="2">
        <v>7.75</v>
      </c>
      <c r="J184" s="2">
        <v>162.75</v>
      </c>
      <c r="K184" s="5">
        <v>43547</v>
      </c>
      <c r="L184" s="4">
        <v>0.4548611111111111</v>
      </c>
      <c r="M184" s="3" t="s">
        <v>33</v>
      </c>
      <c r="N184" s="2">
        <v>155</v>
      </c>
      <c r="O184" s="2">
        <v>4.7619047620000003</v>
      </c>
      <c r="P184" s="2">
        <v>7.75</v>
      </c>
      <c r="Q184" s="2">
        <v>8</v>
      </c>
      <c r="R184" s="3" t="str">
        <f t="shared" si="6"/>
        <v>March</v>
      </c>
      <c r="S184" s="3">
        <f t="shared" si="5"/>
        <v>3</v>
      </c>
      <c r="T184" s="3" t="str">
        <f>IF(tbl_sales[[#This Row],[Sales]]&gt;=500,"High Value","Standard")</f>
        <v>Standard</v>
      </c>
      <c r="U184" s="1" t="str">
        <f>IF(tbl_sales[[#This Row],[Order Size]]="High Value","High Value Order","Standard Order")</f>
        <v>Standard Order</v>
      </c>
      <c r="V184" s="1"/>
      <c r="W184" s="17" t="s">
        <v>37</v>
      </c>
      <c r="X184" s="17"/>
      <c r="Y184" s="6"/>
      <c r="Z184" s="1" t="s">
        <v>37</v>
      </c>
    </row>
    <row r="185" spans="1:26">
      <c r="A185" s="3" t="s">
        <v>1238</v>
      </c>
      <c r="B185" s="3" t="s">
        <v>39</v>
      </c>
      <c r="C185" s="3" t="s">
        <v>40</v>
      </c>
      <c r="D185" s="3" t="s">
        <v>41</v>
      </c>
      <c r="E185" s="3" t="s">
        <v>992</v>
      </c>
      <c r="F185" s="3" t="s">
        <v>26</v>
      </c>
      <c r="G185" s="2">
        <v>34.31</v>
      </c>
      <c r="H185" s="2">
        <v>8</v>
      </c>
      <c r="I185" s="2">
        <v>13.724</v>
      </c>
      <c r="J185" s="2">
        <v>288.20400000000001</v>
      </c>
      <c r="K185" s="5">
        <v>43490</v>
      </c>
      <c r="L185" s="4">
        <v>0.625</v>
      </c>
      <c r="M185" s="3" t="s">
        <v>33</v>
      </c>
      <c r="N185" s="2">
        <v>274.48</v>
      </c>
      <c r="O185" s="2">
        <v>4.7619047620000003</v>
      </c>
      <c r="P185" s="2">
        <v>13.724</v>
      </c>
      <c r="Q185" s="2">
        <v>5.7</v>
      </c>
      <c r="R185" s="3" t="str">
        <f t="shared" si="6"/>
        <v>January</v>
      </c>
      <c r="S185" s="3">
        <f t="shared" si="5"/>
        <v>1</v>
      </c>
      <c r="T185" s="3" t="str">
        <f>IF(tbl_sales[[#This Row],[Sales]]&gt;=500,"High Value","Standard")</f>
        <v>Standard</v>
      </c>
      <c r="U185" s="1" t="str">
        <f>IF(tbl_sales[[#This Row],[Order Size]]="High Value","High Value Order","Standard Order")</f>
        <v>Standard Order</v>
      </c>
      <c r="V185" s="1"/>
      <c r="W185" s="17" t="s">
        <v>37</v>
      </c>
      <c r="X185" s="17"/>
      <c r="Y185" s="6"/>
      <c r="Z185" s="1" t="s">
        <v>37</v>
      </c>
    </row>
    <row r="186" spans="1:26">
      <c r="A186" s="3" t="s">
        <v>1244</v>
      </c>
      <c r="B186" s="3" t="s">
        <v>22</v>
      </c>
      <c r="C186" s="3" t="s">
        <v>23</v>
      </c>
      <c r="D186" s="3" t="s">
        <v>41</v>
      </c>
      <c r="E186" s="3" t="s">
        <v>25</v>
      </c>
      <c r="F186" s="3" t="s">
        <v>72</v>
      </c>
      <c r="G186" s="2">
        <v>12.34</v>
      </c>
      <c r="H186" s="2">
        <v>7</v>
      </c>
      <c r="I186" s="2">
        <v>4.319</v>
      </c>
      <c r="J186" s="2">
        <v>90.698999999999998</v>
      </c>
      <c r="K186" s="5">
        <v>43528</v>
      </c>
      <c r="L186" s="4">
        <v>0.47152777777777777</v>
      </c>
      <c r="M186" s="3" t="s">
        <v>59</v>
      </c>
      <c r="N186" s="2">
        <v>86.38</v>
      </c>
      <c r="O186" s="2">
        <v>4.7619047620000003</v>
      </c>
      <c r="P186" s="2">
        <v>4.319</v>
      </c>
      <c r="Q186" s="2">
        <v>6.7</v>
      </c>
      <c r="R186" s="3" t="str">
        <f t="shared" si="6"/>
        <v>March</v>
      </c>
      <c r="S186" s="3">
        <f t="shared" si="5"/>
        <v>3</v>
      </c>
      <c r="T186" s="3" t="str">
        <f>IF(tbl_sales[[#This Row],[Sales]]&gt;=500,"High Value","Standard")</f>
        <v>Standard</v>
      </c>
      <c r="U186" s="1" t="str">
        <f>IF(tbl_sales[[#This Row],[Order Size]]="High Value","High Value Order","Standard Order")</f>
        <v>Standard Order</v>
      </c>
      <c r="V186" s="1"/>
      <c r="W186" s="17" t="s">
        <v>37</v>
      </c>
      <c r="X186" s="17"/>
      <c r="Y186" s="6"/>
      <c r="Z186" s="1" t="s">
        <v>37</v>
      </c>
    </row>
    <row r="187" spans="1:26">
      <c r="A187" s="3" t="s">
        <v>1250</v>
      </c>
      <c r="B187" s="3" t="s">
        <v>115</v>
      </c>
      <c r="C187" s="3" t="s">
        <v>116</v>
      </c>
      <c r="D187" s="3" t="s">
        <v>24</v>
      </c>
      <c r="E187" s="3" t="s">
        <v>992</v>
      </c>
      <c r="F187" s="3" t="s">
        <v>117</v>
      </c>
      <c r="G187" s="2">
        <v>18.079999999999998</v>
      </c>
      <c r="H187" s="2">
        <v>3</v>
      </c>
      <c r="I187" s="2">
        <v>2.7120000000000002</v>
      </c>
      <c r="J187" s="2">
        <v>56.951999999999998</v>
      </c>
      <c r="K187" s="5">
        <v>43529</v>
      </c>
      <c r="L187" s="4">
        <v>0.82361111111111107</v>
      </c>
      <c r="M187" s="3" t="s">
        <v>33</v>
      </c>
      <c r="N187" s="2">
        <v>54.24</v>
      </c>
      <c r="O187" s="2">
        <v>4.7619047620000003</v>
      </c>
      <c r="P187" s="2">
        <v>2.7120000000000002</v>
      </c>
      <c r="Q187" s="2">
        <v>8</v>
      </c>
      <c r="R187" s="3" t="str">
        <f t="shared" si="6"/>
        <v>March</v>
      </c>
      <c r="S187" s="3">
        <f t="shared" si="5"/>
        <v>3</v>
      </c>
      <c r="T187" s="3" t="str">
        <f>IF(tbl_sales[[#This Row],[Sales]]&gt;=500,"High Value","Standard")</f>
        <v>Standard</v>
      </c>
      <c r="U187" s="1" t="str">
        <f>IF(tbl_sales[[#This Row],[Order Size]]="High Value","High Value Order","Standard Order")</f>
        <v>Standard Order</v>
      </c>
      <c r="V187" s="1"/>
      <c r="W187" s="17" t="s">
        <v>37</v>
      </c>
      <c r="X187" s="17"/>
      <c r="Y187" s="6"/>
      <c r="Z187" s="1" t="s">
        <v>37</v>
      </c>
    </row>
    <row r="188" spans="1:26">
      <c r="A188" s="3" t="s">
        <v>1256</v>
      </c>
      <c r="B188" s="3" t="s">
        <v>115</v>
      </c>
      <c r="C188" s="3" t="s">
        <v>116</v>
      </c>
      <c r="D188" s="3" t="s">
        <v>24</v>
      </c>
      <c r="E188" s="3" t="s">
        <v>25</v>
      </c>
      <c r="F188" s="3" t="s">
        <v>53</v>
      </c>
      <c r="G188" s="2">
        <v>94.49</v>
      </c>
      <c r="H188" s="2">
        <v>8</v>
      </c>
      <c r="I188" s="2">
        <v>37.795999999999999</v>
      </c>
      <c r="J188" s="2">
        <v>793.71600000000001</v>
      </c>
      <c r="K188" s="5">
        <v>43527</v>
      </c>
      <c r="L188" s="4">
        <v>0.79166666666666663</v>
      </c>
      <c r="M188" s="3" t="s">
        <v>33</v>
      </c>
      <c r="N188" s="2">
        <v>755.92</v>
      </c>
      <c r="O188" s="2">
        <v>4.7619047620000003</v>
      </c>
      <c r="P188" s="2">
        <v>37.795999999999999</v>
      </c>
      <c r="Q188" s="2">
        <v>7.5</v>
      </c>
      <c r="R188" s="3" t="str">
        <f t="shared" si="6"/>
        <v>March</v>
      </c>
      <c r="S188" s="3">
        <f t="shared" si="5"/>
        <v>3</v>
      </c>
      <c r="T188" s="3" t="str">
        <f>IF(tbl_sales[[#This Row],[Sales]]&gt;=500,"High Value","Standard")</f>
        <v>High Value</v>
      </c>
      <c r="U188" s="1" t="str">
        <f>IF(tbl_sales[[#This Row],[Order Size]]="High Value","High Value Order","Standard Order")</f>
        <v>High Value Order</v>
      </c>
      <c r="V188" s="1"/>
      <c r="W188" s="17" t="s">
        <v>37</v>
      </c>
      <c r="X188" s="17"/>
      <c r="Y188" s="6"/>
      <c r="Z188" s="1" t="s">
        <v>37</v>
      </c>
    </row>
    <row r="189" spans="1:26">
      <c r="A189" s="3" t="s">
        <v>1262</v>
      </c>
      <c r="B189" s="3" t="s">
        <v>115</v>
      </c>
      <c r="C189" s="3" t="s">
        <v>116</v>
      </c>
      <c r="D189" s="3" t="s">
        <v>24</v>
      </c>
      <c r="E189" s="3" t="s">
        <v>992</v>
      </c>
      <c r="F189" s="3" t="s">
        <v>53</v>
      </c>
      <c r="G189" s="2">
        <v>46.47</v>
      </c>
      <c r="H189" s="2">
        <v>4</v>
      </c>
      <c r="I189" s="2">
        <v>9.2940000000000005</v>
      </c>
      <c r="J189" s="2">
        <v>195.17400000000001</v>
      </c>
      <c r="K189" s="5">
        <v>43504</v>
      </c>
      <c r="L189" s="4">
        <v>0.45347222222222222</v>
      </c>
      <c r="M189" s="3" t="s">
        <v>49</v>
      </c>
      <c r="N189" s="2">
        <v>185.88</v>
      </c>
      <c r="O189" s="2">
        <v>4.7619047620000003</v>
      </c>
      <c r="P189" s="2">
        <v>9.2940000000000005</v>
      </c>
      <c r="Q189" s="2">
        <v>7</v>
      </c>
      <c r="R189" s="3" t="str">
        <f t="shared" si="6"/>
        <v>February</v>
      </c>
      <c r="S189" s="3">
        <f t="shared" si="5"/>
        <v>2</v>
      </c>
      <c r="T189" s="3" t="str">
        <f>IF(tbl_sales[[#This Row],[Sales]]&gt;=500,"High Value","Standard")</f>
        <v>Standard</v>
      </c>
      <c r="U189" s="1" t="str">
        <f>IF(tbl_sales[[#This Row],[Order Size]]="High Value","High Value Order","Standard Order")</f>
        <v>Standard Order</v>
      </c>
      <c r="V189" s="1"/>
      <c r="W189" s="17" t="s">
        <v>37</v>
      </c>
      <c r="X189" s="17"/>
      <c r="Y189" s="6"/>
      <c r="Z189" s="1" t="s">
        <v>37</v>
      </c>
    </row>
    <row r="190" spans="1:26">
      <c r="A190" s="3" t="s">
        <v>1268</v>
      </c>
      <c r="B190" s="3" t="s">
        <v>22</v>
      </c>
      <c r="C190" s="3" t="s">
        <v>23</v>
      </c>
      <c r="D190" s="3" t="s">
        <v>41</v>
      </c>
      <c r="E190" s="3" t="s">
        <v>992</v>
      </c>
      <c r="F190" s="3" t="s">
        <v>53</v>
      </c>
      <c r="G190" s="2">
        <v>74.069999999999993</v>
      </c>
      <c r="H190" s="2">
        <v>1</v>
      </c>
      <c r="I190" s="2">
        <v>3.7035</v>
      </c>
      <c r="J190" s="2">
        <v>77.773499999999999</v>
      </c>
      <c r="K190" s="5">
        <v>43506</v>
      </c>
      <c r="L190" s="4">
        <v>0.53472222222222221</v>
      </c>
      <c r="M190" s="3" t="s">
        <v>33</v>
      </c>
      <c r="N190" s="2">
        <v>74.069999999999993</v>
      </c>
      <c r="O190" s="2">
        <v>4.7619047620000003</v>
      </c>
      <c r="P190" s="2">
        <v>3.7035</v>
      </c>
      <c r="Q190" s="2">
        <v>9.9</v>
      </c>
      <c r="R190" s="3" t="str">
        <f t="shared" si="6"/>
        <v>February</v>
      </c>
      <c r="S190" s="3">
        <f t="shared" si="5"/>
        <v>2</v>
      </c>
      <c r="T190" s="3" t="str">
        <f>IF(tbl_sales[[#This Row],[Sales]]&gt;=500,"High Value","Standard")</f>
        <v>Standard</v>
      </c>
      <c r="U190" s="1" t="str">
        <f>IF(tbl_sales[[#This Row],[Order Size]]="High Value","High Value Order","Standard Order")</f>
        <v>Standard Order</v>
      </c>
      <c r="V190" s="1"/>
      <c r="W190" s="17" t="s">
        <v>37</v>
      </c>
      <c r="X190" s="17"/>
      <c r="Y190" s="6"/>
      <c r="Z190" s="1" t="s">
        <v>37</v>
      </c>
    </row>
    <row r="191" spans="1:26">
      <c r="A191" s="3" t="s">
        <v>1273</v>
      </c>
      <c r="B191" s="3" t="s">
        <v>39</v>
      </c>
      <c r="C191" s="3" t="s">
        <v>40</v>
      </c>
      <c r="D191" s="3" t="s">
        <v>41</v>
      </c>
      <c r="E191" s="3" t="s">
        <v>25</v>
      </c>
      <c r="F191" s="3" t="s">
        <v>53</v>
      </c>
      <c r="G191" s="2">
        <v>69.81</v>
      </c>
      <c r="H191" s="2">
        <v>4</v>
      </c>
      <c r="I191" s="2">
        <v>13.962</v>
      </c>
      <c r="J191" s="2">
        <v>293.202</v>
      </c>
      <c r="K191" s="5">
        <v>43493</v>
      </c>
      <c r="L191" s="4">
        <v>0.86805555555555558</v>
      </c>
      <c r="M191" s="3" t="s">
        <v>59</v>
      </c>
      <c r="N191" s="2">
        <v>279.24</v>
      </c>
      <c r="O191" s="2">
        <v>4.7619047620000003</v>
      </c>
      <c r="P191" s="2">
        <v>13.962</v>
      </c>
      <c r="Q191" s="2">
        <v>5.9</v>
      </c>
      <c r="R191" s="3" t="str">
        <f t="shared" si="6"/>
        <v>January</v>
      </c>
      <c r="S191" s="3">
        <f t="shared" si="5"/>
        <v>1</v>
      </c>
      <c r="T191" s="3" t="str">
        <f>IF(tbl_sales[[#This Row],[Sales]]&gt;=500,"High Value","Standard")</f>
        <v>Standard</v>
      </c>
      <c r="U191" s="1" t="str">
        <f>IF(tbl_sales[[#This Row],[Order Size]]="High Value","High Value Order","Standard Order")</f>
        <v>Standard Order</v>
      </c>
      <c r="V191" s="1"/>
      <c r="W191" s="17" t="s">
        <v>37</v>
      </c>
      <c r="X191" s="17"/>
      <c r="Y191" s="6"/>
      <c r="Z191" s="1" t="s">
        <v>37</v>
      </c>
    </row>
    <row r="192" spans="1:26">
      <c r="A192" s="3" t="s">
        <v>1279</v>
      </c>
      <c r="B192" s="3" t="s">
        <v>115</v>
      </c>
      <c r="C192" s="3" t="s">
        <v>116</v>
      </c>
      <c r="D192" s="3" t="s">
        <v>41</v>
      </c>
      <c r="E192" s="3" t="s">
        <v>25</v>
      </c>
      <c r="F192" s="3" t="s">
        <v>53</v>
      </c>
      <c r="G192" s="2">
        <v>77.040000000000006</v>
      </c>
      <c r="H192" s="2">
        <v>3</v>
      </c>
      <c r="I192" s="2">
        <v>11.555999999999999</v>
      </c>
      <c r="J192" s="2">
        <v>242.67599999999999</v>
      </c>
      <c r="K192" s="5">
        <v>43507</v>
      </c>
      <c r="L192" s="4">
        <v>0.44374999999999998</v>
      </c>
      <c r="M192" s="3" t="s">
        <v>59</v>
      </c>
      <c r="N192" s="2">
        <v>231.12</v>
      </c>
      <c r="O192" s="2">
        <v>4.7619047620000003</v>
      </c>
      <c r="P192" s="2">
        <v>11.555999999999999</v>
      </c>
      <c r="Q192" s="2">
        <v>7.2</v>
      </c>
      <c r="R192" s="3" t="str">
        <f t="shared" si="6"/>
        <v>February</v>
      </c>
      <c r="S192" s="3">
        <f t="shared" si="5"/>
        <v>2</v>
      </c>
      <c r="T192" s="3" t="str">
        <f>IF(tbl_sales[[#This Row],[Sales]]&gt;=500,"High Value","Standard")</f>
        <v>Standard</v>
      </c>
      <c r="U192" s="1" t="str">
        <f>IF(tbl_sales[[#This Row],[Order Size]]="High Value","High Value Order","Standard Order")</f>
        <v>Standard Order</v>
      </c>
      <c r="V192" s="1"/>
      <c r="W192" s="17" t="s">
        <v>37</v>
      </c>
      <c r="X192" s="17"/>
      <c r="Y192" s="6"/>
      <c r="Z192" s="1" t="s">
        <v>37</v>
      </c>
    </row>
    <row r="193" spans="1:26">
      <c r="A193" s="3" t="s">
        <v>1284</v>
      </c>
      <c r="B193" s="3" t="s">
        <v>115</v>
      </c>
      <c r="C193" s="3" t="s">
        <v>116</v>
      </c>
      <c r="D193" s="3" t="s">
        <v>41</v>
      </c>
      <c r="E193" s="3" t="s">
        <v>25</v>
      </c>
      <c r="F193" s="3" t="s">
        <v>127</v>
      </c>
      <c r="G193" s="2">
        <v>73.52</v>
      </c>
      <c r="H193" s="2">
        <v>2</v>
      </c>
      <c r="I193" s="2">
        <v>7.3520000000000003</v>
      </c>
      <c r="J193" s="2">
        <v>154.392</v>
      </c>
      <c r="K193" s="5">
        <v>43480</v>
      </c>
      <c r="L193" s="4">
        <v>0.57013888888888886</v>
      </c>
      <c r="M193" s="3" t="s">
        <v>33</v>
      </c>
      <c r="N193" s="2">
        <v>147.04</v>
      </c>
      <c r="O193" s="2">
        <v>4.7619047620000003</v>
      </c>
      <c r="P193" s="2">
        <v>7.3520000000000003</v>
      </c>
      <c r="Q193" s="2">
        <v>4.5999999999999996</v>
      </c>
      <c r="R193" s="3" t="str">
        <f t="shared" si="6"/>
        <v>January</v>
      </c>
      <c r="S193" s="3">
        <f t="shared" si="5"/>
        <v>1</v>
      </c>
      <c r="T193" s="3" t="str">
        <f>IF(tbl_sales[[#This Row],[Sales]]&gt;=500,"High Value","Standard")</f>
        <v>Standard</v>
      </c>
      <c r="U193" s="1" t="str">
        <f>IF(tbl_sales[[#This Row],[Order Size]]="High Value","High Value Order","Standard Order")</f>
        <v>Standard Order</v>
      </c>
      <c r="V193" s="1"/>
      <c r="W193" s="17" t="s">
        <v>37</v>
      </c>
      <c r="X193" s="17"/>
      <c r="Y193" s="6"/>
      <c r="Z193" s="1" t="s">
        <v>37</v>
      </c>
    </row>
    <row r="194" spans="1:26">
      <c r="A194" s="3" t="s">
        <v>1290</v>
      </c>
      <c r="B194" s="3" t="s">
        <v>39</v>
      </c>
      <c r="C194" s="3" t="s">
        <v>40</v>
      </c>
      <c r="D194" s="3" t="s">
        <v>41</v>
      </c>
      <c r="E194" s="3" t="s">
        <v>25</v>
      </c>
      <c r="F194" s="3" t="s">
        <v>117</v>
      </c>
      <c r="G194" s="2">
        <v>87.8</v>
      </c>
      <c r="H194" s="2">
        <v>9</v>
      </c>
      <c r="I194" s="2">
        <v>39.51</v>
      </c>
      <c r="J194" s="2">
        <v>829.71</v>
      </c>
      <c r="K194" s="5">
        <v>43540</v>
      </c>
      <c r="L194" s="4">
        <v>0.79722222222222228</v>
      </c>
      <c r="M194" s="3" t="s">
        <v>49</v>
      </c>
      <c r="N194" s="2">
        <v>790.2</v>
      </c>
      <c r="O194" s="2">
        <v>4.7619047620000003</v>
      </c>
      <c r="P194" s="2">
        <v>39.51</v>
      </c>
      <c r="Q194" s="2">
        <v>9.1999999999999993</v>
      </c>
      <c r="R194" s="3" t="str">
        <f t="shared" si="6"/>
        <v>March</v>
      </c>
      <c r="S194" s="3">
        <f t="shared" ref="S194:S257" si="7">MONTH(K194)</f>
        <v>3</v>
      </c>
      <c r="T194" s="3" t="str">
        <f>IF(tbl_sales[[#This Row],[Sales]]&gt;=500,"High Value","Standard")</f>
        <v>High Value</v>
      </c>
      <c r="U194" s="1" t="str">
        <f>IF(tbl_sales[[#This Row],[Order Size]]="High Value","High Value Order","Standard Order")</f>
        <v>High Value Order</v>
      </c>
      <c r="V194" s="1"/>
      <c r="W194" s="17" t="s">
        <v>37</v>
      </c>
      <c r="X194" s="17"/>
      <c r="Y194" s="6"/>
      <c r="Z194" s="1" t="s">
        <v>37</v>
      </c>
    </row>
    <row r="195" spans="1:26">
      <c r="A195" s="3" t="s">
        <v>1296</v>
      </c>
      <c r="B195" s="3" t="s">
        <v>115</v>
      </c>
      <c r="C195" s="3" t="s">
        <v>116</v>
      </c>
      <c r="D195" s="3" t="s">
        <v>41</v>
      </c>
      <c r="E195" s="3" t="s">
        <v>992</v>
      </c>
      <c r="F195" s="3" t="s">
        <v>53</v>
      </c>
      <c r="G195" s="2">
        <v>25.55</v>
      </c>
      <c r="H195" s="2">
        <v>4</v>
      </c>
      <c r="I195" s="2">
        <v>5.1100000000000003</v>
      </c>
      <c r="J195" s="2">
        <v>107.31</v>
      </c>
      <c r="K195" s="5">
        <v>43491</v>
      </c>
      <c r="L195" s="4">
        <v>0.84930555555555554</v>
      </c>
      <c r="M195" s="3" t="s">
        <v>33</v>
      </c>
      <c r="N195" s="2">
        <v>102.2</v>
      </c>
      <c r="O195" s="2">
        <v>4.7619047620000003</v>
      </c>
      <c r="P195" s="2">
        <v>5.1100000000000003</v>
      </c>
      <c r="Q195" s="2">
        <v>5.7</v>
      </c>
      <c r="R195" s="3" t="str">
        <f t="shared" ref="R195:R258" si="8">TEXT(K195,"mmmm")</f>
        <v>January</v>
      </c>
      <c r="S195" s="3">
        <f t="shared" si="7"/>
        <v>1</v>
      </c>
      <c r="T195" s="3" t="str">
        <f>IF(tbl_sales[[#This Row],[Sales]]&gt;=500,"High Value","Standard")</f>
        <v>Standard</v>
      </c>
      <c r="U195" s="1" t="str">
        <f>IF(tbl_sales[[#This Row],[Order Size]]="High Value","High Value Order","Standard Order")</f>
        <v>Standard Order</v>
      </c>
      <c r="V195" s="1"/>
      <c r="W195" s="17" t="s">
        <v>37</v>
      </c>
      <c r="X195" s="17"/>
      <c r="Y195" s="6"/>
      <c r="Z195" s="1" t="s">
        <v>37</v>
      </c>
    </row>
    <row r="196" spans="1:26">
      <c r="A196" s="3" t="s">
        <v>1302</v>
      </c>
      <c r="B196" s="3" t="s">
        <v>22</v>
      </c>
      <c r="C196" s="3" t="s">
        <v>23</v>
      </c>
      <c r="D196" s="3" t="s">
        <v>41</v>
      </c>
      <c r="E196" s="3" t="s">
        <v>992</v>
      </c>
      <c r="F196" s="3" t="s">
        <v>42</v>
      </c>
      <c r="G196" s="2">
        <v>32.71</v>
      </c>
      <c r="H196" s="2">
        <v>5</v>
      </c>
      <c r="I196" s="2">
        <v>8.1775000000000002</v>
      </c>
      <c r="J196" s="2">
        <v>171.72749999999999</v>
      </c>
      <c r="K196" s="5">
        <v>43543</v>
      </c>
      <c r="L196" s="4">
        <v>0.47916666666666669</v>
      </c>
      <c r="M196" s="3" t="s">
        <v>59</v>
      </c>
      <c r="N196" s="2">
        <v>163.55000000000001</v>
      </c>
      <c r="O196" s="2">
        <v>4.7619047620000003</v>
      </c>
      <c r="P196" s="2">
        <v>8.1775000000000002</v>
      </c>
      <c r="Q196" s="2">
        <v>9.9</v>
      </c>
      <c r="R196" s="3" t="str">
        <f t="shared" si="8"/>
        <v>March</v>
      </c>
      <c r="S196" s="3">
        <f t="shared" si="7"/>
        <v>3</v>
      </c>
      <c r="T196" s="3" t="str">
        <f>IF(tbl_sales[[#This Row],[Sales]]&gt;=500,"High Value","Standard")</f>
        <v>Standard</v>
      </c>
      <c r="U196" s="1" t="str">
        <f>IF(tbl_sales[[#This Row],[Order Size]]="High Value","High Value Order","Standard Order")</f>
        <v>Standard Order</v>
      </c>
      <c r="V196" s="1"/>
      <c r="W196" s="17" t="s">
        <v>37</v>
      </c>
      <c r="X196" s="17"/>
      <c r="Y196" s="6"/>
      <c r="Z196" s="1" t="s">
        <v>37</v>
      </c>
    </row>
    <row r="197" spans="1:26">
      <c r="A197" s="3" t="s">
        <v>1308</v>
      </c>
      <c r="B197" s="3" t="s">
        <v>39</v>
      </c>
      <c r="C197" s="3" t="s">
        <v>40</v>
      </c>
      <c r="D197" s="3" t="s">
        <v>24</v>
      </c>
      <c r="E197" s="3" t="s">
        <v>25</v>
      </c>
      <c r="F197" s="3" t="s">
        <v>127</v>
      </c>
      <c r="G197" s="2">
        <v>74.290000000000006</v>
      </c>
      <c r="H197" s="2">
        <v>1</v>
      </c>
      <c r="I197" s="2">
        <v>3.7145000000000001</v>
      </c>
      <c r="J197" s="2">
        <v>78.004499999999993</v>
      </c>
      <c r="K197" s="5">
        <v>43478</v>
      </c>
      <c r="L197" s="4">
        <v>0.8125</v>
      </c>
      <c r="M197" s="3" t="s">
        <v>49</v>
      </c>
      <c r="N197" s="2">
        <v>74.290000000000006</v>
      </c>
      <c r="O197" s="2">
        <v>4.7619047620000003</v>
      </c>
      <c r="P197" s="2">
        <v>3.7145000000000001</v>
      </c>
      <c r="Q197" s="2">
        <v>5</v>
      </c>
      <c r="R197" s="3" t="str">
        <f t="shared" si="8"/>
        <v>January</v>
      </c>
      <c r="S197" s="3">
        <f t="shared" si="7"/>
        <v>1</v>
      </c>
      <c r="T197" s="3" t="str">
        <f>IF(tbl_sales[[#This Row],[Sales]]&gt;=500,"High Value","Standard")</f>
        <v>Standard</v>
      </c>
      <c r="U197" s="1" t="str">
        <f>IF(tbl_sales[[#This Row],[Order Size]]="High Value","High Value Order","Standard Order")</f>
        <v>Standard Order</v>
      </c>
      <c r="V197" s="1"/>
      <c r="W197" s="17" t="s">
        <v>37</v>
      </c>
      <c r="X197" s="17"/>
      <c r="Y197" s="6"/>
      <c r="Z197" s="1" t="s">
        <v>37</v>
      </c>
    </row>
    <row r="198" spans="1:26">
      <c r="A198" s="3" t="s">
        <v>1313</v>
      </c>
      <c r="B198" s="3" t="s">
        <v>39</v>
      </c>
      <c r="C198" s="3" t="s">
        <v>40</v>
      </c>
      <c r="D198" s="3" t="s">
        <v>24</v>
      </c>
      <c r="E198" s="3" t="s">
        <v>992</v>
      </c>
      <c r="F198" s="3" t="s">
        <v>26</v>
      </c>
      <c r="G198" s="2">
        <v>43.7</v>
      </c>
      <c r="H198" s="2">
        <v>2</v>
      </c>
      <c r="I198" s="2">
        <v>4.37</v>
      </c>
      <c r="J198" s="2">
        <v>91.77</v>
      </c>
      <c r="K198" s="5">
        <v>43550</v>
      </c>
      <c r="L198" s="4">
        <v>0.75208333333333333</v>
      </c>
      <c r="M198" s="3" t="s">
        <v>49</v>
      </c>
      <c r="N198" s="2">
        <v>87.4</v>
      </c>
      <c r="O198" s="2">
        <v>4.7619047620000003</v>
      </c>
      <c r="P198" s="2">
        <v>4.37</v>
      </c>
      <c r="Q198" s="2">
        <v>4.9000000000000004</v>
      </c>
      <c r="R198" s="3" t="str">
        <f t="shared" si="8"/>
        <v>March</v>
      </c>
      <c r="S198" s="3">
        <f t="shared" si="7"/>
        <v>3</v>
      </c>
      <c r="T198" s="3" t="str">
        <f>IF(tbl_sales[[#This Row],[Sales]]&gt;=500,"High Value","Standard")</f>
        <v>Standard</v>
      </c>
      <c r="U198" s="1" t="str">
        <f>IF(tbl_sales[[#This Row],[Order Size]]="High Value","High Value Order","Standard Order")</f>
        <v>Standard Order</v>
      </c>
      <c r="V198" s="1"/>
      <c r="W198" s="17" t="s">
        <v>37</v>
      </c>
      <c r="X198" s="17"/>
      <c r="Y198" s="6"/>
      <c r="Z198" s="1" t="s">
        <v>37</v>
      </c>
    </row>
    <row r="199" spans="1:26">
      <c r="A199" s="3" t="s">
        <v>1319</v>
      </c>
      <c r="B199" s="3" t="s">
        <v>22</v>
      </c>
      <c r="C199" s="3" t="s">
        <v>23</v>
      </c>
      <c r="D199" s="3" t="s">
        <v>41</v>
      </c>
      <c r="E199" s="3" t="s">
        <v>25</v>
      </c>
      <c r="F199" s="3" t="s">
        <v>53</v>
      </c>
      <c r="G199" s="2">
        <v>25.29</v>
      </c>
      <c r="H199" s="2">
        <v>1</v>
      </c>
      <c r="I199" s="2">
        <v>1.2645</v>
      </c>
      <c r="J199" s="2">
        <v>26.554500000000001</v>
      </c>
      <c r="K199" s="5">
        <v>43547</v>
      </c>
      <c r="L199" s="4">
        <v>0.42569444444444443</v>
      </c>
      <c r="M199" s="3" t="s">
        <v>33</v>
      </c>
      <c r="N199" s="2">
        <v>25.29</v>
      </c>
      <c r="O199" s="2">
        <v>4.7619047620000003</v>
      </c>
      <c r="P199" s="2">
        <v>1.2645</v>
      </c>
      <c r="Q199" s="2">
        <v>6.1</v>
      </c>
      <c r="R199" s="3" t="str">
        <f t="shared" si="8"/>
        <v>March</v>
      </c>
      <c r="S199" s="3">
        <f t="shared" si="7"/>
        <v>3</v>
      </c>
      <c r="T199" s="3" t="str">
        <f>IF(tbl_sales[[#This Row],[Sales]]&gt;=500,"High Value","Standard")</f>
        <v>Standard</v>
      </c>
      <c r="U199" s="1" t="str">
        <f>IF(tbl_sales[[#This Row],[Order Size]]="High Value","High Value Order","Standard Order")</f>
        <v>Standard Order</v>
      </c>
      <c r="V199" s="1"/>
      <c r="W199" s="17" t="s">
        <v>37</v>
      </c>
      <c r="X199" s="17"/>
      <c r="Y199" s="6"/>
      <c r="Z199" s="1" t="s">
        <v>37</v>
      </c>
    </row>
    <row r="200" spans="1:26">
      <c r="A200" s="3" t="s">
        <v>1324</v>
      </c>
      <c r="B200" s="3" t="s">
        <v>39</v>
      </c>
      <c r="C200" s="3" t="s">
        <v>40</v>
      </c>
      <c r="D200" s="3" t="s">
        <v>41</v>
      </c>
      <c r="E200" s="3" t="s">
        <v>992</v>
      </c>
      <c r="F200" s="3" t="s">
        <v>26</v>
      </c>
      <c r="G200" s="2">
        <v>41.5</v>
      </c>
      <c r="H200" s="2">
        <v>4</v>
      </c>
      <c r="I200" s="2">
        <v>8.3000000000000007</v>
      </c>
      <c r="J200" s="2">
        <v>174.3</v>
      </c>
      <c r="K200" s="5">
        <v>43536</v>
      </c>
      <c r="L200" s="4">
        <v>0.83194444444444449</v>
      </c>
      <c r="M200" s="3" t="s">
        <v>59</v>
      </c>
      <c r="N200" s="2">
        <v>166</v>
      </c>
      <c r="O200" s="2">
        <v>4.7619047620000003</v>
      </c>
      <c r="P200" s="2">
        <v>8.3000000000000007</v>
      </c>
      <c r="Q200" s="2">
        <v>8.1999999999999993</v>
      </c>
      <c r="R200" s="3" t="str">
        <f t="shared" si="8"/>
        <v>March</v>
      </c>
      <c r="S200" s="3">
        <f t="shared" si="7"/>
        <v>3</v>
      </c>
      <c r="T200" s="3" t="str">
        <f>IF(tbl_sales[[#This Row],[Sales]]&gt;=500,"High Value","Standard")</f>
        <v>Standard</v>
      </c>
      <c r="U200" s="1" t="str">
        <f>IF(tbl_sales[[#This Row],[Order Size]]="High Value","High Value Order","Standard Order")</f>
        <v>Standard Order</v>
      </c>
      <c r="V200" s="1"/>
      <c r="W200" s="17" t="s">
        <v>37</v>
      </c>
      <c r="X200" s="17"/>
      <c r="Y200" s="6"/>
      <c r="Z200" s="1" t="s">
        <v>37</v>
      </c>
    </row>
    <row r="201" spans="1:26">
      <c r="A201" s="3" t="s">
        <v>1329</v>
      </c>
      <c r="B201" s="3" t="s">
        <v>39</v>
      </c>
      <c r="C201" s="3" t="s">
        <v>40</v>
      </c>
      <c r="D201" s="3" t="s">
        <v>24</v>
      </c>
      <c r="E201" s="3" t="s">
        <v>25</v>
      </c>
      <c r="F201" s="3" t="s">
        <v>117</v>
      </c>
      <c r="G201" s="2">
        <v>71.39</v>
      </c>
      <c r="H201" s="2">
        <v>5</v>
      </c>
      <c r="I201" s="2">
        <v>17.8475</v>
      </c>
      <c r="J201" s="2">
        <v>374.79750000000001</v>
      </c>
      <c r="K201" s="5">
        <v>43513</v>
      </c>
      <c r="L201" s="4">
        <v>0.83125000000000004</v>
      </c>
      <c r="M201" s="3" t="s">
        <v>59</v>
      </c>
      <c r="N201" s="2">
        <v>356.95</v>
      </c>
      <c r="O201" s="2">
        <v>4.7619047620000003</v>
      </c>
      <c r="P201" s="2">
        <v>17.8475</v>
      </c>
      <c r="Q201" s="2">
        <v>5.5</v>
      </c>
      <c r="R201" s="3" t="str">
        <f t="shared" si="8"/>
        <v>February</v>
      </c>
      <c r="S201" s="3">
        <f t="shared" si="7"/>
        <v>2</v>
      </c>
      <c r="T201" s="3" t="str">
        <f>IF(tbl_sales[[#This Row],[Sales]]&gt;=500,"High Value","Standard")</f>
        <v>Standard</v>
      </c>
      <c r="U201" s="1" t="str">
        <f>IF(tbl_sales[[#This Row],[Order Size]]="High Value","High Value Order","Standard Order")</f>
        <v>Standard Order</v>
      </c>
      <c r="V201" s="1"/>
      <c r="W201" s="17" t="s">
        <v>37</v>
      </c>
      <c r="X201" s="17"/>
      <c r="Y201" s="6"/>
      <c r="Z201" s="1" t="s">
        <v>37</v>
      </c>
    </row>
    <row r="202" spans="1:26">
      <c r="A202" s="3" t="s">
        <v>1334</v>
      </c>
      <c r="B202" s="3" t="s">
        <v>39</v>
      </c>
      <c r="C202" s="3" t="s">
        <v>40</v>
      </c>
      <c r="D202" s="3" t="s">
        <v>24</v>
      </c>
      <c r="E202" s="3" t="s">
        <v>25</v>
      </c>
      <c r="F202" s="3" t="s">
        <v>72</v>
      </c>
      <c r="G202" s="2">
        <v>19.149999999999999</v>
      </c>
      <c r="H202" s="2">
        <v>6</v>
      </c>
      <c r="I202" s="2">
        <v>5.7450000000000001</v>
      </c>
      <c r="J202" s="2">
        <v>120.645</v>
      </c>
      <c r="K202" s="5">
        <v>43494</v>
      </c>
      <c r="L202" s="4">
        <v>0.41736111111111113</v>
      </c>
      <c r="M202" s="3" t="s">
        <v>59</v>
      </c>
      <c r="N202" s="2">
        <v>114.9</v>
      </c>
      <c r="O202" s="2">
        <v>4.7619047620000003</v>
      </c>
      <c r="P202" s="2">
        <v>5.7450000000000001</v>
      </c>
      <c r="Q202" s="2">
        <v>6.8</v>
      </c>
      <c r="R202" s="3" t="str">
        <f t="shared" si="8"/>
        <v>January</v>
      </c>
      <c r="S202" s="3">
        <f t="shared" si="7"/>
        <v>1</v>
      </c>
      <c r="T202" s="3" t="str">
        <f>IF(tbl_sales[[#This Row],[Sales]]&gt;=500,"High Value","Standard")</f>
        <v>Standard</v>
      </c>
      <c r="U202" s="1" t="str">
        <f>IF(tbl_sales[[#This Row],[Order Size]]="High Value","High Value Order","Standard Order")</f>
        <v>Standard Order</v>
      </c>
      <c r="V202" s="1"/>
      <c r="W202" s="17" t="s">
        <v>37</v>
      </c>
      <c r="X202" s="17"/>
      <c r="Y202" s="6"/>
      <c r="Z202" s="1" t="s">
        <v>37</v>
      </c>
    </row>
    <row r="203" spans="1:26">
      <c r="A203" s="3" t="s">
        <v>1340</v>
      </c>
      <c r="B203" s="3" t="s">
        <v>115</v>
      </c>
      <c r="C203" s="3" t="s">
        <v>116</v>
      </c>
      <c r="D203" s="3" t="s">
        <v>24</v>
      </c>
      <c r="E203" s="3" t="s">
        <v>25</v>
      </c>
      <c r="F203" s="3" t="s">
        <v>42</v>
      </c>
      <c r="G203" s="2">
        <v>57.49</v>
      </c>
      <c r="H203" s="2">
        <v>4</v>
      </c>
      <c r="I203" s="2">
        <v>11.497999999999999</v>
      </c>
      <c r="J203" s="2">
        <v>241.458</v>
      </c>
      <c r="K203" s="5">
        <v>43539</v>
      </c>
      <c r="L203" s="4">
        <v>0.49791666666666667</v>
      </c>
      <c r="M203" s="3" t="s">
        <v>49</v>
      </c>
      <c r="N203" s="2">
        <v>229.96</v>
      </c>
      <c r="O203" s="2">
        <v>4.7619047620000003</v>
      </c>
      <c r="P203" s="2">
        <v>11.497999999999999</v>
      </c>
      <c r="Q203" s="2">
        <v>6.6</v>
      </c>
      <c r="R203" s="3" t="str">
        <f t="shared" si="8"/>
        <v>March</v>
      </c>
      <c r="S203" s="3">
        <f t="shared" si="7"/>
        <v>3</v>
      </c>
      <c r="T203" s="3" t="str">
        <f>IF(tbl_sales[[#This Row],[Sales]]&gt;=500,"High Value","Standard")</f>
        <v>Standard</v>
      </c>
      <c r="U203" s="1" t="str">
        <f>IF(tbl_sales[[#This Row],[Order Size]]="High Value","High Value Order","Standard Order")</f>
        <v>Standard Order</v>
      </c>
      <c r="V203" s="1"/>
      <c r="W203" s="17" t="s">
        <v>37</v>
      </c>
      <c r="X203" s="17"/>
      <c r="Y203" s="6"/>
      <c r="Z203" s="1" t="s">
        <v>37</v>
      </c>
    </row>
    <row r="204" spans="1:26">
      <c r="A204" s="3" t="s">
        <v>1346</v>
      </c>
      <c r="B204" s="3" t="s">
        <v>39</v>
      </c>
      <c r="C204" s="3" t="s">
        <v>40</v>
      </c>
      <c r="D204" s="3" t="s">
        <v>41</v>
      </c>
      <c r="E204" s="3" t="s">
        <v>992</v>
      </c>
      <c r="F204" s="3" t="s">
        <v>42</v>
      </c>
      <c r="G204" s="2">
        <v>61.41</v>
      </c>
      <c r="H204" s="2">
        <v>7</v>
      </c>
      <c r="I204" s="2">
        <v>21.493500000000001</v>
      </c>
      <c r="J204" s="2">
        <v>451.36349999999999</v>
      </c>
      <c r="K204" s="5">
        <v>43479</v>
      </c>
      <c r="L204" s="4">
        <v>0.41805555555555557</v>
      </c>
      <c r="M204" s="3" t="s">
        <v>49</v>
      </c>
      <c r="N204" s="2">
        <v>429.87</v>
      </c>
      <c r="O204" s="2">
        <v>4.7619047620000003</v>
      </c>
      <c r="P204" s="2">
        <v>21.493500000000001</v>
      </c>
      <c r="Q204" s="2">
        <v>9.8000000000000007</v>
      </c>
      <c r="R204" s="3" t="str">
        <f t="shared" si="8"/>
        <v>January</v>
      </c>
      <c r="S204" s="3">
        <f t="shared" si="7"/>
        <v>1</v>
      </c>
      <c r="T204" s="3" t="str">
        <f>IF(tbl_sales[[#This Row],[Sales]]&gt;=500,"High Value","Standard")</f>
        <v>Standard</v>
      </c>
      <c r="U204" s="1" t="str">
        <f>IF(tbl_sales[[#This Row],[Order Size]]="High Value","High Value Order","Standard Order")</f>
        <v>Standard Order</v>
      </c>
      <c r="V204" s="1"/>
      <c r="W204" s="17" t="s">
        <v>37</v>
      </c>
      <c r="X204" s="17"/>
      <c r="Y204" s="6"/>
      <c r="Z204" s="1" t="s">
        <v>37</v>
      </c>
    </row>
    <row r="205" spans="1:26">
      <c r="A205" s="3" t="s">
        <v>1353</v>
      </c>
      <c r="B205" s="3" t="s">
        <v>115</v>
      </c>
      <c r="C205" s="3" t="s">
        <v>116</v>
      </c>
      <c r="D205" s="3" t="s">
        <v>24</v>
      </c>
      <c r="E205" s="3" t="s">
        <v>992</v>
      </c>
      <c r="F205" s="3" t="s">
        <v>26</v>
      </c>
      <c r="G205" s="2">
        <v>25.9</v>
      </c>
      <c r="H205" s="2">
        <v>10</v>
      </c>
      <c r="I205" s="2">
        <v>12.95</v>
      </c>
      <c r="J205" s="2">
        <v>271.95</v>
      </c>
      <c r="K205" s="5">
        <v>43502</v>
      </c>
      <c r="L205" s="4">
        <v>0.61875000000000002</v>
      </c>
      <c r="M205" s="3" t="s">
        <v>33</v>
      </c>
      <c r="N205" s="2">
        <v>259</v>
      </c>
      <c r="O205" s="2">
        <v>4.7619047620000003</v>
      </c>
      <c r="P205" s="2">
        <v>12.95</v>
      </c>
      <c r="Q205" s="2">
        <v>8.6999999999999993</v>
      </c>
      <c r="R205" s="3" t="str">
        <f t="shared" si="8"/>
        <v>February</v>
      </c>
      <c r="S205" s="3">
        <f t="shared" si="7"/>
        <v>2</v>
      </c>
      <c r="T205" s="3" t="str">
        <f>IF(tbl_sales[[#This Row],[Sales]]&gt;=500,"High Value","Standard")</f>
        <v>Standard</v>
      </c>
      <c r="U205" s="1" t="str">
        <f>IF(tbl_sales[[#This Row],[Order Size]]="High Value","High Value Order","Standard Order")</f>
        <v>Standard Order</v>
      </c>
      <c r="V205" s="1"/>
      <c r="W205" s="17" t="s">
        <v>37</v>
      </c>
      <c r="X205" s="17"/>
      <c r="Y205" s="6"/>
      <c r="Z205" s="1" t="s">
        <v>37</v>
      </c>
    </row>
    <row r="206" spans="1:26">
      <c r="A206" s="3" t="s">
        <v>1359</v>
      </c>
      <c r="B206" s="3" t="s">
        <v>115</v>
      </c>
      <c r="C206" s="3" t="s">
        <v>116</v>
      </c>
      <c r="D206" s="3" t="s">
        <v>24</v>
      </c>
      <c r="E206" s="3" t="s">
        <v>992</v>
      </c>
      <c r="F206" s="3" t="s">
        <v>53</v>
      </c>
      <c r="G206" s="2">
        <v>17.77</v>
      </c>
      <c r="H206" s="2">
        <v>5</v>
      </c>
      <c r="I206" s="2">
        <v>4.4424999999999999</v>
      </c>
      <c r="J206" s="2">
        <v>93.292500000000004</v>
      </c>
      <c r="K206" s="5">
        <v>43511</v>
      </c>
      <c r="L206" s="4">
        <v>0.52916666666666667</v>
      </c>
      <c r="M206" s="3" t="s">
        <v>59</v>
      </c>
      <c r="N206" s="2">
        <v>88.85</v>
      </c>
      <c r="O206" s="2">
        <v>4.7619047620000003</v>
      </c>
      <c r="P206" s="2">
        <v>4.4424999999999999</v>
      </c>
      <c r="Q206" s="2">
        <v>5.4</v>
      </c>
      <c r="R206" s="3" t="str">
        <f t="shared" si="8"/>
        <v>February</v>
      </c>
      <c r="S206" s="3">
        <f t="shared" si="7"/>
        <v>2</v>
      </c>
      <c r="T206" s="3" t="str">
        <f>IF(tbl_sales[[#This Row],[Sales]]&gt;=500,"High Value","Standard")</f>
        <v>Standard</v>
      </c>
      <c r="U206" s="1" t="str">
        <f>IF(tbl_sales[[#This Row],[Order Size]]="High Value","High Value Order","Standard Order")</f>
        <v>Standard Order</v>
      </c>
      <c r="V206" s="1"/>
      <c r="W206" s="17" t="s">
        <v>37</v>
      </c>
      <c r="X206" s="17"/>
      <c r="Y206" s="6"/>
      <c r="Z206" s="1" t="s">
        <v>37</v>
      </c>
    </row>
    <row r="207" spans="1:26">
      <c r="A207" s="3" t="s">
        <v>1365</v>
      </c>
      <c r="B207" s="3" t="s">
        <v>22</v>
      </c>
      <c r="C207" s="3" t="s">
        <v>23</v>
      </c>
      <c r="D207" s="3" t="s">
        <v>41</v>
      </c>
      <c r="E207" s="3" t="s">
        <v>25</v>
      </c>
      <c r="F207" s="3" t="s">
        <v>26</v>
      </c>
      <c r="G207" s="2">
        <v>23.03</v>
      </c>
      <c r="H207" s="2">
        <v>9</v>
      </c>
      <c r="I207" s="2">
        <v>10.3635</v>
      </c>
      <c r="J207" s="2">
        <v>217.6335</v>
      </c>
      <c r="K207" s="5">
        <v>43468</v>
      </c>
      <c r="L207" s="4">
        <v>0.50138888888888888</v>
      </c>
      <c r="M207" s="3" t="s">
        <v>33</v>
      </c>
      <c r="N207" s="2">
        <v>207.27</v>
      </c>
      <c r="O207" s="2">
        <v>4.7619047620000003</v>
      </c>
      <c r="P207" s="2">
        <v>10.3635</v>
      </c>
      <c r="Q207" s="2">
        <v>7.9</v>
      </c>
      <c r="R207" s="3" t="str">
        <f t="shared" si="8"/>
        <v>January</v>
      </c>
      <c r="S207" s="3">
        <f t="shared" si="7"/>
        <v>1</v>
      </c>
      <c r="T207" s="3" t="str">
        <f>IF(tbl_sales[[#This Row],[Sales]]&gt;=500,"High Value","Standard")</f>
        <v>Standard</v>
      </c>
      <c r="U207" s="1" t="str">
        <f>IF(tbl_sales[[#This Row],[Order Size]]="High Value","High Value Order","Standard Order")</f>
        <v>Standard Order</v>
      </c>
      <c r="V207" s="1"/>
      <c r="W207" s="17" t="s">
        <v>37</v>
      </c>
      <c r="X207" s="17"/>
      <c r="Y207" s="6"/>
      <c r="Z207" s="1" t="s">
        <v>37</v>
      </c>
    </row>
    <row r="208" spans="1:26">
      <c r="A208" s="3" t="s">
        <v>1370</v>
      </c>
      <c r="B208" s="3" t="s">
        <v>39</v>
      </c>
      <c r="C208" s="3" t="s">
        <v>40</v>
      </c>
      <c r="D208" s="3" t="s">
        <v>24</v>
      </c>
      <c r="E208" s="3" t="s">
        <v>25</v>
      </c>
      <c r="F208" s="3" t="s">
        <v>42</v>
      </c>
      <c r="G208" s="2">
        <v>66.650000000000006</v>
      </c>
      <c r="H208" s="2">
        <v>9</v>
      </c>
      <c r="I208" s="2">
        <v>29.9925</v>
      </c>
      <c r="J208" s="2">
        <v>629.84249999999997</v>
      </c>
      <c r="K208" s="5">
        <v>43469</v>
      </c>
      <c r="L208" s="4">
        <v>0.7631944444444444</v>
      </c>
      <c r="M208" s="3" t="s">
        <v>59</v>
      </c>
      <c r="N208" s="2">
        <v>599.85</v>
      </c>
      <c r="O208" s="2">
        <v>4.7619047620000003</v>
      </c>
      <c r="P208" s="2">
        <v>29.9925</v>
      </c>
      <c r="Q208" s="2">
        <v>9.6999999999999993</v>
      </c>
      <c r="R208" s="3" t="str">
        <f t="shared" si="8"/>
        <v>January</v>
      </c>
      <c r="S208" s="3">
        <f t="shared" si="7"/>
        <v>1</v>
      </c>
      <c r="T208" s="3" t="str">
        <f>IF(tbl_sales[[#This Row],[Sales]]&gt;=500,"High Value","Standard")</f>
        <v>High Value</v>
      </c>
      <c r="U208" s="1" t="str">
        <f>IF(tbl_sales[[#This Row],[Order Size]]="High Value","High Value Order","Standard Order")</f>
        <v>High Value Order</v>
      </c>
      <c r="V208" s="1"/>
      <c r="W208" s="17" t="s">
        <v>37</v>
      </c>
      <c r="X208" s="17"/>
      <c r="Y208" s="6"/>
      <c r="Z208" s="1" t="s">
        <v>37</v>
      </c>
    </row>
    <row r="209" spans="1:26">
      <c r="A209" s="3" t="s">
        <v>1375</v>
      </c>
      <c r="B209" s="3" t="s">
        <v>39</v>
      </c>
      <c r="C209" s="3" t="s">
        <v>40</v>
      </c>
      <c r="D209" s="3" t="s">
        <v>24</v>
      </c>
      <c r="E209" s="3" t="s">
        <v>25</v>
      </c>
      <c r="F209" s="3" t="s">
        <v>53</v>
      </c>
      <c r="G209" s="2">
        <v>28.53</v>
      </c>
      <c r="H209" s="2">
        <v>10</v>
      </c>
      <c r="I209" s="2">
        <v>14.265000000000001</v>
      </c>
      <c r="J209" s="2">
        <v>299.565</v>
      </c>
      <c r="K209" s="5">
        <v>43542</v>
      </c>
      <c r="L209" s="4">
        <v>0.73472222222222228</v>
      </c>
      <c r="M209" s="3" t="s">
        <v>33</v>
      </c>
      <c r="N209" s="2">
        <v>285.3</v>
      </c>
      <c r="O209" s="2">
        <v>4.7619047620000003</v>
      </c>
      <c r="P209" s="2">
        <v>14.265000000000001</v>
      </c>
      <c r="Q209" s="2">
        <v>7.8</v>
      </c>
      <c r="R209" s="3" t="str">
        <f t="shared" si="8"/>
        <v>March</v>
      </c>
      <c r="S209" s="3">
        <f t="shared" si="7"/>
        <v>3</v>
      </c>
      <c r="T209" s="3" t="str">
        <f>IF(tbl_sales[[#This Row],[Sales]]&gt;=500,"High Value","Standard")</f>
        <v>Standard</v>
      </c>
      <c r="U209" s="1" t="str">
        <f>IF(tbl_sales[[#This Row],[Order Size]]="High Value","High Value Order","Standard Order")</f>
        <v>Standard Order</v>
      </c>
      <c r="V209" s="1"/>
      <c r="W209" s="17" t="s">
        <v>37</v>
      </c>
      <c r="X209" s="17"/>
      <c r="Y209" s="6"/>
      <c r="Z209" s="1" t="s">
        <v>37</v>
      </c>
    </row>
    <row r="210" spans="1:26">
      <c r="A210" s="3" t="s">
        <v>1382</v>
      </c>
      <c r="B210" s="3" t="s">
        <v>115</v>
      </c>
      <c r="C210" s="3" t="s">
        <v>116</v>
      </c>
      <c r="D210" s="3" t="s">
        <v>41</v>
      </c>
      <c r="E210" s="3" t="s">
        <v>25</v>
      </c>
      <c r="F210" s="3" t="s">
        <v>127</v>
      </c>
      <c r="G210" s="2">
        <v>30.37</v>
      </c>
      <c r="H210" s="2">
        <v>3</v>
      </c>
      <c r="I210" s="2">
        <v>4.5555000000000003</v>
      </c>
      <c r="J210" s="2">
        <v>95.665499999999994</v>
      </c>
      <c r="K210" s="5">
        <v>43552</v>
      </c>
      <c r="L210" s="4">
        <v>0.57013888888888886</v>
      </c>
      <c r="M210" s="3" t="s">
        <v>33</v>
      </c>
      <c r="N210" s="2">
        <v>91.11</v>
      </c>
      <c r="O210" s="2">
        <v>4.7619047620000003</v>
      </c>
      <c r="P210" s="2">
        <v>4.5555000000000003</v>
      </c>
      <c r="Q210" s="2">
        <v>5.0999999999999996</v>
      </c>
      <c r="R210" s="3" t="str">
        <f t="shared" si="8"/>
        <v>March</v>
      </c>
      <c r="S210" s="3">
        <f t="shared" si="7"/>
        <v>3</v>
      </c>
      <c r="T210" s="3" t="str">
        <f>IF(tbl_sales[[#This Row],[Sales]]&gt;=500,"High Value","Standard")</f>
        <v>Standard</v>
      </c>
      <c r="U210" s="1" t="str">
        <f>IF(tbl_sales[[#This Row],[Order Size]]="High Value","High Value Order","Standard Order")</f>
        <v>Standard Order</v>
      </c>
      <c r="V210" s="1"/>
      <c r="W210" s="17" t="s">
        <v>37</v>
      </c>
      <c r="X210" s="17"/>
      <c r="Y210" s="6"/>
      <c r="Z210" s="1" t="s">
        <v>37</v>
      </c>
    </row>
    <row r="211" spans="1:26">
      <c r="A211" s="3" t="s">
        <v>1387</v>
      </c>
      <c r="B211" s="3" t="s">
        <v>115</v>
      </c>
      <c r="C211" s="3" t="s">
        <v>116</v>
      </c>
      <c r="D211" s="3" t="s">
        <v>41</v>
      </c>
      <c r="E211" s="3" t="s">
        <v>25</v>
      </c>
      <c r="F211" s="3" t="s">
        <v>42</v>
      </c>
      <c r="G211" s="2">
        <v>99.73</v>
      </c>
      <c r="H211" s="2">
        <v>9</v>
      </c>
      <c r="I211" s="2">
        <v>44.878500000000003</v>
      </c>
      <c r="J211" s="2">
        <v>942.44849999999997</v>
      </c>
      <c r="K211" s="5">
        <v>43526</v>
      </c>
      <c r="L211" s="4">
        <v>0.8208333333333333</v>
      </c>
      <c r="M211" s="3" t="s">
        <v>59</v>
      </c>
      <c r="N211" s="2">
        <v>897.57</v>
      </c>
      <c r="O211" s="2">
        <v>4.7619047620000003</v>
      </c>
      <c r="P211" s="2">
        <v>44.878500000000003</v>
      </c>
      <c r="Q211" s="2">
        <v>6.5</v>
      </c>
      <c r="R211" s="3" t="str">
        <f t="shared" si="8"/>
        <v>March</v>
      </c>
      <c r="S211" s="3">
        <f t="shared" si="7"/>
        <v>3</v>
      </c>
      <c r="T211" s="3" t="str">
        <f>IF(tbl_sales[[#This Row],[Sales]]&gt;=500,"High Value","Standard")</f>
        <v>High Value</v>
      </c>
      <c r="U211" s="1" t="str">
        <f>IF(tbl_sales[[#This Row],[Order Size]]="High Value","High Value Order","Standard Order")</f>
        <v>High Value Order</v>
      </c>
      <c r="V211" s="1"/>
      <c r="W211" s="17" t="s">
        <v>37</v>
      </c>
      <c r="X211" s="17"/>
      <c r="Y211" s="6"/>
      <c r="Z211" s="1" t="s">
        <v>37</v>
      </c>
    </row>
    <row r="212" spans="1:26">
      <c r="A212" s="3" t="s">
        <v>1392</v>
      </c>
      <c r="B212" s="3" t="s">
        <v>22</v>
      </c>
      <c r="C212" s="3" t="s">
        <v>23</v>
      </c>
      <c r="D212" s="3" t="s">
        <v>41</v>
      </c>
      <c r="E212" s="3" t="s">
        <v>992</v>
      </c>
      <c r="F212" s="3" t="s">
        <v>42</v>
      </c>
      <c r="G212" s="2">
        <v>26.23</v>
      </c>
      <c r="H212" s="2">
        <v>9</v>
      </c>
      <c r="I212" s="2">
        <v>11.8035</v>
      </c>
      <c r="J212" s="2">
        <v>247.87350000000001</v>
      </c>
      <c r="K212" s="5">
        <v>43490</v>
      </c>
      <c r="L212" s="4">
        <v>0.85</v>
      </c>
      <c r="M212" s="3" t="s">
        <v>33</v>
      </c>
      <c r="N212" s="2">
        <v>236.07</v>
      </c>
      <c r="O212" s="2">
        <v>4.7619047620000003</v>
      </c>
      <c r="P212" s="2">
        <v>11.8035</v>
      </c>
      <c r="Q212" s="2">
        <v>5.9</v>
      </c>
      <c r="R212" s="3" t="str">
        <f t="shared" si="8"/>
        <v>January</v>
      </c>
      <c r="S212" s="3">
        <f t="shared" si="7"/>
        <v>1</v>
      </c>
      <c r="T212" s="3" t="str">
        <f>IF(tbl_sales[[#This Row],[Sales]]&gt;=500,"High Value","Standard")</f>
        <v>Standard</v>
      </c>
      <c r="U212" s="1" t="str">
        <f>IF(tbl_sales[[#This Row],[Order Size]]="High Value","High Value Order","Standard Order")</f>
        <v>Standard Order</v>
      </c>
      <c r="V212" s="1"/>
      <c r="W212" s="17" t="s">
        <v>37</v>
      </c>
      <c r="X212" s="17"/>
      <c r="Y212" s="6"/>
      <c r="Z212" s="1" t="s">
        <v>37</v>
      </c>
    </row>
    <row r="213" spans="1:26">
      <c r="A213" s="3" t="s">
        <v>1398</v>
      </c>
      <c r="B213" s="3" t="s">
        <v>39</v>
      </c>
      <c r="C213" s="3" t="s">
        <v>40</v>
      </c>
      <c r="D213" s="3" t="s">
        <v>41</v>
      </c>
      <c r="E213" s="3" t="s">
        <v>25</v>
      </c>
      <c r="F213" s="3" t="s">
        <v>117</v>
      </c>
      <c r="G213" s="2">
        <v>93.26</v>
      </c>
      <c r="H213" s="2">
        <v>9</v>
      </c>
      <c r="I213" s="2">
        <v>41.966999999999999</v>
      </c>
      <c r="J213" s="2">
        <v>881.30700000000002</v>
      </c>
      <c r="K213" s="5">
        <v>43481</v>
      </c>
      <c r="L213" s="4">
        <v>0.75555555555555554</v>
      </c>
      <c r="M213" s="3" t="s">
        <v>49</v>
      </c>
      <c r="N213" s="2">
        <v>839.34</v>
      </c>
      <c r="O213" s="2">
        <v>4.7619047620000003</v>
      </c>
      <c r="P213" s="2">
        <v>41.966999999999999</v>
      </c>
      <c r="Q213" s="2">
        <v>8.8000000000000007</v>
      </c>
      <c r="R213" s="3" t="str">
        <f t="shared" si="8"/>
        <v>January</v>
      </c>
      <c r="S213" s="3">
        <f t="shared" si="7"/>
        <v>1</v>
      </c>
      <c r="T213" s="3" t="str">
        <f>IF(tbl_sales[[#This Row],[Sales]]&gt;=500,"High Value","Standard")</f>
        <v>High Value</v>
      </c>
      <c r="U213" s="1" t="str">
        <f>IF(tbl_sales[[#This Row],[Order Size]]="High Value","High Value Order","Standard Order")</f>
        <v>High Value Order</v>
      </c>
      <c r="V213" s="1"/>
      <c r="W213" s="17" t="s">
        <v>37</v>
      </c>
      <c r="X213" s="17"/>
      <c r="Y213" s="6"/>
      <c r="Z213" s="1" t="s">
        <v>37</v>
      </c>
    </row>
    <row r="214" spans="1:26">
      <c r="A214" s="3" t="s">
        <v>1404</v>
      </c>
      <c r="B214" s="3" t="s">
        <v>115</v>
      </c>
      <c r="C214" s="3" t="s">
        <v>116</v>
      </c>
      <c r="D214" s="3" t="s">
        <v>41</v>
      </c>
      <c r="E214" s="3" t="s">
        <v>992</v>
      </c>
      <c r="F214" s="3" t="s">
        <v>53</v>
      </c>
      <c r="G214" s="2">
        <v>92.36</v>
      </c>
      <c r="H214" s="2">
        <v>5</v>
      </c>
      <c r="I214" s="2">
        <v>23.09</v>
      </c>
      <c r="J214" s="2">
        <v>484.89</v>
      </c>
      <c r="K214" s="5">
        <v>43544</v>
      </c>
      <c r="L214" s="4">
        <v>0.80347222222222225</v>
      </c>
      <c r="M214" s="3" t="s">
        <v>33</v>
      </c>
      <c r="N214" s="2">
        <v>461.8</v>
      </c>
      <c r="O214" s="2">
        <v>4.7619047620000003</v>
      </c>
      <c r="P214" s="2">
        <v>23.09</v>
      </c>
      <c r="Q214" s="2">
        <v>4.9000000000000004</v>
      </c>
      <c r="R214" s="3" t="str">
        <f t="shared" si="8"/>
        <v>March</v>
      </c>
      <c r="S214" s="3">
        <f t="shared" si="7"/>
        <v>3</v>
      </c>
      <c r="T214" s="3" t="str">
        <f>IF(tbl_sales[[#This Row],[Sales]]&gt;=500,"High Value","Standard")</f>
        <v>Standard</v>
      </c>
      <c r="U214" s="1" t="str">
        <f>IF(tbl_sales[[#This Row],[Order Size]]="High Value","High Value Order","Standard Order")</f>
        <v>Standard Order</v>
      </c>
      <c r="V214" s="1"/>
      <c r="W214" s="17" t="s">
        <v>37</v>
      </c>
      <c r="X214" s="17"/>
      <c r="Y214" s="6"/>
      <c r="Z214" s="1" t="s">
        <v>37</v>
      </c>
    </row>
    <row r="215" spans="1:26">
      <c r="A215" s="3" t="s">
        <v>1410</v>
      </c>
      <c r="B215" s="3" t="s">
        <v>115</v>
      </c>
      <c r="C215" s="3" t="s">
        <v>116</v>
      </c>
      <c r="D215" s="3" t="s">
        <v>41</v>
      </c>
      <c r="E215" s="3" t="s">
        <v>992</v>
      </c>
      <c r="F215" s="3" t="s">
        <v>72</v>
      </c>
      <c r="G215" s="2">
        <v>46.42</v>
      </c>
      <c r="H215" s="2">
        <v>3</v>
      </c>
      <c r="I215" s="2">
        <v>6.9630000000000001</v>
      </c>
      <c r="J215" s="2">
        <v>146.22300000000001</v>
      </c>
      <c r="K215" s="5">
        <v>43469</v>
      </c>
      <c r="L215" s="4">
        <v>0.55833333333333335</v>
      </c>
      <c r="M215" s="3" t="s">
        <v>59</v>
      </c>
      <c r="N215" s="2">
        <v>139.26</v>
      </c>
      <c r="O215" s="2">
        <v>4.7619047620000003</v>
      </c>
      <c r="P215" s="2">
        <v>6.9630000000000001</v>
      </c>
      <c r="Q215" s="2">
        <v>4.4000000000000004</v>
      </c>
      <c r="R215" s="3" t="str">
        <f t="shared" si="8"/>
        <v>January</v>
      </c>
      <c r="S215" s="3">
        <f t="shared" si="7"/>
        <v>1</v>
      </c>
      <c r="T215" s="3" t="str">
        <f>IF(tbl_sales[[#This Row],[Sales]]&gt;=500,"High Value","Standard")</f>
        <v>Standard</v>
      </c>
      <c r="U215" s="1" t="str">
        <f>IF(tbl_sales[[#This Row],[Order Size]]="High Value","High Value Order","Standard Order")</f>
        <v>Standard Order</v>
      </c>
      <c r="V215" s="1"/>
      <c r="W215" s="17" t="s">
        <v>37</v>
      </c>
      <c r="X215" s="17"/>
      <c r="Y215" s="6"/>
      <c r="Z215" s="1" t="s">
        <v>37</v>
      </c>
    </row>
    <row r="216" spans="1:26">
      <c r="A216" s="3" t="s">
        <v>1415</v>
      </c>
      <c r="B216" s="3" t="s">
        <v>115</v>
      </c>
      <c r="C216" s="3" t="s">
        <v>116</v>
      </c>
      <c r="D216" s="3" t="s">
        <v>24</v>
      </c>
      <c r="E216" s="3" t="s">
        <v>25</v>
      </c>
      <c r="F216" s="3" t="s">
        <v>72</v>
      </c>
      <c r="G216" s="2">
        <v>29.61</v>
      </c>
      <c r="H216" s="2">
        <v>7</v>
      </c>
      <c r="I216" s="2">
        <v>10.3635</v>
      </c>
      <c r="J216" s="2">
        <v>217.6335</v>
      </c>
      <c r="K216" s="5">
        <v>43535</v>
      </c>
      <c r="L216" s="4">
        <v>0.66180555555555554</v>
      </c>
      <c r="M216" s="3" t="s">
        <v>49</v>
      </c>
      <c r="N216" s="2">
        <v>207.27</v>
      </c>
      <c r="O216" s="2">
        <v>4.7619047620000003</v>
      </c>
      <c r="P216" s="2">
        <v>10.3635</v>
      </c>
      <c r="Q216" s="2">
        <v>6.5</v>
      </c>
      <c r="R216" s="3" t="str">
        <f t="shared" si="8"/>
        <v>March</v>
      </c>
      <c r="S216" s="3">
        <f t="shared" si="7"/>
        <v>3</v>
      </c>
      <c r="T216" s="3" t="str">
        <f>IF(tbl_sales[[#This Row],[Sales]]&gt;=500,"High Value","Standard")</f>
        <v>Standard</v>
      </c>
      <c r="U216" s="1" t="str">
        <f>IF(tbl_sales[[#This Row],[Order Size]]="High Value","High Value Order","Standard Order")</f>
        <v>Standard Order</v>
      </c>
      <c r="V216" s="1"/>
      <c r="W216" s="17" t="s">
        <v>37</v>
      </c>
      <c r="X216" s="17"/>
      <c r="Y216" s="6"/>
      <c r="Z216" s="1" t="s">
        <v>37</v>
      </c>
    </row>
    <row r="217" spans="1:26">
      <c r="A217" s="3" t="s">
        <v>1418</v>
      </c>
      <c r="B217" s="3" t="s">
        <v>22</v>
      </c>
      <c r="C217" s="3" t="s">
        <v>23</v>
      </c>
      <c r="D217" s="3" t="s">
        <v>41</v>
      </c>
      <c r="E217" s="3" t="s">
        <v>992</v>
      </c>
      <c r="F217" s="3" t="s">
        <v>53</v>
      </c>
      <c r="G217" s="2">
        <v>18.28</v>
      </c>
      <c r="H217" s="2">
        <v>1</v>
      </c>
      <c r="I217" s="2">
        <v>0.91400000000000003</v>
      </c>
      <c r="J217" s="2">
        <v>19.193999999999999</v>
      </c>
      <c r="K217" s="5">
        <v>43546</v>
      </c>
      <c r="L217" s="4">
        <v>0.62847222222222221</v>
      </c>
      <c r="M217" s="3" t="s">
        <v>59</v>
      </c>
      <c r="N217" s="2">
        <v>18.28</v>
      </c>
      <c r="O217" s="2">
        <v>4.7619047620000003</v>
      </c>
      <c r="P217" s="2">
        <v>0.91400000000000003</v>
      </c>
      <c r="Q217" s="2">
        <v>8.3000000000000007</v>
      </c>
      <c r="R217" s="3" t="str">
        <f t="shared" si="8"/>
        <v>March</v>
      </c>
      <c r="S217" s="3">
        <f t="shared" si="7"/>
        <v>3</v>
      </c>
      <c r="T217" s="3" t="str">
        <f>IF(tbl_sales[[#This Row],[Sales]]&gt;=500,"High Value","Standard")</f>
        <v>Standard</v>
      </c>
      <c r="U217" s="1" t="str">
        <f>IF(tbl_sales[[#This Row],[Order Size]]="High Value","High Value Order","Standard Order")</f>
        <v>Standard Order</v>
      </c>
      <c r="V217" s="1"/>
      <c r="W217" s="17" t="s">
        <v>37</v>
      </c>
      <c r="X217" s="17"/>
      <c r="Y217" s="6"/>
      <c r="Z217" s="1" t="s">
        <v>37</v>
      </c>
    </row>
    <row r="218" spans="1:26">
      <c r="A218" s="3" t="s">
        <v>1423</v>
      </c>
      <c r="B218" s="3" t="s">
        <v>115</v>
      </c>
      <c r="C218" s="3" t="s">
        <v>116</v>
      </c>
      <c r="D218" s="3" t="s">
        <v>41</v>
      </c>
      <c r="E218" s="3" t="s">
        <v>25</v>
      </c>
      <c r="F218" s="3" t="s">
        <v>72</v>
      </c>
      <c r="G218" s="2">
        <v>24.77</v>
      </c>
      <c r="H218" s="2">
        <v>5</v>
      </c>
      <c r="I218" s="2">
        <v>6.1924999999999999</v>
      </c>
      <c r="J218" s="2">
        <v>130.04249999999999</v>
      </c>
      <c r="K218" s="5">
        <v>43548</v>
      </c>
      <c r="L218" s="4">
        <v>0.76875000000000004</v>
      </c>
      <c r="M218" s="3" t="s">
        <v>49</v>
      </c>
      <c r="N218" s="2">
        <v>123.85</v>
      </c>
      <c r="O218" s="2">
        <v>4.7619047620000003</v>
      </c>
      <c r="P218" s="2">
        <v>6.1924999999999999</v>
      </c>
      <c r="Q218" s="2">
        <v>8.5</v>
      </c>
      <c r="R218" s="3" t="str">
        <f t="shared" si="8"/>
        <v>March</v>
      </c>
      <c r="S218" s="3">
        <f t="shared" si="7"/>
        <v>3</v>
      </c>
      <c r="T218" s="3" t="str">
        <f>IF(tbl_sales[[#This Row],[Sales]]&gt;=500,"High Value","Standard")</f>
        <v>Standard</v>
      </c>
      <c r="U218" s="1" t="str">
        <f>IF(tbl_sales[[#This Row],[Order Size]]="High Value","High Value Order","Standard Order")</f>
        <v>Standard Order</v>
      </c>
      <c r="V218" s="1"/>
      <c r="W218" s="17" t="s">
        <v>37</v>
      </c>
      <c r="X218" s="17"/>
      <c r="Y218" s="6"/>
      <c r="Z218" s="1" t="s">
        <v>37</v>
      </c>
    </row>
    <row r="219" spans="1:26">
      <c r="A219" s="3" t="s">
        <v>1429</v>
      </c>
      <c r="B219" s="3" t="s">
        <v>22</v>
      </c>
      <c r="C219" s="3" t="s">
        <v>23</v>
      </c>
      <c r="D219" s="3" t="s">
        <v>24</v>
      </c>
      <c r="E219" s="3" t="s">
        <v>25</v>
      </c>
      <c r="F219" s="3" t="s">
        <v>42</v>
      </c>
      <c r="G219" s="2">
        <v>94.64</v>
      </c>
      <c r="H219" s="2">
        <v>3</v>
      </c>
      <c r="I219" s="2">
        <v>14.196</v>
      </c>
      <c r="J219" s="2">
        <v>298.11599999999999</v>
      </c>
      <c r="K219" s="5">
        <v>43517</v>
      </c>
      <c r="L219" s="4">
        <v>0.70486111111111116</v>
      </c>
      <c r="M219" s="3" t="s">
        <v>49</v>
      </c>
      <c r="N219" s="2">
        <v>283.92</v>
      </c>
      <c r="O219" s="2">
        <v>4.7619047620000003</v>
      </c>
      <c r="P219" s="2">
        <v>14.196</v>
      </c>
      <c r="Q219" s="2">
        <v>5.5</v>
      </c>
      <c r="R219" s="3" t="str">
        <f t="shared" si="8"/>
        <v>February</v>
      </c>
      <c r="S219" s="3">
        <f t="shared" si="7"/>
        <v>2</v>
      </c>
      <c r="T219" s="3" t="str">
        <f>IF(tbl_sales[[#This Row],[Sales]]&gt;=500,"High Value","Standard")</f>
        <v>Standard</v>
      </c>
      <c r="U219" s="1" t="str">
        <f>IF(tbl_sales[[#This Row],[Order Size]]="High Value","High Value Order","Standard Order")</f>
        <v>Standard Order</v>
      </c>
      <c r="V219" s="1"/>
      <c r="W219" s="17" t="s">
        <v>37</v>
      </c>
      <c r="X219" s="17"/>
      <c r="Y219" s="6"/>
      <c r="Z219" s="1" t="s">
        <v>37</v>
      </c>
    </row>
    <row r="220" spans="1:26">
      <c r="A220" s="3" t="s">
        <v>1436</v>
      </c>
      <c r="B220" s="3" t="s">
        <v>115</v>
      </c>
      <c r="C220" s="3" t="s">
        <v>116</v>
      </c>
      <c r="D220" s="3" t="s">
        <v>41</v>
      </c>
      <c r="E220" s="3" t="s">
        <v>992</v>
      </c>
      <c r="F220" s="3" t="s">
        <v>127</v>
      </c>
      <c r="G220" s="2">
        <v>94.87</v>
      </c>
      <c r="H220" s="2">
        <v>8</v>
      </c>
      <c r="I220" s="2">
        <v>37.948</v>
      </c>
      <c r="J220" s="2">
        <v>796.90800000000002</v>
      </c>
      <c r="K220" s="5">
        <v>43508</v>
      </c>
      <c r="L220" s="4">
        <v>0.54027777777777775</v>
      </c>
      <c r="M220" s="3" t="s">
        <v>33</v>
      </c>
      <c r="N220" s="2">
        <v>758.96</v>
      </c>
      <c r="O220" s="2">
        <v>4.7619047620000003</v>
      </c>
      <c r="P220" s="2">
        <v>37.948</v>
      </c>
      <c r="Q220" s="2">
        <v>8.6999999999999993</v>
      </c>
      <c r="R220" s="3" t="str">
        <f t="shared" si="8"/>
        <v>February</v>
      </c>
      <c r="S220" s="3">
        <f t="shared" si="7"/>
        <v>2</v>
      </c>
      <c r="T220" s="3" t="str">
        <f>IF(tbl_sales[[#This Row],[Sales]]&gt;=500,"High Value","Standard")</f>
        <v>High Value</v>
      </c>
      <c r="U220" s="1" t="str">
        <f>IF(tbl_sales[[#This Row],[Order Size]]="High Value","High Value Order","Standard Order")</f>
        <v>High Value Order</v>
      </c>
      <c r="V220" s="1"/>
      <c r="W220" s="17" t="s">
        <v>37</v>
      </c>
      <c r="X220" s="17"/>
      <c r="Y220" s="6"/>
      <c r="Z220" s="1" t="s">
        <v>37</v>
      </c>
    </row>
    <row r="221" spans="1:26">
      <c r="A221" s="3" t="s">
        <v>1442</v>
      </c>
      <c r="B221" s="3" t="s">
        <v>115</v>
      </c>
      <c r="C221" s="3" t="s">
        <v>116</v>
      </c>
      <c r="D221" s="3" t="s">
        <v>41</v>
      </c>
      <c r="E221" s="3" t="s">
        <v>25</v>
      </c>
      <c r="F221" s="3" t="s">
        <v>117</v>
      </c>
      <c r="G221" s="2">
        <v>57.34</v>
      </c>
      <c r="H221" s="2">
        <v>3</v>
      </c>
      <c r="I221" s="2">
        <v>8.6010000000000009</v>
      </c>
      <c r="J221" s="2">
        <v>180.62100000000001</v>
      </c>
      <c r="K221" s="5">
        <v>43534</v>
      </c>
      <c r="L221" s="4">
        <v>0.79097222222222219</v>
      </c>
      <c r="M221" s="3" t="s">
        <v>59</v>
      </c>
      <c r="N221" s="2">
        <v>172.02</v>
      </c>
      <c r="O221" s="2">
        <v>4.7619047620000003</v>
      </c>
      <c r="P221" s="2">
        <v>8.6010000000000009</v>
      </c>
      <c r="Q221" s="2">
        <v>7.9</v>
      </c>
      <c r="R221" s="3" t="str">
        <f t="shared" si="8"/>
        <v>March</v>
      </c>
      <c r="S221" s="3">
        <f t="shared" si="7"/>
        <v>3</v>
      </c>
      <c r="T221" s="3" t="str">
        <f>IF(tbl_sales[[#This Row],[Sales]]&gt;=500,"High Value","Standard")</f>
        <v>Standard</v>
      </c>
      <c r="U221" s="1" t="str">
        <f>IF(tbl_sales[[#This Row],[Order Size]]="High Value","High Value Order","Standard Order")</f>
        <v>Standard Order</v>
      </c>
      <c r="V221" s="1"/>
      <c r="W221" s="17" t="s">
        <v>37</v>
      </c>
      <c r="X221" s="17"/>
      <c r="Y221" s="6"/>
      <c r="Z221" s="1" t="s">
        <v>37</v>
      </c>
    </row>
    <row r="222" spans="1:26">
      <c r="A222" s="3" t="s">
        <v>1448</v>
      </c>
      <c r="B222" s="3" t="s">
        <v>115</v>
      </c>
      <c r="C222" s="3" t="s">
        <v>116</v>
      </c>
      <c r="D222" s="3" t="s">
        <v>41</v>
      </c>
      <c r="E222" s="3" t="s">
        <v>992</v>
      </c>
      <c r="F222" s="3" t="s">
        <v>42</v>
      </c>
      <c r="G222" s="2">
        <v>45.35</v>
      </c>
      <c r="H222" s="2">
        <v>6</v>
      </c>
      <c r="I222" s="2">
        <v>13.605</v>
      </c>
      <c r="J222" s="2">
        <v>285.70499999999998</v>
      </c>
      <c r="K222" s="5">
        <v>43496</v>
      </c>
      <c r="L222" s="4">
        <v>0.57222222222222219</v>
      </c>
      <c r="M222" s="3" t="s">
        <v>33</v>
      </c>
      <c r="N222" s="2">
        <v>272.10000000000002</v>
      </c>
      <c r="O222" s="2">
        <v>4.7619047620000003</v>
      </c>
      <c r="P222" s="2">
        <v>13.605</v>
      </c>
      <c r="Q222" s="2">
        <v>6.1</v>
      </c>
      <c r="R222" s="3" t="str">
        <f t="shared" si="8"/>
        <v>January</v>
      </c>
      <c r="S222" s="3">
        <f t="shared" si="7"/>
        <v>1</v>
      </c>
      <c r="T222" s="3" t="str">
        <f>IF(tbl_sales[[#This Row],[Sales]]&gt;=500,"High Value","Standard")</f>
        <v>Standard</v>
      </c>
      <c r="U222" s="1" t="str">
        <f>IF(tbl_sales[[#This Row],[Order Size]]="High Value","High Value Order","Standard Order")</f>
        <v>Standard Order</v>
      </c>
      <c r="V222" s="1"/>
      <c r="W222" s="17" t="s">
        <v>37</v>
      </c>
      <c r="X222" s="17"/>
      <c r="Y222" s="6"/>
      <c r="Z222" s="1" t="s">
        <v>37</v>
      </c>
    </row>
    <row r="223" spans="1:26">
      <c r="A223" s="3" t="s">
        <v>1455</v>
      </c>
      <c r="B223" s="3" t="s">
        <v>115</v>
      </c>
      <c r="C223" s="3" t="s">
        <v>116</v>
      </c>
      <c r="D223" s="3" t="s">
        <v>41</v>
      </c>
      <c r="E223" s="3" t="s">
        <v>992</v>
      </c>
      <c r="F223" s="3" t="s">
        <v>117</v>
      </c>
      <c r="G223" s="2">
        <v>62.08</v>
      </c>
      <c r="H223" s="2">
        <v>7</v>
      </c>
      <c r="I223" s="2">
        <v>21.728000000000002</v>
      </c>
      <c r="J223" s="2">
        <v>456.28800000000001</v>
      </c>
      <c r="K223" s="5">
        <v>43530</v>
      </c>
      <c r="L223" s="4">
        <v>0.57361111111111107</v>
      </c>
      <c r="M223" s="3" t="s">
        <v>33</v>
      </c>
      <c r="N223" s="2">
        <v>434.56</v>
      </c>
      <c r="O223" s="2">
        <v>4.7619047620000003</v>
      </c>
      <c r="P223" s="2">
        <v>21.728000000000002</v>
      </c>
      <c r="Q223" s="2">
        <v>5.4</v>
      </c>
      <c r="R223" s="3" t="str">
        <f t="shared" si="8"/>
        <v>March</v>
      </c>
      <c r="S223" s="3">
        <f t="shared" si="7"/>
        <v>3</v>
      </c>
      <c r="T223" s="3" t="str">
        <f>IF(tbl_sales[[#This Row],[Sales]]&gt;=500,"High Value","Standard")</f>
        <v>Standard</v>
      </c>
      <c r="U223" s="1" t="str">
        <f>IF(tbl_sales[[#This Row],[Order Size]]="High Value","High Value Order","Standard Order")</f>
        <v>Standard Order</v>
      </c>
      <c r="V223" s="1"/>
      <c r="W223" s="17" t="s">
        <v>37</v>
      </c>
      <c r="X223" s="17"/>
      <c r="Y223" s="6"/>
      <c r="Z223" s="1" t="s">
        <v>37</v>
      </c>
    </row>
    <row r="224" spans="1:26">
      <c r="A224" s="3" t="s">
        <v>1461</v>
      </c>
      <c r="B224" s="3" t="s">
        <v>39</v>
      </c>
      <c r="C224" s="3" t="s">
        <v>40</v>
      </c>
      <c r="D224" s="3" t="s">
        <v>41</v>
      </c>
      <c r="E224" s="3" t="s">
        <v>992</v>
      </c>
      <c r="F224" s="3" t="s">
        <v>42</v>
      </c>
      <c r="G224" s="2">
        <v>11.81</v>
      </c>
      <c r="H224" s="2">
        <v>5</v>
      </c>
      <c r="I224" s="2">
        <v>2.9525000000000001</v>
      </c>
      <c r="J224" s="2">
        <v>62.002499999999998</v>
      </c>
      <c r="K224" s="5">
        <v>43513</v>
      </c>
      <c r="L224" s="4">
        <v>0.75416666666666665</v>
      </c>
      <c r="M224" s="3" t="s">
        <v>49</v>
      </c>
      <c r="N224" s="2">
        <v>59.05</v>
      </c>
      <c r="O224" s="2">
        <v>4.7619047620000003</v>
      </c>
      <c r="P224" s="2">
        <v>2.9525000000000001</v>
      </c>
      <c r="Q224" s="2">
        <v>9.4</v>
      </c>
      <c r="R224" s="3" t="str">
        <f t="shared" si="8"/>
        <v>February</v>
      </c>
      <c r="S224" s="3">
        <f t="shared" si="7"/>
        <v>2</v>
      </c>
      <c r="T224" s="3" t="str">
        <f>IF(tbl_sales[[#This Row],[Sales]]&gt;=500,"High Value","Standard")</f>
        <v>Standard</v>
      </c>
      <c r="U224" s="1" t="str">
        <f>IF(tbl_sales[[#This Row],[Order Size]]="High Value","High Value Order","Standard Order")</f>
        <v>Standard Order</v>
      </c>
      <c r="V224" s="1"/>
      <c r="W224" s="17" t="s">
        <v>37</v>
      </c>
      <c r="X224" s="17"/>
      <c r="Y224" s="6"/>
      <c r="Z224" s="1" t="s">
        <v>37</v>
      </c>
    </row>
    <row r="225" spans="1:26">
      <c r="A225" s="3" t="s">
        <v>1467</v>
      </c>
      <c r="B225" s="3" t="s">
        <v>39</v>
      </c>
      <c r="C225" s="3" t="s">
        <v>40</v>
      </c>
      <c r="D225" s="3" t="s">
        <v>24</v>
      </c>
      <c r="E225" s="3" t="s">
        <v>25</v>
      </c>
      <c r="F225" s="3" t="s">
        <v>127</v>
      </c>
      <c r="G225" s="2">
        <v>12.54</v>
      </c>
      <c r="H225" s="2">
        <v>1</v>
      </c>
      <c r="I225" s="2">
        <v>0.627</v>
      </c>
      <c r="J225" s="2">
        <v>13.167</v>
      </c>
      <c r="K225" s="5">
        <v>43517</v>
      </c>
      <c r="L225" s="4">
        <v>0.52638888888888891</v>
      </c>
      <c r="M225" s="3" t="s">
        <v>49</v>
      </c>
      <c r="N225" s="2">
        <v>12.54</v>
      </c>
      <c r="O225" s="2">
        <v>4.7619047620000003</v>
      </c>
      <c r="P225" s="2">
        <v>0.627</v>
      </c>
      <c r="Q225" s="2">
        <v>8.1999999999999993</v>
      </c>
      <c r="R225" s="3" t="str">
        <f t="shared" si="8"/>
        <v>February</v>
      </c>
      <c r="S225" s="3">
        <f t="shared" si="7"/>
        <v>2</v>
      </c>
      <c r="T225" s="3" t="str">
        <f>IF(tbl_sales[[#This Row],[Sales]]&gt;=500,"High Value","Standard")</f>
        <v>Standard</v>
      </c>
      <c r="U225" s="1" t="str">
        <f>IF(tbl_sales[[#This Row],[Order Size]]="High Value","High Value Order","Standard Order")</f>
        <v>Standard Order</v>
      </c>
      <c r="V225" s="1"/>
      <c r="W225" s="17" t="s">
        <v>37</v>
      </c>
      <c r="X225" s="17"/>
      <c r="Y225" s="6"/>
      <c r="Z225" s="1" t="s">
        <v>37</v>
      </c>
    </row>
    <row r="226" spans="1:26">
      <c r="A226" s="3" t="s">
        <v>1472</v>
      </c>
      <c r="B226" s="3" t="s">
        <v>22</v>
      </c>
      <c r="C226" s="3" t="s">
        <v>23</v>
      </c>
      <c r="D226" s="3" t="s">
        <v>41</v>
      </c>
      <c r="E226" s="3" t="s">
        <v>992</v>
      </c>
      <c r="F226" s="3" t="s">
        <v>117</v>
      </c>
      <c r="G226" s="2">
        <v>43.25</v>
      </c>
      <c r="H226" s="2">
        <v>2</v>
      </c>
      <c r="I226" s="2">
        <v>4.3250000000000002</v>
      </c>
      <c r="J226" s="2">
        <v>90.825000000000003</v>
      </c>
      <c r="K226" s="5">
        <v>43544</v>
      </c>
      <c r="L226" s="4">
        <v>0.66388888888888886</v>
      </c>
      <c r="M226" s="3" t="s">
        <v>49</v>
      </c>
      <c r="N226" s="2">
        <v>86.5</v>
      </c>
      <c r="O226" s="2">
        <v>4.7619047620000003</v>
      </c>
      <c r="P226" s="2">
        <v>4.3250000000000002</v>
      </c>
      <c r="Q226" s="2">
        <v>6.2</v>
      </c>
      <c r="R226" s="3" t="str">
        <f t="shared" si="8"/>
        <v>March</v>
      </c>
      <c r="S226" s="3">
        <f t="shared" si="7"/>
        <v>3</v>
      </c>
      <c r="T226" s="3" t="str">
        <f>IF(tbl_sales[[#This Row],[Sales]]&gt;=500,"High Value","Standard")</f>
        <v>Standard</v>
      </c>
      <c r="U226" s="1" t="str">
        <f>IF(tbl_sales[[#This Row],[Order Size]]="High Value","High Value Order","Standard Order")</f>
        <v>Standard Order</v>
      </c>
      <c r="V226" s="1"/>
      <c r="W226" s="17" t="s">
        <v>37</v>
      </c>
      <c r="X226" s="17"/>
      <c r="Y226" s="6"/>
      <c r="Z226" s="1" t="s">
        <v>37</v>
      </c>
    </row>
    <row r="227" spans="1:26">
      <c r="A227" s="3" t="s">
        <v>1478</v>
      </c>
      <c r="B227" s="3" t="s">
        <v>39</v>
      </c>
      <c r="C227" s="3" t="s">
        <v>40</v>
      </c>
      <c r="D227" s="3" t="s">
        <v>24</v>
      </c>
      <c r="E227" s="3" t="s">
        <v>25</v>
      </c>
      <c r="F227" s="3" t="s">
        <v>72</v>
      </c>
      <c r="G227" s="2">
        <v>87.16</v>
      </c>
      <c r="H227" s="2">
        <v>2</v>
      </c>
      <c r="I227" s="2">
        <v>8.7159999999999993</v>
      </c>
      <c r="J227" s="2">
        <v>183.036</v>
      </c>
      <c r="K227" s="5">
        <v>43476</v>
      </c>
      <c r="L227" s="4">
        <v>0.60347222222222219</v>
      </c>
      <c r="M227" s="3" t="s">
        <v>59</v>
      </c>
      <c r="N227" s="2">
        <v>174.32</v>
      </c>
      <c r="O227" s="2">
        <v>4.7619047620000003</v>
      </c>
      <c r="P227" s="2">
        <v>8.7159999999999993</v>
      </c>
      <c r="Q227" s="2">
        <v>9.6999999999999993</v>
      </c>
      <c r="R227" s="3" t="str">
        <f t="shared" si="8"/>
        <v>January</v>
      </c>
      <c r="S227" s="3">
        <f t="shared" si="7"/>
        <v>1</v>
      </c>
      <c r="T227" s="3" t="str">
        <f>IF(tbl_sales[[#This Row],[Sales]]&gt;=500,"High Value","Standard")</f>
        <v>Standard</v>
      </c>
      <c r="U227" s="1" t="str">
        <f>IF(tbl_sales[[#This Row],[Order Size]]="High Value","High Value Order","Standard Order")</f>
        <v>Standard Order</v>
      </c>
      <c r="V227" s="1"/>
      <c r="W227" s="17" t="s">
        <v>37</v>
      </c>
      <c r="X227" s="17"/>
      <c r="Y227" s="6"/>
      <c r="Z227" s="1" t="s">
        <v>37</v>
      </c>
    </row>
    <row r="228" spans="1:26">
      <c r="A228" s="3" t="s">
        <v>1485</v>
      </c>
      <c r="B228" s="3" t="s">
        <v>115</v>
      </c>
      <c r="C228" s="3" t="s">
        <v>116</v>
      </c>
      <c r="D228" s="3" t="s">
        <v>24</v>
      </c>
      <c r="E228" s="3" t="s">
        <v>992</v>
      </c>
      <c r="F228" s="3" t="s">
        <v>26</v>
      </c>
      <c r="G228" s="2">
        <v>69.37</v>
      </c>
      <c r="H228" s="2">
        <v>9</v>
      </c>
      <c r="I228" s="2">
        <v>31.2165</v>
      </c>
      <c r="J228" s="2">
        <v>655.54650000000004</v>
      </c>
      <c r="K228" s="5">
        <v>43491</v>
      </c>
      <c r="L228" s="4">
        <v>0.80138888888888893</v>
      </c>
      <c r="M228" s="3" t="s">
        <v>33</v>
      </c>
      <c r="N228" s="2">
        <v>624.33000000000004</v>
      </c>
      <c r="O228" s="2">
        <v>4.7619047620000003</v>
      </c>
      <c r="P228" s="2">
        <v>31.2165</v>
      </c>
      <c r="Q228" s="2">
        <v>4</v>
      </c>
      <c r="R228" s="3" t="str">
        <f t="shared" si="8"/>
        <v>January</v>
      </c>
      <c r="S228" s="3">
        <f t="shared" si="7"/>
        <v>1</v>
      </c>
      <c r="T228" s="3" t="str">
        <f>IF(tbl_sales[[#This Row],[Sales]]&gt;=500,"High Value","Standard")</f>
        <v>High Value</v>
      </c>
      <c r="U228" s="1" t="str">
        <f>IF(tbl_sales[[#This Row],[Order Size]]="High Value","High Value Order","Standard Order")</f>
        <v>High Value Order</v>
      </c>
      <c r="V228" s="1"/>
      <c r="W228" s="17" t="s">
        <v>37</v>
      </c>
      <c r="X228" s="17"/>
      <c r="Y228" s="6"/>
      <c r="Z228" s="1" t="s">
        <v>37</v>
      </c>
    </row>
    <row r="229" spans="1:26">
      <c r="A229" s="3" t="s">
        <v>1491</v>
      </c>
      <c r="B229" s="3" t="s">
        <v>39</v>
      </c>
      <c r="C229" s="3" t="s">
        <v>40</v>
      </c>
      <c r="D229" s="3" t="s">
        <v>24</v>
      </c>
      <c r="E229" s="3" t="s">
        <v>992</v>
      </c>
      <c r="F229" s="3" t="s">
        <v>42</v>
      </c>
      <c r="G229" s="2">
        <v>37.06</v>
      </c>
      <c r="H229" s="2">
        <v>4</v>
      </c>
      <c r="I229" s="2">
        <v>7.4119999999999999</v>
      </c>
      <c r="J229" s="2">
        <v>155.65199999999999</v>
      </c>
      <c r="K229" s="5">
        <v>43496</v>
      </c>
      <c r="L229" s="4">
        <v>0.68333333333333335</v>
      </c>
      <c r="M229" s="3" t="s">
        <v>33</v>
      </c>
      <c r="N229" s="2">
        <v>148.24</v>
      </c>
      <c r="O229" s="2">
        <v>4.7619047620000003</v>
      </c>
      <c r="P229" s="2">
        <v>7.4119999999999999</v>
      </c>
      <c r="Q229" s="2">
        <v>9.6999999999999993</v>
      </c>
      <c r="R229" s="3" t="str">
        <f t="shared" si="8"/>
        <v>January</v>
      </c>
      <c r="S229" s="3">
        <f t="shared" si="7"/>
        <v>1</v>
      </c>
      <c r="T229" s="3" t="str">
        <f>IF(tbl_sales[[#This Row],[Sales]]&gt;=500,"High Value","Standard")</f>
        <v>Standard</v>
      </c>
      <c r="U229" s="1" t="str">
        <f>IF(tbl_sales[[#This Row],[Order Size]]="High Value","High Value Order","Standard Order")</f>
        <v>Standard Order</v>
      </c>
      <c r="V229" s="1"/>
      <c r="W229" s="17" t="s">
        <v>37</v>
      </c>
      <c r="X229" s="17"/>
      <c r="Y229" s="6"/>
      <c r="Z229" s="1" t="s">
        <v>37</v>
      </c>
    </row>
    <row r="230" spans="1:26">
      <c r="A230" s="3" t="s">
        <v>1496</v>
      </c>
      <c r="B230" s="3" t="s">
        <v>115</v>
      </c>
      <c r="C230" s="3" t="s">
        <v>116</v>
      </c>
      <c r="D230" s="3" t="s">
        <v>24</v>
      </c>
      <c r="E230" s="3" t="s">
        <v>25</v>
      </c>
      <c r="F230" s="3" t="s">
        <v>42</v>
      </c>
      <c r="G230" s="2">
        <v>90.7</v>
      </c>
      <c r="H230" s="2">
        <v>6</v>
      </c>
      <c r="I230" s="2">
        <v>27.21</v>
      </c>
      <c r="J230" s="2">
        <v>571.41</v>
      </c>
      <c r="K230" s="5">
        <v>43522</v>
      </c>
      <c r="L230" s="4">
        <v>0.45277777777777778</v>
      </c>
      <c r="M230" s="3" t="s">
        <v>49</v>
      </c>
      <c r="N230" s="2">
        <v>544.20000000000005</v>
      </c>
      <c r="O230" s="2">
        <v>4.7619047620000003</v>
      </c>
      <c r="P230" s="2">
        <v>27.21</v>
      </c>
      <c r="Q230" s="2">
        <v>5.3</v>
      </c>
      <c r="R230" s="3" t="str">
        <f t="shared" si="8"/>
        <v>February</v>
      </c>
      <c r="S230" s="3">
        <f t="shared" si="7"/>
        <v>2</v>
      </c>
      <c r="T230" s="3" t="str">
        <f>IF(tbl_sales[[#This Row],[Sales]]&gt;=500,"High Value","Standard")</f>
        <v>High Value</v>
      </c>
      <c r="U230" s="1" t="str">
        <f>IF(tbl_sales[[#This Row],[Order Size]]="High Value","High Value Order","Standard Order")</f>
        <v>High Value Order</v>
      </c>
      <c r="V230" s="1"/>
      <c r="W230" s="17" t="s">
        <v>37</v>
      </c>
      <c r="X230" s="17"/>
      <c r="Y230" s="6"/>
      <c r="Z230" s="1" t="s">
        <v>37</v>
      </c>
    </row>
    <row r="231" spans="1:26">
      <c r="A231" s="3" t="s">
        <v>1503</v>
      </c>
      <c r="B231" s="3" t="s">
        <v>22</v>
      </c>
      <c r="C231" s="3" t="s">
        <v>23</v>
      </c>
      <c r="D231" s="3" t="s">
        <v>41</v>
      </c>
      <c r="E231" s="3" t="s">
        <v>25</v>
      </c>
      <c r="F231" s="3" t="s">
        <v>53</v>
      </c>
      <c r="G231" s="2">
        <v>63.42</v>
      </c>
      <c r="H231" s="2">
        <v>8</v>
      </c>
      <c r="I231" s="2">
        <v>25.367999999999999</v>
      </c>
      <c r="J231" s="2">
        <v>532.72799999999995</v>
      </c>
      <c r="K231" s="5">
        <v>43535</v>
      </c>
      <c r="L231" s="4">
        <v>0.53819444444444442</v>
      </c>
      <c r="M231" s="3" t="s">
        <v>33</v>
      </c>
      <c r="N231" s="2">
        <v>507.36</v>
      </c>
      <c r="O231" s="2">
        <v>4.7619047620000003</v>
      </c>
      <c r="P231" s="2">
        <v>25.367999999999999</v>
      </c>
      <c r="Q231" s="2">
        <v>7.4</v>
      </c>
      <c r="R231" s="3" t="str">
        <f t="shared" si="8"/>
        <v>March</v>
      </c>
      <c r="S231" s="3">
        <f t="shared" si="7"/>
        <v>3</v>
      </c>
      <c r="T231" s="3" t="str">
        <f>IF(tbl_sales[[#This Row],[Sales]]&gt;=500,"High Value","Standard")</f>
        <v>High Value</v>
      </c>
      <c r="U231" s="1" t="str">
        <f>IF(tbl_sales[[#This Row],[Order Size]]="High Value","High Value Order","Standard Order")</f>
        <v>High Value Order</v>
      </c>
      <c r="V231" s="1"/>
      <c r="W231" s="17" t="s">
        <v>37</v>
      </c>
      <c r="X231" s="17"/>
      <c r="Y231" s="6"/>
      <c r="Z231" s="1" t="s">
        <v>37</v>
      </c>
    </row>
    <row r="232" spans="1:26">
      <c r="A232" s="3" t="s">
        <v>1509</v>
      </c>
      <c r="B232" s="3" t="s">
        <v>115</v>
      </c>
      <c r="C232" s="3" t="s">
        <v>116</v>
      </c>
      <c r="D232" s="3" t="s">
        <v>41</v>
      </c>
      <c r="E232" s="3" t="s">
        <v>25</v>
      </c>
      <c r="F232" s="3" t="s">
        <v>127</v>
      </c>
      <c r="G232" s="2">
        <v>81.37</v>
      </c>
      <c r="H232" s="2">
        <v>2</v>
      </c>
      <c r="I232" s="2">
        <v>8.1370000000000005</v>
      </c>
      <c r="J232" s="2">
        <v>170.87700000000001</v>
      </c>
      <c r="K232" s="5">
        <v>43491</v>
      </c>
      <c r="L232" s="4">
        <v>0.81111111111111112</v>
      </c>
      <c r="M232" s="3" t="s">
        <v>49</v>
      </c>
      <c r="N232" s="2">
        <v>162.74</v>
      </c>
      <c r="O232" s="2">
        <v>4.7619047620000003</v>
      </c>
      <c r="P232" s="2">
        <v>8.1370000000000005</v>
      </c>
      <c r="Q232" s="2">
        <v>6.5</v>
      </c>
      <c r="R232" s="3" t="str">
        <f t="shared" si="8"/>
        <v>January</v>
      </c>
      <c r="S232" s="3">
        <f t="shared" si="7"/>
        <v>1</v>
      </c>
      <c r="T232" s="3" t="str">
        <f>IF(tbl_sales[[#This Row],[Sales]]&gt;=500,"High Value","Standard")</f>
        <v>Standard</v>
      </c>
      <c r="U232" s="1" t="str">
        <f>IF(tbl_sales[[#This Row],[Order Size]]="High Value","High Value Order","Standard Order")</f>
        <v>Standard Order</v>
      </c>
      <c r="V232" s="1"/>
      <c r="W232" s="17" t="s">
        <v>37</v>
      </c>
      <c r="X232" s="17"/>
      <c r="Y232" s="6"/>
      <c r="Z232" s="1" t="s">
        <v>37</v>
      </c>
    </row>
    <row r="233" spans="1:26">
      <c r="A233" s="3" t="s">
        <v>1515</v>
      </c>
      <c r="B233" s="3" t="s">
        <v>115</v>
      </c>
      <c r="C233" s="3" t="s">
        <v>116</v>
      </c>
      <c r="D233" s="3" t="s">
        <v>24</v>
      </c>
      <c r="E233" s="3" t="s">
        <v>25</v>
      </c>
      <c r="F233" s="3" t="s">
        <v>42</v>
      </c>
      <c r="G233" s="2">
        <v>10.59</v>
      </c>
      <c r="H233" s="2">
        <v>3</v>
      </c>
      <c r="I233" s="2">
        <v>1.5885</v>
      </c>
      <c r="J233" s="2">
        <v>33.358499999999999</v>
      </c>
      <c r="K233" s="5">
        <v>43536</v>
      </c>
      <c r="L233" s="4">
        <v>0.57777777777777772</v>
      </c>
      <c r="M233" s="3" t="s">
        <v>59</v>
      </c>
      <c r="N233" s="2">
        <v>31.77</v>
      </c>
      <c r="O233" s="2">
        <v>4.7619047620000003</v>
      </c>
      <c r="P233" s="2">
        <v>1.5885</v>
      </c>
      <c r="Q233" s="2">
        <v>8.6999999999999993</v>
      </c>
      <c r="R233" s="3" t="str">
        <f t="shared" si="8"/>
        <v>March</v>
      </c>
      <c r="S233" s="3">
        <f t="shared" si="7"/>
        <v>3</v>
      </c>
      <c r="T233" s="3" t="str">
        <f>IF(tbl_sales[[#This Row],[Sales]]&gt;=500,"High Value","Standard")</f>
        <v>Standard</v>
      </c>
      <c r="U233" s="1" t="str">
        <f>IF(tbl_sales[[#This Row],[Order Size]]="High Value","High Value Order","Standard Order")</f>
        <v>Standard Order</v>
      </c>
      <c r="V233" s="1"/>
      <c r="W233" s="17" t="s">
        <v>37</v>
      </c>
      <c r="X233" s="17"/>
      <c r="Y233" s="6"/>
      <c r="Z233" s="1" t="s">
        <v>37</v>
      </c>
    </row>
    <row r="234" spans="1:26">
      <c r="A234" s="3" t="s">
        <v>1521</v>
      </c>
      <c r="B234" s="3" t="s">
        <v>115</v>
      </c>
      <c r="C234" s="3" t="s">
        <v>116</v>
      </c>
      <c r="D234" s="3" t="s">
        <v>41</v>
      </c>
      <c r="E234" s="3" t="s">
        <v>25</v>
      </c>
      <c r="F234" s="3" t="s">
        <v>26</v>
      </c>
      <c r="G234" s="2">
        <v>84.09</v>
      </c>
      <c r="H234" s="2">
        <v>9</v>
      </c>
      <c r="I234" s="2">
        <v>37.840499999999999</v>
      </c>
      <c r="J234" s="2">
        <v>794.65049999999997</v>
      </c>
      <c r="K234" s="5">
        <v>43507</v>
      </c>
      <c r="L234" s="4">
        <v>0.45416666666666666</v>
      </c>
      <c r="M234" s="3" t="s">
        <v>49</v>
      </c>
      <c r="N234" s="2">
        <v>756.81</v>
      </c>
      <c r="O234" s="2">
        <v>4.7619047620000003</v>
      </c>
      <c r="P234" s="2">
        <v>37.840499999999999</v>
      </c>
      <c r="Q234" s="2">
        <v>8</v>
      </c>
      <c r="R234" s="3" t="str">
        <f t="shared" si="8"/>
        <v>February</v>
      </c>
      <c r="S234" s="3">
        <f t="shared" si="7"/>
        <v>2</v>
      </c>
      <c r="T234" s="3" t="str">
        <f>IF(tbl_sales[[#This Row],[Sales]]&gt;=500,"High Value","Standard")</f>
        <v>High Value</v>
      </c>
      <c r="U234" s="1" t="str">
        <f>IF(tbl_sales[[#This Row],[Order Size]]="High Value","High Value Order","Standard Order")</f>
        <v>High Value Order</v>
      </c>
      <c r="V234" s="1"/>
      <c r="W234" s="17" t="s">
        <v>37</v>
      </c>
      <c r="X234" s="17"/>
      <c r="Y234" s="6"/>
      <c r="Z234" s="1" t="s">
        <v>37</v>
      </c>
    </row>
    <row r="235" spans="1:26">
      <c r="A235" s="3" t="s">
        <v>1527</v>
      </c>
      <c r="B235" s="3" t="s">
        <v>115</v>
      </c>
      <c r="C235" s="3" t="s">
        <v>116</v>
      </c>
      <c r="D235" s="3" t="s">
        <v>24</v>
      </c>
      <c r="E235" s="3" t="s">
        <v>992</v>
      </c>
      <c r="F235" s="3" t="s">
        <v>127</v>
      </c>
      <c r="G235" s="2">
        <v>73.819999999999993</v>
      </c>
      <c r="H235" s="2">
        <v>4</v>
      </c>
      <c r="I235" s="2">
        <v>14.763999999999999</v>
      </c>
      <c r="J235" s="2">
        <v>310.04399999999998</v>
      </c>
      <c r="K235" s="5">
        <v>43517</v>
      </c>
      <c r="L235" s="4">
        <v>0.77152777777777781</v>
      </c>
      <c r="M235" s="3" t="s">
        <v>49</v>
      </c>
      <c r="N235" s="2">
        <v>295.27999999999997</v>
      </c>
      <c r="O235" s="2">
        <v>4.7619047620000003</v>
      </c>
      <c r="P235" s="2">
        <v>14.763999999999999</v>
      </c>
      <c r="Q235" s="2">
        <v>6.7</v>
      </c>
      <c r="R235" s="3" t="str">
        <f t="shared" si="8"/>
        <v>February</v>
      </c>
      <c r="S235" s="3">
        <f t="shared" si="7"/>
        <v>2</v>
      </c>
      <c r="T235" s="3" t="str">
        <f>IF(tbl_sales[[#This Row],[Sales]]&gt;=500,"High Value","Standard")</f>
        <v>Standard</v>
      </c>
      <c r="U235" s="1" t="str">
        <f>IF(tbl_sales[[#This Row],[Order Size]]="High Value","High Value Order","Standard Order")</f>
        <v>Standard Order</v>
      </c>
      <c r="V235" s="1"/>
      <c r="W235" s="17" t="s">
        <v>37</v>
      </c>
      <c r="X235" s="17"/>
      <c r="Y235" s="6"/>
      <c r="Z235" s="1" t="s">
        <v>37</v>
      </c>
    </row>
    <row r="236" spans="1:26">
      <c r="A236" s="3" t="s">
        <v>1533</v>
      </c>
      <c r="B236" s="3" t="s">
        <v>22</v>
      </c>
      <c r="C236" s="3" t="s">
        <v>23</v>
      </c>
      <c r="D236" s="3" t="s">
        <v>24</v>
      </c>
      <c r="E236" s="3" t="s">
        <v>992</v>
      </c>
      <c r="F236" s="3" t="s">
        <v>26</v>
      </c>
      <c r="G236" s="2">
        <v>51.94</v>
      </c>
      <c r="H236" s="2">
        <v>10</v>
      </c>
      <c r="I236" s="2">
        <v>25.97</v>
      </c>
      <c r="J236" s="2">
        <v>545.37</v>
      </c>
      <c r="K236" s="5">
        <v>43533</v>
      </c>
      <c r="L236" s="4">
        <v>0.76666666666666672</v>
      </c>
      <c r="M236" s="3" t="s">
        <v>33</v>
      </c>
      <c r="N236" s="2">
        <v>519.4</v>
      </c>
      <c r="O236" s="2">
        <v>4.7619047620000003</v>
      </c>
      <c r="P236" s="2">
        <v>25.97</v>
      </c>
      <c r="Q236" s="2">
        <v>6.5</v>
      </c>
      <c r="R236" s="3" t="str">
        <f t="shared" si="8"/>
        <v>March</v>
      </c>
      <c r="S236" s="3">
        <f t="shared" si="7"/>
        <v>3</v>
      </c>
      <c r="T236" s="3" t="str">
        <f>IF(tbl_sales[[#This Row],[Sales]]&gt;=500,"High Value","Standard")</f>
        <v>High Value</v>
      </c>
      <c r="U236" s="1" t="str">
        <f>IF(tbl_sales[[#This Row],[Order Size]]="High Value","High Value Order","Standard Order")</f>
        <v>High Value Order</v>
      </c>
      <c r="V236" s="1"/>
      <c r="W236" s="17" t="s">
        <v>37</v>
      </c>
      <c r="X236" s="17"/>
      <c r="Y236" s="6"/>
      <c r="Z236" s="1" t="s">
        <v>37</v>
      </c>
    </row>
    <row r="237" spans="1:26">
      <c r="A237" s="3" t="s">
        <v>1539</v>
      </c>
      <c r="B237" s="3" t="s">
        <v>22</v>
      </c>
      <c r="C237" s="3" t="s">
        <v>23</v>
      </c>
      <c r="D237" s="3" t="s">
        <v>41</v>
      </c>
      <c r="E237" s="3" t="s">
        <v>25</v>
      </c>
      <c r="F237" s="3" t="s">
        <v>72</v>
      </c>
      <c r="G237" s="2">
        <v>93.14</v>
      </c>
      <c r="H237" s="2">
        <v>2</v>
      </c>
      <c r="I237" s="2">
        <v>9.3140000000000001</v>
      </c>
      <c r="J237" s="2">
        <v>195.59399999999999</v>
      </c>
      <c r="K237" s="5">
        <v>43485</v>
      </c>
      <c r="L237" s="4">
        <v>0.75624999999999998</v>
      </c>
      <c r="M237" s="3" t="s">
        <v>33</v>
      </c>
      <c r="N237" s="2">
        <v>186.28</v>
      </c>
      <c r="O237" s="2">
        <v>4.7619047620000003</v>
      </c>
      <c r="P237" s="2">
        <v>9.3140000000000001</v>
      </c>
      <c r="Q237" s="2">
        <v>4.0999999999999996</v>
      </c>
      <c r="R237" s="3" t="str">
        <f t="shared" si="8"/>
        <v>January</v>
      </c>
      <c r="S237" s="3">
        <f t="shared" si="7"/>
        <v>1</v>
      </c>
      <c r="T237" s="3" t="str">
        <f>IF(tbl_sales[[#This Row],[Sales]]&gt;=500,"High Value","Standard")</f>
        <v>Standard</v>
      </c>
      <c r="U237" s="1" t="str">
        <f>IF(tbl_sales[[#This Row],[Order Size]]="High Value","High Value Order","Standard Order")</f>
        <v>Standard Order</v>
      </c>
      <c r="V237" s="1"/>
      <c r="W237" s="17" t="s">
        <v>37</v>
      </c>
      <c r="X237" s="17"/>
      <c r="Y237" s="6"/>
      <c r="Z237" s="1" t="s">
        <v>37</v>
      </c>
    </row>
    <row r="238" spans="1:26">
      <c r="A238" s="3" t="s">
        <v>1545</v>
      </c>
      <c r="B238" s="3" t="s">
        <v>39</v>
      </c>
      <c r="C238" s="3" t="s">
        <v>40</v>
      </c>
      <c r="D238" s="3" t="s">
        <v>41</v>
      </c>
      <c r="E238" s="3" t="s">
        <v>992</v>
      </c>
      <c r="F238" s="3" t="s">
        <v>26</v>
      </c>
      <c r="G238" s="2">
        <v>17.41</v>
      </c>
      <c r="H238" s="2">
        <v>5</v>
      </c>
      <c r="I238" s="2">
        <v>4.3525</v>
      </c>
      <c r="J238" s="2">
        <v>91.402500000000003</v>
      </c>
      <c r="K238" s="5">
        <v>43493</v>
      </c>
      <c r="L238" s="4">
        <v>0.63611111111111107</v>
      </c>
      <c r="M238" s="3" t="s">
        <v>59</v>
      </c>
      <c r="N238" s="2">
        <v>87.05</v>
      </c>
      <c r="O238" s="2">
        <v>4.7619047620000003</v>
      </c>
      <c r="P238" s="2">
        <v>4.3525</v>
      </c>
      <c r="Q238" s="2">
        <v>4.9000000000000004</v>
      </c>
      <c r="R238" s="3" t="str">
        <f t="shared" si="8"/>
        <v>January</v>
      </c>
      <c r="S238" s="3">
        <f t="shared" si="7"/>
        <v>1</v>
      </c>
      <c r="T238" s="3" t="str">
        <f>IF(tbl_sales[[#This Row],[Sales]]&gt;=500,"High Value","Standard")</f>
        <v>Standard</v>
      </c>
      <c r="U238" s="1" t="str">
        <f>IF(tbl_sales[[#This Row],[Order Size]]="High Value","High Value Order","Standard Order")</f>
        <v>Standard Order</v>
      </c>
      <c r="V238" s="1"/>
      <c r="W238" s="17" t="s">
        <v>37</v>
      </c>
      <c r="X238" s="17"/>
      <c r="Y238" s="6"/>
      <c r="Z238" s="1" t="s">
        <v>37</v>
      </c>
    </row>
    <row r="239" spans="1:26">
      <c r="A239" s="3" t="s">
        <v>1551</v>
      </c>
      <c r="B239" s="3" t="s">
        <v>39</v>
      </c>
      <c r="C239" s="3" t="s">
        <v>40</v>
      </c>
      <c r="D239" s="3" t="s">
        <v>24</v>
      </c>
      <c r="E239" s="3" t="s">
        <v>25</v>
      </c>
      <c r="F239" s="3" t="s">
        <v>127</v>
      </c>
      <c r="G239" s="2">
        <v>44.22</v>
      </c>
      <c r="H239" s="2">
        <v>5</v>
      </c>
      <c r="I239" s="2">
        <v>11.055</v>
      </c>
      <c r="J239" s="2">
        <v>232.155</v>
      </c>
      <c r="K239" s="5">
        <v>43529</v>
      </c>
      <c r="L239" s="4">
        <v>0.71319444444444446</v>
      </c>
      <c r="M239" s="3" t="s">
        <v>59</v>
      </c>
      <c r="N239" s="2">
        <v>221.1</v>
      </c>
      <c r="O239" s="2">
        <v>4.7619047620000003</v>
      </c>
      <c r="P239" s="2">
        <v>11.055</v>
      </c>
      <c r="Q239" s="2">
        <v>8.6</v>
      </c>
      <c r="R239" s="3" t="str">
        <f t="shared" si="8"/>
        <v>March</v>
      </c>
      <c r="S239" s="3">
        <f t="shared" si="7"/>
        <v>3</v>
      </c>
      <c r="T239" s="3" t="str">
        <f>IF(tbl_sales[[#This Row],[Sales]]&gt;=500,"High Value","Standard")</f>
        <v>Standard</v>
      </c>
      <c r="U239" s="1" t="str">
        <f>IF(tbl_sales[[#This Row],[Order Size]]="High Value","High Value Order","Standard Order")</f>
        <v>Standard Order</v>
      </c>
      <c r="V239" s="1"/>
      <c r="W239" s="17" t="s">
        <v>37</v>
      </c>
      <c r="X239" s="17"/>
      <c r="Y239" s="6"/>
      <c r="Z239" s="1" t="s">
        <v>37</v>
      </c>
    </row>
    <row r="240" spans="1:26">
      <c r="A240" s="3" t="s">
        <v>1557</v>
      </c>
      <c r="B240" s="3" t="s">
        <v>115</v>
      </c>
      <c r="C240" s="3" t="s">
        <v>116</v>
      </c>
      <c r="D240" s="3" t="s">
        <v>24</v>
      </c>
      <c r="E240" s="3" t="s">
        <v>25</v>
      </c>
      <c r="F240" s="3" t="s">
        <v>42</v>
      </c>
      <c r="G240" s="2">
        <v>13.22</v>
      </c>
      <c r="H240" s="2">
        <v>5</v>
      </c>
      <c r="I240" s="2">
        <v>3.3050000000000002</v>
      </c>
      <c r="J240" s="2">
        <v>69.405000000000001</v>
      </c>
      <c r="K240" s="5">
        <v>43526</v>
      </c>
      <c r="L240" s="4">
        <v>0.80972222222222223</v>
      </c>
      <c r="M240" s="3" t="s">
        <v>49</v>
      </c>
      <c r="N240" s="2">
        <v>66.099999999999994</v>
      </c>
      <c r="O240" s="2">
        <v>4.7619047620000003</v>
      </c>
      <c r="P240" s="2">
        <v>3.3050000000000002</v>
      </c>
      <c r="Q240" s="2">
        <v>4.3</v>
      </c>
      <c r="R240" s="3" t="str">
        <f t="shared" si="8"/>
        <v>March</v>
      </c>
      <c r="S240" s="3">
        <f t="shared" si="7"/>
        <v>3</v>
      </c>
      <c r="T240" s="3" t="str">
        <f>IF(tbl_sales[[#This Row],[Sales]]&gt;=500,"High Value","Standard")</f>
        <v>Standard</v>
      </c>
      <c r="U240" s="1" t="str">
        <f>IF(tbl_sales[[#This Row],[Order Size]]="High Value","High Value Order","Standard Order")</f>
        <v>Standard Order</v>
      </c>
      <c r="V240" s="1"/>
      <c r="W240" s="17" t="s">
        <v>37</v>
      </c>
      <c r="X240" s="17"/>
      <c r="Y240" s="6"/>
      <c r="Z240" s="1" t="s">
        <v>37</v>
      </c>
    </row>
    <row r="241" spans="1:26">
      <c r="A241" s="3" t="s">
        <v>1563</v>
      </c>
      <c r="B241" s="3" t="s">
        <v>22</v>
      </c>
      <c r="C241" s="3" t="s">
        <v>23</v>
      </c>
      <c r="D241" s="3" t="s">
        <v>41</v>
      </c>
      <c r="E241" s="3" t="s">
        <v>992</v>
      </c>
      <c r="F241" s="3" t="s">
        <v>127</v>
      </c>
      <c r="G241" s="2">
        <v>89.69</v>
      </c>
      <c r="H241" s="2">
        <v>1</v>
      </c>
      <c r="I241" s="2">
        <v>4.4844999999999997</v>
      </c>
      <c r="J241" s="2">
        <v>94.174499999999995</v>
      </c>
      <c r="K241" s="5">
        <v>43476</v>
      </c>
      <c r="L241" s="4">
        <v>0.47222222222222221</v>
      </c>
      <c r="M241" s="3" t="s">
        <v>33</v>
      </c>
      <c r="N241" s="2">
        <v>89.69</v>
      </c>
      <c r="O241" s="2">
        <v>4.7619047620000003</v>
      </c>
      <c r="P241" s="2">
        <v>4.4844999999999997</v>
      </c>
      <c r="Q241" s="2">
        <v>4.9000000000000004</v>
      </c>
      <c r="R241" s="3" t="str">
        <f t="shared" si="8"/>
        <v>January</v>
      </c>
      <c r="S241" s="3">
        <f t="shared" si="7"/>
        <v>1</v>
      </c>
      <c r="T241" s="3" t="str">
        <f>IF(tbl_sales[[#This Row],[Sales]]&gt;=500,"High Value","Standard")</f>
        <v>Standard</v>
      </c>
      <c r="U241" s="1" t="str">
        <f>IF(tbl_sales[[#This Row],[Order Size]]="High Value","High Value Order","Standard Order")</f>
        <v>Standard Order</v>
      </c>
      <c r="V241" s="1"/>
      <c r="W241" s="17" t="s">
        <v>37</v>
      </c>
      <c r="X241" s="17"/>
      <c r="Y241" s="6"/>
      <c r="Z241" s="1" t="s">
        <v>37</v>
      </c>
    </row>
    <row r="242" spans="1:26">
      <c r="A242" s="3" t="s">
        <v>1568</v>
      </c>
      <c r="B242" s="3" t="s">
        <v>22</v>
      </c>
      <c r="C242" s="3" t="s">
        <v>23</v>
      </c>
      <c r="D242" s="3" t="s">
        <v>41</v>
      </c>
      <c r="E242" s="3" t="s">
        <v>992</v>
      </c>
      <c r="F242" s="3" t="s">
        <v>117</v>
      </c>
      <c r="G242" s="2">
        <v>24.94</v>
      </c>
      <c r="H242" s="2">
        <v>9</v>
      </c>
      <c r="I242" s="2">
        <v>11.223000000000001</v>
      </c>
      <c r="J242" s="2">
        <v>235.68299999999999</v>
      </c>
      <c r="K242" s="5">
        <v>43476</v>
      </c>
      <c r="L242" s="4">
        <v>0.7006944444444444</v>
      </c>
      <c r="M242" s="3" t="s">
        <v>59</v>
      </c>
      <c r="N242" s="2">
        <v>224.46</v>
      </c>
      <c r="O242" s="2">
        <v>4.7619047620000003</v>
      </c>
      <c r="P242" s="2">
        <v>11.223000000000001</v>
      </c>
      <c r="Q242" s="2">
        <v>5.6</v>
      </c>
      <c r="R242" s="3" t="str">
        <f t="shared" si="8"/>
        <v>January</v>
      </c>
      <c r="S242" s="3">
        <f t="shared" si="7"/>
        <v>1</v>
      </c>
      <c r="T242" s="3" t="str">
        <f>IF(tbl_sales[[#This Row],[Sales]]&gt;=500,"High Value","Standard")</f>
        <v>Standard</v>
      </c>
      <c r="U242" s="1" t="str">
        <f>IF(tbl_sales[[#This Row],[Order Size]]="High Value","High Value Order","Standard Order")</f>
        <v>Standard Order</v>
      </c>
      <c r="V242" s="1"/>
      <c r="W242" s="17" t="s">
        <v>37</v>
      </c>
      <c r="X242" s="17"/>
      <c r="Y242" s="6"/>
      <c r="Z242" s="1" t="s">
        <v>37</v>
      </c>
    </row>
    <row r="243" spans="1:26">
      <c r="A243" s="3" t="s">
        <v>1574</v>
      </c>
      <c r="B243" s="3" t="s">
        <v>22</v>
      </c>
      <c r="C243" s="3" t="s">
        <v>23</v>
      </c>
      <c r="D243" s="3" t="s">
        <v>41</v>
      </c>
      <c r="E243" s="3" t="s">
        <v>992</v>
      </c>
      <c r="F243" s="3" t="s">
        <v>26</v>
      </c>
      <c r="G243" s="2">
        <v>59.77</v>
      </c>
      <c r="H243" s="2">
        <v>2</v>
      </c>
      <c r="I243" s="2">
        <v>5.9770000000000003</v>
      </c>
      <c r="J243" s="2">
        <v>125.517</v>
      </c>
      <c r="K243" s="5">
        <v>43535</v>
      </c>
      <c r="L243" s="4">
        <v>0.50069444444444444</v>
      </c>
      <c r="M243" s="3" t="s">
        <v>59</v>
      </c>
      <c r="N243" s="2">
        <v>119.54</v>
      </c>
      <c r="O243" s="2">
        <v>4.7619047620000003</v>
      </c>
      <c r="P243" s="2">
        <v>5.9770000000000003</v>
      </c>
      <c r="Q243" s="2">
        <v>5.8</v>
      </c>
      <c r="R243" s="3" t="str">
        <f t="shared" si="8"/>
        <v>March</v>
      </c>
      <c r="S243" s="3">
        <f t="shared" si="7"/>
        <v>3</v>
      </c>
      <c r="T243" s="3" t="str">
        <f>IF(tbl_sales[[#This Row],[Sales]]&gt;=500,"High Value","Standard")</f>
        <v>Standard</v>
      </c>
      <c r="U243" s="1" t="str">
        <f>IF(tbl_sales[[#This Row],[Order Size]]="High Value","High Value Order","Standard Order")</f>
        <v>Standard Order</v>
      </c>
      <c r="V243" s="1"/>
      <c r="W243" s="17" t="s">
        <v>37</v>
      </c>
      <c r="X243" s="17"/>
      <c r="Y243" s="6"/>
      <c r="Z243" s="1" t="s">
        <v>37</v>
      </c>
    </row>
    <row r="244" spans="1:26">
      <c r="A244" s="3" t="s">
        <v>1580</v>
      </c>
      <c r="B244" s="3" t="s">
        <v>39</v>
      </c>
      <c r="C244" s="3" t="s">
        <v>40</v>
      </c>
      <c r="D244" s="3" t="s">
        <v>24</v>
      </c>
      <c r="E244" s="3" t="s">
        <v>992</v>
      </c>
      <c r="F244" s="3" t="s">
        <v>127</v>
      </c>
      <c r="G244" s="2">
        <v>93.2</v>
      </c>
      <c r="H244" s="2">
        <v>2</v>
      </c>
      <c r="I244" s="2">
        <v>9.32</v>
      </c>
      <c r="J244" s="2">
        <v>195.72</v>
      </c>
      <c r="K244" s="5">
        <v>43524</v>
      </c>
      <c r="L244" s="4">
        <v>0.77569444444444446</v>
      </c>
      <c r="M244" s="3" t="s">
        <v>59</v>
      </c>
      <c r="N244" s="2">
        <v>186.4</v>
      </c>
      <c r="O244" s="2">
        <v>4.7619047620000003</v>
      </c>
      <c r="P244" s="2">
        <v>9.32</v>
      </c>
      <c r="Q244" s="2">
        <v>6</v>
      </c>
      <c r="R244" s="3" t="str">
        <f t="shared" si="8"/>
        <v>February</v>
      </c>
      <c r="S244" s="3">
        <f t="shared" si="7"/>
        <v>2</v>
      </c>
      <c r="T244" s="3" t="str">
        <f>IF(tbl_sales[[#This Row],[Sales]]&gt;=500,"High Value","Standard")</f>
        <v>Standard</v>
      </c>
      <c r="U244" s="1" t="str">
        <f>IF(tbl_sales[[#This Row],[Order Size]]="High Value","High Value Order","Standard Order")</f>
        <v>Standard Order</v>
      </c>
      <c r="V244" s="1"/>
      <c r="W244" s="17" t="s">
        <v>37</v>
      </c>
      <c r="X244" s="17"/>
      <c r="Y244" s="6"/>
      <c r="Z244" s="1" t="s">
        <v>37</v>
      </c>
    </row>
    <row r="245" spans="1:26">
      <c r="A245" s="3" t="s">
        <v>1585</v>
      </c>
      <c r="B245" s="3" t="s">
        <v>22</v>
      </c>
      <c r="C245" s="3" t="s">
        <v>23</v>
      </c>
      <c r="D245" s="3" t="s">
        <v>24</v>
      </c>
      <c r="E245" s="3" t="s">
        <v>992</v>
      </c>
      <c r="F245" s="3" t="s">
        <v>53</v>
      </c>
      <c r="G245" s="2">
        <v>62.65</v>
      </c>
      <c r="H245" s="2">
        <v>4</v>
      </c>
      <c r="I245" s="2">
        <v>12.53</v>
      </c>
      <c r="J245" s="2">
        <v>263.13</v>
      </c>
      <c r="K245" s="5">
        <v>43470</v>
      </c>
      <c r="L245" s="4">
        <v>0.47569444444444442</v>
      </c>
      <c r="M245" s="3" t="s">
        <v>49</v>
      </c>
      <c r="N245" s="2">
        <v>250.6</v>
      </c>
      <c r="O245" s="2">
        <v>4.7619047620000003</v>
      </c>
      <c r="P245" s="2">
        <v>12.53</v>
      </c>
      <c r="Q245" s="2">
        <v>4.2</v>
      </c>
      <c r="R245" s="3" t="str">
        <f t="shared" si="8"/>
        <v>January</v>
      </c>
      <c r="S245" s="3">
        <f t="shared" si="7"/>
        <v>1</v>
      </c>
      <c r="T245" s="3" t="str">
        <f>IF(tbl_sales[[#This Row],[Sales]]&gt;=500,"High Value","Standard")</f>
        <v>Standard</v>
      </c>
      <c r="U245" s="1" t="str">
        <f>IF(tbl_sales[[#This Row],[Order Size]]="High Value","High Value Order","Standard Order")</f>
        <v>Standard Order</v>
      </c>
      <c r="V245" s="1"/>
      <c r="W245" s="17" t="s">
        <v>37</v>
      </c>
      <c r="X245" s="17"/>
      <c r="Y245" s="6"/>
      <c r="Z245" s="1" t="s">
        <v>37</v>
      </c>
    </row>
    <row r="246" spans="1:26">
      <c r="A246" s="3" t="s">
        <v>1591</v>
      </c>
      <c r="B246" s="3" t="s">
        <v>115</v>
      </c>
      <c r="C246" s="3" t="s">
        <v>116</v>
      </c>
      <c r="D246" s="3" t="s">
        <v>41</v>
      </c>
      <c r="E246" s="3" t="s">
        <v>992</v>
      </c>
      <c r="F246" s="3" t="s">
        <v>53</v>
      </c>
      <c r="G246" s="2">
        <v>93.87</v>
      </c>
      <c r="H246" s="2">
        <v>8</v>
      </c>
      <c r="I246" s="2">
        <v>37.548000000000002</v>
      </c>
      <c r="J246" s="2">
        <v>788.50800000000004</v>
      </c>
      <c r="K246" s="5">
        <v>43498</v>
      </c>
      <c r="L246" s="4">
        <v>0.77916666666666667</v>
      </c>
      <c r="M246" s="3" t="s">
        <v>59</v>
      </c>
      <c r="N246" s="2">
        <v>750.96</v>
      </c>
      <c r="O246" s="2">
        <v>4.7619047620000003</v>
      </c>
      <c r="P246" s="2">
        <v>37.548000000000002</v>
      </c>
      <c r="Q246" s="2">
        <v>8.3000000000000007</v>
      </c>
      <c r="R246" s="3" t="str">
        <f t="shared" si="8"/>
        <v>February</v>
      </c>
      <c r="S246" s="3">
        <f t="shared" si="7"/>
        <v>2</v>
      </c>
      <c r="T246" s="3" t="str">
        <f>IF(tbl_sales[[#This Row],[Sales]]&gt;=500,"High Value","Standard")</f>
        <v>High Value</v>
      </c>
      <c r="U246" s="1" t="str">
        <f>IF(tbl_sales[[#This Row],[Order Size]]="High Value","High Value Order","Standard Order")</f>
        <v>High Value Order</v>
      </c>
      <c r="V246" s="1"/>
      <c r="W246" s="17" t="s">
        <v>37</v>
      </c>
      <c r="X246" s="17"/>
      <c r="Y246" s="6"/>
      <c r="Z246" s="1" t="s">
        <v>37</v>
      </c>
    </row>
    <row r="247" spans="1:26">
      <c r="A247" s="3" t="s">
        <v>1597</v>
      </c>
      <c r="B247" s="3" t="s">
        <v>22</v>
      </c>
      <c r="C247" s="3" t="s">
        <v>23</v>
      </c>
      <c r="D247" s="3" t="s">
        <v>24</v>
      </c>
      <c r="E247" s="3" t="s">
        <v>992</v>
      </c>
      <c r="F247" s="3" t="s">
        <v>53</v>
      </c>
      <c r="G247" s="2">
        <v>47.59</v>
      </c>
      <c r="H247" s="2">
        <v>8</v>
      </c>
      <c r="I247" s="2">
        <v>19.036000000000001</v>
      </c>
      <c r="J247" s="2">
        <v>399.75599999999997</v>
      </c>
      <c r="K247" s="5">
        <v>43466</v>
      </c>
      <c r="L247" s="4">
        <v>0.61597222222222225</v>
      </c>
      <c r="M247" s="3" t="s">
        <v>49</v>
      </c>
      <c r="N247" s="2">
        <v>380.72</v>
      </c>
      <c r="O247" s="2">
        <v>4.7619047620000003</v>
      </c>
      <c r="P247" s="2">
        <v>19.036000000000001</v>
      </c>
      <c r="Q247" s="2">
        <v>5.7</v>
      </c>
      <c r="R247" s="3" t="str">
        <f t="shared" si="8"/>
        <v>January</v>
      </c>
      <c r="S247" s="3">
        <f t="shared" si="7"/>
        <v>1</v>
      </c>
      <c r="T247" s="3" t="str">
        <f>IF(tbl_sales[[#This Row],[Sales]]&gt;=500,"High Value","Standard")</f>
        <v>Standard</v>
      </c>
      <c r="U247" s="1" t="str">
        <f>IF(tbl_sales[[#This Row],[Order Size]]="High Value","High Value Order","Standard Order")</f>
        <v>Standard Order</v>
      </c>
      <c r="V247" s="1"/>
      <c r="W247" s="17" t="s">
        <v>37</v>
      </c>
      <c r="X247" s="17"/>
      <c r="Y247" s="6"/>
      <c r="Z247" s="1" t="s">
        <v>37</v>
      </c>
    </row>
    <row r="248" spans="1:26">
      <c r="A248" s="3" t="s">
        <v>1603</v>
      </c>
      <c r="B248" s="3" t="s">
        <v>115</v>
      </c>
      <c r="C248" s="3" t="s">
        <v>116</v>
      </c>
      <c r="D248" s="3" t="s">
        <v>24</v>
      </c>
      <c r="E248" s="3" t="s">
        <v>25</v>
      </c>
      <c r="F248" s="3" t="s">
        <v>42</v>
      </c>
      <c r="G248" s="2">
        <v>81.400000000000006</v>
      </c>
      <c r="H248" s="2">
        <v>3</v>
      </c>
      <c r="I248" s="2">
        <v>12.21</v>
      </c>
      <c r="J248" s="2">
        <v>256.41000000000003</v>
      </c>
      <c r="K248" s="5">
        <v>43505</v>
      </c>
      <c r="L248" s="4">
        <v>0.82152777777777775</v>
      </c>
      <c r="M248" s="3" t="s">
        <v>49</v>
      </c>
      <c r="N248" s="2">
        <v>244.2</v>
      </c>
      <c r="O248" s="2">
        <v>4.7619047620000003</v>
      </c>
      <c r="P248" s="2">
        <v>12.21</v>
      </c>
      <c r="Q248" s="2">
        <v>4.8</v>
      </c>
      <c r="R248" s="3" t="str">
        <f t="shared" si="8"/>
        <v>February</v>
      </c>
      <c r="S248" s="3">
        <f t="shared" si="7"/>
        <v>2</v>
      </c>
      <c r="T248" s="3" t="str">
        <f>IF(tbl_sales[[#This Row],[Sales]]&gt;=500,"High Value","Standard")</f>
        <v>Standard</v>
      </c>
      <c r="U248" s="1" t="str">
        <f>IF(tbl_sales[[#This Row],[Order Size]]="High Value","High Value Order","Standard Order")</f>
        <v>Standard Order</v>
      </c>
      <c r="V248" s="1"/>
      <c r="W248" s="17" t="s">
        <v>37</v>
      </c>
      <c r="X248" s="17"/>
      <c r="Y248" s="6"/>
      <c r="Z248" s="1" t="s">
        <v>37</v>
      </c>
    </row>
    <row r="249" spans="1:26">
      <c r="A249" s="3" t="s">
        <v>1609</v>
      </c>
      <c r="B249" s="3" t="s">
        <v>22</v>
      </c>
      <c r="C249" s="3" t="s">
        <v>23</v>
      </c>
      <c r="D249" s="3" t="s">
        <v>24</v>
      </c>
      <c r="E249" s="3" t="s">
        <v>992</v>
      </c>
      <c r="F249" s="3" t="s">
        <v>127</v>
      </c>
      <c r="G249" s="2">
        <v>17.940000000000001</v>
      </c>
      <c r="H249" s="2">
        <v>5</v>
      </c>
      <c r="I249" s="2">
        <v>4.4850000000000003</v>
      </c>
      <c r="J249" s="2">
        <v>94.185000000000002</v>
      </c>
      <c r="K249" s="5">
        <v>43488</v>
      </c>
      <c r="L249" s="4">
        <v>0.58611111111111114</v>
      </c>
      <c r="M249" s="3" t="s">
        <v>33</v>
      </c>
      <c r="N249" s="2">
        <v>89.7</v>
      </c>
      <c r="O249" s="2">
        <v>4.7619047620000003</v>
      </c>
      <c r="P249" s="2">
        <v>4.4850000000000003</v>
      </c>
      <c r="Q249" s="2">
        <v>6.8</v>
      </c>
      <c r="R249" s="3" t="str">
        <f t="shared" si="8"/>
        <v>January</v>
      </c>
      <c r="S249" s="3">
        <f t="shared" si="7"/>
        <v>1</v>
      </c>
      <c r="T249" s="3" t="str">
        <f>IF(tbl_sales[[#This Row],[Sales]]&gt;=500,"High Value","Standard")</f>
        <v>Standard</v>
      </c>
      <c r="U249" s="1" t="str">
        <f>IF(tbl_sales[[#This Row],[Order Size]]="High Value","High Value Order","Standard Order")</f>
        <v>Standard Order</v>
      </c>
      <c r="V249" s="1"/>
      <c r="W249" s="17" t="s">
        <v>37</v>
      </c>
      <c r="X249" s="17"/>
      <c r="Y249" s="6"/>
      <c r="Z249" s="1" t="s">
        <v>37</v>
      </c>
    </row>
    <row r="250" spans="1:26">
      <c r="A250" s="3" t="s">
        <v>1615</v>
      </c>
      <c r="B250" s="3" t="s">
        <v>22</v>
      </c>
      <c r="C250" s="3" t="s">
        <v>23</v>
      </c>
      <c r="D250" s="3" t="s">
        <v>24</v>
      </c>
      <c r="E250" s="3" t="s">
        <v>992</v>
      </c>
      <c r="F250" s="3" t="s">
        <v>42</v>
      </c>
      <c r="G250" s="2">
        <v>77.72</v>
      </c>
      <c r="H250" s="2">
        <v>4</v>
      </c>
      <c r="I250" s="2">
        <v>15.544</v>
      </c>
      <c r="J250" s="2">
        <v>326.42399999999998</v>
      </c>
      <c r="K250" s="5">
        <v>43472</v>
      </c>
      <c r="L250" s="4">
        <v>0.6743055555555556</v>
      </c>
      <c r="M250" s="3" t="s">
        <v>59</v>
      </c>
      <c r="N250" s="2">
        <v>310.88</v>
      </c>
      <c r="O250" s="2">
        <v>4.7619047620000003</v>
      </c>
      <c r="P250" s="2">
        <v>15.544</v>
      </c>
      <c r="Q250" s="2">
        <v>8.8000000000000007</v>
      </c>
      <c r="R250" s="3" t="str">
        <f t="shared" si="8"/>
        <v>January</v>
      </c>
      <c r="S250" s="3">
        <f t="shared" si="7"/>
        <v>1</v>
      </c>
      <c r="T250" s="3" t="str">
        <f>IF(tbl_sales[[#This Row],[Sales]]&gt;=500,"High Value","Standard")</f>
        <v>Standard</v>
      </c>
      <c r="U250" s="1" t="str">
        <f>IF(tbl_sales[[#This Row],[Order Size]]="High Value","High Value Order","Standard Order")</f>
        <v>Standard Order</v>
      </c>
      <c r="V250" s="1"/>
      <c r="W250" s="17" t="s">
        <v>37</v>
      </c>
      <c r="X250" s="17"/>
      <c r="Y250" s="6"/>
      <c r="Z250" s="1" t="s">
        <v>37</v>
      </c>
    </row>
    <row r="251" spans="1:26">
      <c r="A251" s="3" t="s">
        <v>1621</v>
      </c>
      <c r="B251" s="3" t="s">
        <v>115</v>
      </c>
      <c r="C251" s="3" t="s">
        <v>116</v>
      </c>
      <c r="D251" s="3" t="s">
        <v>41</v>
      </c>
      <c r="E251" s="3" t="s">
        <v>992</v>
      </c>
      <c r="F251" s="3" t="s">
        <v>117</v>
      </c>
      <c r="G251" s="2">
        <v>73.06</v>
      </c>
      <c r="H251" s="2">
        <v>7</v>
      </c>
      <c r="I251" s="2">
        <v>25.571000000000002</v>
      </c>
      <c r="J251" s="2">
        <v>536.99099999999999</v>
      </c>
      <c r="K251" s="5">
        <v>43479</v>
      </c>
      <c r="L251" s="4">
        <v>0.79583333333333328</v>
      </c>
      <c r="M251" s="3" t="s">
        <v>59</v>
      </c>
      <c r="N251" s="2">
        <v>511.42</v>
      </c>
      <c r="O251" s="2">
        <v>4.7619047620000003</v>
      </c>
      <c r="P251" s="2">
        <v>25.571000000000002</v>
      </c>
      <c r="Q251" s="2">
        <v>4.2</v>
      </c>
      <c r="R251" s="3" t="str">
        <f t="shared" si="8"/>
        <v>January</v>
      </c>
      <c r="S251" s="3">
        <f t="shared" si="7"/>
        <v>1</v>
      </c>
      <c r="T251" s="3" t="str">
        <f>IF(tbl_sales[[#This Row],[Sales]]&gt;=500,"High Value","Standard")</f>
        <v>High Value</v>
      </c>
      <c r="U251" s="1" t="str">
        <f>IF(tbl_sales[[#This Row],[Order Size]]="High Value","High Value Order","Standard Order")</f>
        <v>High Value Order</v>
      </c>
      <c r="V251" s="1"/>
      <c r="W251" s="17" t="s">
        <v>37</v>
      </c>
      <c r="X251" s="17"/>
      <c r="Y251" s="6"/>
      <c r="Z251" s="1" t="s">
        <v>37</v>
      </c>
    </row>
    <row r="252" spans="1:26">
      <c r="A252" s="3" t="s">
        <v>1627</v>
      </c>
      <c r="B252" s="3" t="s">
        <v>115</v>
      </c>
      <c r="C252" s="3" t="s">
        <v>116</v>
      </c>
      <c r="D252" s="3" t="s">
        <v>24</v>
      </c>
      <c r="E252" s="3" t="s">
        <v>992</v>
      </c>
      <c r="F252" s="3" t="s">
        <v>117</v>
      </c>
      <c r="G252" s="2">
        <v>46.55</v>
      </c>
      <c r="H252" s="2">
        <v>9</v>
      </c>
      <c r="I252" s="2">
        <v>20.947500000000002</v>
      </c>
      <c r="J252" s="2">
        <v>439.89749999999998</v>
      </c>
      <c r="K252" s="5">
        <v>43498</v>
      </c>
      <c r="L252" s="4">
        <v>0.64861111111111114</v>
      </c>
      <c r="M252" s="3" t="s">
        <v>33</v>
      </c>
      <c r="N252" s="2">
        <v>418.95</v>
      </c>
      <c r="O252" s="2">
        <v>4.7619047620000003</v>
      </c>
      <c r="P252" s="2">
        <v>20.947500000000002</v>
      </c>
      <c r="Q252" s="2">
        <v>6.4</v>
      </c>
      <c r="R252" s="3" t="str">
        <f t="shared" si="8"/>
        <v>February</v>
      </c>
      <c r="S252" s="3">
        <f t="shared" si="7"/>
        <v>2</v>
      </c>
      <c r="T252" s="3" t="str">
        <f>IF(tbl_sales[[#This Row],[Sales]]&gt;=500,"High Value","Standard")</f>
        <v>Standard</v>
      </c>
      <c r="U252" s="1" t="str">
        <f>IF(tbl_sales[[#This Row],[Order Size]]="High Value","High Value Order","Standard Order")</f>
        <v>Standard Order</v>
      </c>
      <c r="V252" s="1"/>
      <c r="W252" s="17" t="s">
        <v>37</v>
      </c>
      <c r="X252" s="17"/>
      <c r="Y252" s="6"/>
      <c r="Z252" s="1" t="s">
        <v>37</v>
      </c>
    </row>
    <row r="253" spans="1:26">
      <c r="A253" s="3" t="s">
        <v>1632</v>
      </c>
      <c r="B253" s="3" t="s">
        <v>39</v>
      </c>
      <c r="C253" s="3" t="s">
        <v>40</v>
      </c>
      <c r="D253" s="3" t="s">
        <v>24</v>
      </c>
      <c r="E253" s="3" t="s">
        <v>992</v>
      </c>
      <c r="F253" s="3" t="s">
        <v>127</v>
      </c>
      <c r="G253" s="2">
        <v>35.19</v>
      </c>
      <c r="H253" s="2">
        <v>10</v>
      </c>
      <c r="I253" s="2">
        <v>17.594999999999999</v>
      </c>
      <c r="J253" s="2">
        <v>369.495</v>
      </c>
      <c r="K253" s="5">
        <v>43541</v>
      </c>
      <c r="L253" s="4">
        <v>0.79583333333333328</v>
      </c>
      <c r="M253" s="3" t="s">
        <v>59</v>
      </c>
      <c r="N253" s="2">
        <v>351.9</v>
      </c>
      <c r="O253" s="2">
        <v>4.7619047620000003</v>
      </c>
      <c r="P253" s="2">
        <v>17.594999999999999</v>
      </c>
      <c r="Q253" s="2">
        <v>8.4</v>
      </c>
      <c r="R253" s="3" t="str">
        <f t="shared" si="8"/>
        <v>March</v>
      </c>
      <c r="S253" s="3">
        <f t="shared" si="7"/>
        <v>3</v>
      </c>
      <c r="T253" s="3" t="str">
        <f>IF(tbl_sales[[#This Row],[Sales]]&gt;=500,"High Value","Standard")</f>
        <v>Standard</v>
      </c>
      <c r="U253" s="1" t="str">
        <f>IF(tbl_sales[[#This Row],[Order Size]]="High Value","High Value Order","Standard Order")</f>
        <v>Standard Order</v>
      </c>
      <c r="V253" s="1"/>
      <c r="W253" s="17" t="s">
        <v>37</v>
      </c>
      <c r="X253" s="17"/>
      <c r="Y253" s="6"/>
      <c r="Z253" s="1" t="s">
        <v>37</v>
      </c>
    </row>
    <row r="254" spans="1:26">
      <c r="A254" s="3" t="s">
        <v>1638</v>
      </c>
      <c r="B254" s="3" t="s">
        <v>39</v>
      </c>
      <c r="C254" s="3" t="s">
        <v>40</v>
      </c>
      <c r="D254" s="3" t="s">
        <v>41</v>
      </c>
      <c r="E254" s="3" t="s">
        <v>25</v>
      </c>
      <c r="F254" s="3" t="s">
        <v>72</v>
      </c>
      <c r="G254" s="2">
        <v>14.39</v>
      </c>
      <c r="H254" s="2">
        <v>2</v>
      </c>
      <c r="I254" s="2">
        <v>1.4390000000000001</v>
      </c>
      <c r="J254" s="2">
        <v>30.219000000000001</v>
      </c>
      <c r="K254" s="5">
        <v>43526</v>
      </c>
      <c r="L254" s="4">
        <v>0.82222222222222219</v>
      </c>
      <c r="M254" s="3" t="s">
        <v>59</v>
      </c>
      <c r="N254" s="2">
        <v>28.78</v>
      </c>
      <c r="O254" s="2">
        <v>4.7619047620000003</v>
      </c>
      <c r="P254" s="2">
        <v>1.4390000000000001</v>
      </c>
      <c r="Q254" s="2">
        <v>7.2</v>
      </c>
      <c r="R254" s="3" t="str">
        <f t="shared" si="8"/>
        <v>March</v>
      </c>
      <c r="S254" s="3">
        <f t="shared" si="7"/>
        <v>3</v>
      </c>
      <c r="T254" s="3" t="str">
        <f>IF(tbl_sales[[#This Row],[Sales]]&gt;=500,"High Value","Standard")</f>
        <v>Standard</v>
      </c>
      <c r="U254" s="1" t="str">
        <f>IF(tbl_sales[[#This Row],[Order Size]]="High Value","High Value Order","Standard Order")</f>
        <v>Standard Order</v>
      </c>
      <c r="V254" s="1"/>
      <c r="W254" s="17" t="s">
        <v>37</v>
      </c>
      <c r="X254" s="17"/>
      <c r="Y254" s="6"/>
      <c r="Z254" s="1" t="s">
        <v>37</v>
      </c>
    </row>
    <row r="255" spans="1:26">
      <c r="A255" s="3" t="s">
        <v>1643</v>
      </c>
      <c r="B255" s="3" t="s">
        <v>22</v>
      </c>
      <c r="C255" s="3" t="s">
        <v>23</v>
      </c>
      <c r="D255" s="3" t="s">
        <v>41</v>
      </c>
      <c r="E255" s="3" t="s">
        <v>992</v>
      </c>
      <c r="F255" s="3" t="s">
        <v>53</v>
      </c>
      <c r="G255" s="2">
        <v>23.75</v>
      </c>
      <c r="H255" s="2">
        <v>4</v>
      </c>
      <c r="I255" s="2">
        <v>4.75</v>
      </c>
      <c r="J255" s="2">
        <v>99.75</v>
      </c>
      <c r="K255" s="5">
        <v>43540</v>
      </c>
      <c r="L255" s="4">
        <v>0.47361111111111109</v>
      </c>
      <c r="M255" s="3" t="s">
        <v>49</v>
      </c>
      <c r="N255" s="2">
        <v>95</v>
      </c>
      <c r="O255" s="2">
        <v>4.7619047620000003</v>
      </c>
      <c r="P255" s="2">
        <v>4.75</v>
      </c>
      <c r="Q255" s="2">
        <v>5.2</v>
      </c>
      <c r="R255" s="3" t="str">
        <f t="shared" si="8"/>
        <v>March</v>
      </c>
      <c r="S255" s="3">
        <f t="shared" si="7"/>
        <v>3</v>
      </c>
      <c r="T255" s="3" t="str">
        <f>IF(tbl_sales[[#This Row],[Sales]]&gt;=500,"High Value","Standard")</f>
        <v>Standard</v>
      </c>
      <c r="U255" s="1" t="str">
        <f>IF(tbl_sales[[#This Row],[Order Size]]="High Value","High Value Order","Standard Order")</f>
        <v>Standard Order</v>
      </c>
      <c r="V255" s="1"/>
      <c r="W255" s="17" t="s">
        <v>37</v>
      </c>
      <c r="X255" s="17"/>
      <c r="Y255" s="6"/>
      <c r="Z255" s="1" t="s">
        <v>37</v>
      </c>
    </row>
    <row r="256" spans="1:26">
      <c r="A256" s="3" t="s">
        <v>1649</v>
      </c>
      <c r="B256" s="3" t="s">
        <v>22</v>
      </c>
      <c r="C256" s="3" t="s">
        <v>23</v>
      </c>
      <c r="D256" s="3" t="s">
        <v>24</v>
      </c>
      <c r="E256" s="3" t="s">
        <v>992</v>
      </c>
      <c r="F256" s="3" t="s">
        <v>53</v>
      </c>
      <c r="G256" s="2">
        <v>58.9</v>
      </c>
      <c r="H256" s="2">
        <v>8</v>
      </c>
      <c r="I256" s="2">
        <v>23.56</v>
      </c>
      <c r="J256" s="2">
        <v>494.76</v>
      </c>
      <c r="K256" s="5">
        <v>43471</v>
      </c>
      <c r="L256" s="4">
        <v>0.47430555555555554</v>
      </c>
      <c r="M256" s="3" t="s">
        <v>49</v>
      </c>
      <c r="N256" s="2">
        <v>471.2</v>
      </c>
      <c r="O256" s="2">
        <v>4.7619047620000003</v>
      </c>
      <c r="P256" s="2">
        <v>23.56</v>
      </c>
      <c r="Q256" s="2">
        <v>8.9</v>
      </c>
      <c r="R256" s="3" t="str">
        <f t="shared" si="8"/>
        <v>January</v>
      </c>
      <c r="S256" s="3">
        <f t="shared" si="7"/>
        <v>1</v>
      </c>
      <c r="T256" s="3" t="str">
        <f>IF(tbl_sales[[#This Row],[Sales]]&gt;=500,"High Value","Standard")</f>
        <v>Standard</v>
      </c>
      <c r="U256" s="1" t="str">
        <f>IF(tbl_sales[[#This Row],[Order Size]]="High Value","High Value Order","Standard Order")</f>
        <v>Standard Order</v>
      </c>
      <c r="V256" s="1"/>
      <c r="W256" s="17" t="s">
        <v>37</v>
      </c>
      <c r="X256" s="17"/>
      <c r="Y256" s="6"/>
      <c r="Z256" s="1" t="s">
        <v>37</v>
      </c>
    </row>
    <row r="257" spans="1:26">
      <c r="A257" s="3" t="s">
        <v>1656</v>
      </c>
      <c r="B257" s="3" t="s">
        <v>115</v>
      </c>
      <c r="C257" s="3" t="s">
        <v>116</v>
      </c>
      <c r="D257" s="3" t="s">
        <v>24</v>
      </c>
      <c r="E257" s="3" t="s">
        <v>992</v>
      </c>
      <c r="F257" s="3" t="s">
        <v>127</v>
      </c>
      <c r="G257" s="2">
        <v>32.619999999999997</v>
      </c>
      <c r="H257" s="2">
        <v>4</v>
      </c>
      <c r="I257" s="2">
        <v>6.524</v>
      </c>
      <c r="J257" s="2">
        <v>137.00399999999999</v>
      </c>
      <c r="K257" s="5">
        <v>43494</v>
      </c>
      <c r="L257" s="4">
        <v>0.59166666666666667</v>
      </c>
      <c r="M257" s="3" t="s">
        <v>49</v>
      </c>
      <c r="N257" s="2">
        <v>130.47999999999999</v>
      </c>
      <c r="O257" s="2">
        <v>4.7619047620000003</v>
      </c>
      <c r="P257" s="2">
        <v>6.524</v>
      </c>
      <c r="Q257" s="2">
        <v>9</v>
      </c>
      <c r="R257" s="3" t="str">
        <f t="shared" si="8"/>
        <v>January</v>
      </c>
      <c r="S257" s="3">
        <f t="shared" si="7"/>
        <v>1</v>
      </c>
      <c r="T257" s="3" t="str">
        <f>IF(tbl_sales[[#This Row],[Sales]]&gt;=500,"High Value","Standard")</f>
        <v>Standard</v>
      </c>
      <c r="U257" s="1" t="str">
        <f>IF(tbl_sales[[#This Row],[Order Size]]="High Value","High Value Order","Standard Order")</f>
        <v>Standard Order</v>
      </c>
      <c r="V257" s="1"/>
      <c r="W257" s="17" t="s">
        <v>37</v>
      </c>
      <c r="X257" s="17"/>
      <c r="Y257" s="6"/>
      <c r="Z257" s="1" t="s">
        <v>37</v>
      </c>
    </row>
    <row r="258" spans="1:26">
      <c r="A258" s="3" t="s">
        <v>1661</v>
      </c>
      <c r="B258" s="3" t="s">
        <v>22</v>
      </c>
      <c r="C258" s="3" t="s">
        <v>23</v>
      </c>
      <c r="D258" s="3" t="s">
        <v>24</v>
      </c>
      <c r="E258" s="3" t="s">
        <v>992</v>
      </c>
      <c r="F258" s="3" t="s">
        <v>42</v>
      </c>
      <c r="G258" s="2">
        <v>66.349999999999994</v>
      </c>
      <c r="H258" s="2">
        <v>1</v>
      </c>
      <c r="I258" s="2">
        <v>3.3174999999999999</v>
      </c>
      <c r="J258" s="2">
        <v>69.667500000000004</v>
      </c>
      <c r="K258" s="5">
        <v>43496</v>
      </c>
      <c r="L258" s="4">
        <v>0.44861111111111113</v>
      </c>
      <c r="M258" s="3" t="s">
        <v>59</v>
      </c>
      <c r="N258" s="2">
        <v>66.349999999999994</v>
      </c>
      <c r="O258" s="2">
        <v>4.7619047620000003</v>
      </c>
      <c r="P258" s="2">
        <v>3.3174999999999999</v>
      </c>
      <c r="Q258" s="2">
        <v>9.6999999999999993</v>
      </c>
      <c r="R258" s="3" t="str">
        <f t="shared" si="8"/>
        <v>January</v>
      </c>
      <c r="S258" s="3">
        <f t="shared" ref="S258:S321" si="9">MONTH(K258)</f>
        <v>1</v>
      </c>
      <c r="T258" s="3" t="str">
        <f>IF(tbl_sales[[#This Row],[Sales]]&gt;=500,"High Value","Standard")</f>
        <v>Standard</v>
      </c>
      <c r="U258" s="1" t="str">
        <f>IF(tbl_sales[[#This Row],[Order Size]]="High Value","High Value Order","Standard Order")</f>
        <v>Standard Order</v>
      </c>
      <c r="V258" s="1"/>
      <c r="W258" s="17" t="s">
        <v>37</v>
      </c>
      <c r="X258" s="17"/>
      <c r="Y258" s="6"/>
      <c r="Z258" s="1" t="s">
        <v>37</v>
      </c>
    </row>
    <row r="259" spans="1:26">
      <c r="A259" s="3" t="s">
        <v>1666</v>
      </c>
      <c r="B259" s="3" t="s">
        <v>22</v>
      </c>
      <c r="C259" s="3" t="s">
        <v>23</v>
      </c>
      <c r="D259" s="3" t="s">
        <v>24</v>
      </c>
      <c r="E259" s="3" t="s">
        <v>992</v>
      </c>
      <c r="F259" s="3" t="s">
        <v>53</v>
      </c>
      <c r="G259" s="2">
        <v>25.91</v>
      </c>
      <c r="H259" s="2">
        <v>6</v>
      </c>
      <c r="I259" s="2">
        <v>7.7729999999999997</v>
      </c>
      <c r="J259" s="2">
        <v>163.233</v>
      </c>
      <c r="K259" s="5">
        <v>43501</v>
      </c>
      <c r="L259" s="4">
        <v>0.42777777777777776</v>
      </c>
      <c r="M259" s="3" t="s">
        <v>33</v>
      </c>
      <c r="N259" s="2">
        <v>155.46</v>
      </c>
      <c r="O259" s="2">
        <v>4.7619047620000003</v>
      </c>
      <c r="P259" s="2">
        <v>7.7729999999999997</v>
      </c>
      <c r="Q259" s="2">
        <v>8.6999999999999993</v>
      </c>
      <c r="R259" s="3" t="str">
        <f t="shared" ref="R259:R322" si="10">TEXT(K259,"mmmm")</f>
        <v>February</v>
      </c>
      <c r="S259" s="3">
        <f t="shared" si="9"/>
        <v>2</v>
      </c>
      <c r="T259" s="3" t="str">
        <f>IF(tbl_sales[[#This Row],[Sales]]&gt;=500,"High Value","Standard")</f>
        <v>Standard</v>
      </c>
      <c r="U259" s="1" t="str">
        <f>IF(tbl_sales[[#This Row],[Order Size]]="High Value","High Value Order","Standard Order")</f>
        <v>Standard Order</v>
      </c>
      <c r="V259" s="1"/>
      <c r="W259" s="17" t="s">
        <v>37</v>
      </c>
      <c r="X259" s="17"/>
      <c r="Y259" s="6"/>
      <c r="Z259" s="1" t="s">
        <v>37</v>
      </c>
    </row>
    <row r="260" spans="1:26">
      <c r="A260" s="3" t="s">
        <v>1671</v>
      </c>
      <c r="B260" s="3" t="s">
        <v>22</v>
      </c>
      <c r="C260" s="3" t="s">
        <v>23</v>
      </c>
      <c r="D260" s="3" t="s">
        <v>24</v>
      </c>
      <c r="E260" s="3" t="s">
        <v>992</v>
      </c>
      <c r="F260" s="3" t="s">
        <v>42</v>
      </c>
      <c r="G260" s="2">
        <v>32.25</v>
      </c>
      <c r="H260" s="2">
        <v>4</v>
      </c>
      <c r="I260" s="2">
        <v>6.45</v>
      </c>
      <c r="J260" s="2">
        <v>135.44999999999999</v>
      </c>
      <c r="K260" s="5">
        <v>43509</v>
      </c>
      <c r="L260" s="4">
        <v>0.52638888888888891</v>
      </c>
      <c r="M260" s="3" t="s">
        <v>33</v>
      </c>
      <c r="N260" s="2">
        <v>129</v>
      </c>
      <c r="O260" s="2">
        <v>4.7619047620000003</v>
      </c>
      <c r="P260" s="2">
        <v>6.45</v>
      </c>
      <c r="Q260" s="2">
        <v>6.5</v>
      </c>
      <c r="R260" s="3" t="str">
        <f t="shared" si="10"/>
        <v>February</v>
      </c>
      <c r="S260" s="3">
        <f t="shared" si="9"/>
        <v>2</v>
      </c>
      <c r="T260" s="3" t="str">
        <f>IF(tbl_sales[[#This Row],[Sales]]&gt;=500,"High Value","Standard")</f>
        <v>Standard</v>
      </c>
      <c r="U260" s="1" t="str">
        <f>IF(tbl_sales[[#This Row],[Order Size]]="High Value","High Value Order","Standard Order")</f>
        <v>Standard Order</v>
      </c>
      <c r="V260" s="1"/>
      <c r="W260" s="17" t="s">
        <v>37</v>
      </c>
      <c r="X260" s="17"/>
      <c r="Y260" s="6"/>
      <c r="Z260" s="1" t="s">
        <v>37</v>
      </c>
    </row>
    <row r="261" spans="1:26">
      <c r="A261" s="3" t="s">
        <v>1675</v>
      </c>
      <c r="B261" s="3" t="s">
        <v>39</v>
      </c>
      <c r="C261" s="3" t="s">
        <v>40</v>
      </c>
      <c r="D261" s="3" t="s">
        <v>24</v>
      </c>
      <c r="E261" s="3" t="s">
        <v>992</v>
      </c>
      <c r="F261" s="3" t="s">
        <v>42</v>
      </c>
      <c r="G261" s="2">
        <v>65.94</v>
      </c>
      <c r="H261" s="2">
        <v>4</v>
      </c>
      <c r="I261" s="2">
        <v>13.188000000000001</v>
      </c>
      <c r="J261" s="2">
        <v>276.94799999999998</v>
      </c>
      <c r="K261" s="5">
        <v>43503</v>
      </c>
      <c r="L261" s="4">
        <v>0.54513888888888884</v>
      </c>
      <c r="M261" s="3" t="s">
        <v>59</v>
      </c>
      <c r="N261" s="2">
        <v>263.76</v>
      </c>
      <c r="O261" s="2">
        <v>4.7619047620000003</v>
      </c>
      <c r="P261" s="2">
        <v>13.188000000000001</v>
      </c>
      <c r="Q261" s="2">
        <v>6.9</v>
      </c>
      <c r="R261" s="3" t="str">
        <f t="shared" si="10"/>
        <v>February</v>
      </c>
      <c r="S261" s="3">
        <f t="shared" si="9"/>
        <v>2</v>
      </c>
      <c r="T261" s="3" t="str">
        <f>IF(tbl_sales[[#This Row],[Sales]]&gt;=500,"High Value","Standard")</f>
        <v>Standard</v>
      </c>
      <c r="U261" s="1" t="str">
        <f>IF(tbl_sales[[#This Row],[Order Size]]="High Value","High Value Order","Standard Order")</f>
        <v>Standard Order</v>
      </c>
      <c r="V261" s="1"/>
      <c r="W261" s="17" t="s">
        <v>37</v>
      </c>
      <c r="X261" s="17"/>
      <c r="Y261" s="6"/>
      <c r="Z261" s="1" t="s">
        <v>37</v>
      </c>
    </row>
    <row r="262" spans="1:26">
      <c r="A262" s="3" t="s">
        <v>1680</v>
      </c>
      <c r="B262" s="3" t="s">
        <v>22</v>
      </c>
      <c r="C262" s="3" t="s">
        <v>23</v>
      </c>
      <c r="D262" s="3" t="s">
        <v>41</v>
      </c>
      <c r="E262" s="3" t="s">
        <v>25</v>
      </c>
      <c r="F262" s="3" t="s">
        <v>42</v>
      </c>
      <c r="G262" s="2">
        <v>75.06</v>
      </c>
      <c r="H262" s="2">
        <v>9</v>
      </c>
      <c r="I262" s="2">
        <v>33.777000000000001</v>
      </c>
      <c r="J262" s="2">
        <v>709.31700000000001</v>
      </c>
      <c r="K262" s="5">
        <v>43543</v>
      </c>
      <c r="L262" s="4">
        <v>0.55902777777777779</v>
      </c>
      <c r="M262" s="3" t="s">
        <v>33</v>
      </c>
      <c r="N262" s="2">
        <v>675.54</v>
      </c>
      <c r="O262" s="2">
        <v>4.7619047620000003</v>
      </c>
      <c r="P262" s="2">
        <v>33.777000000000001</v>
      </c>
      <c r="Q262" s="2">
        <v>6.2</v>
      </c>
      <c r="R262" s="3" t="str">
        <f t="shared" si="10"/>
        <v>March</v>
      </c>
      <c r="S262" s="3">
        <f t="shared" si="9"/>
        <v>3</v>
      </c>
      <c r="T262" s="3" t="str">
        <f>IF(tbl_sales[[#This Row],[Sales]]&gt;=500,"High Value","Standard")</f>
        <v>High Value</v>
      </c>
      <c r="U262" s="1" t="str">
        <f>IF(tbl_sales[[#This Row],[Order Size]]="High Value","High Value Order","Standard Order")</f>
        <v>High Value Order</v>
      </c>
      <c r="V262" s="1"/>
      <c r="W262" s="17" t="s">
        <v>37</v>
      </c>
      <c r="X262" s="17"/>
      <c r="Y262" s="6"/>
      <c r="Z262" s="1" t="s">
        <v>37</v>
      </c>
    </row>
    <row r="263" spans="1:26">
      <c r="A263" s="3" t="s">
        <v>1686</v>
      </c>
      <c r="B263" s="3" t="s">
        <v>39</v>
      </c>
      <c r="C263" s="3" t="s">
        <v>40</v>
      </c>
      <c r="D263" s="3" t="s">
        <v>41</v>
      </c>
      <c r="E263" s="3" t="s">
        <v>25</v>
      </c>
      <c r="F263" s="3" t="s">
        <v>127</v>
      </c>
      <c r="G263" s="2">
        <v>16.45</v>
      </c>
      <c r="H263" s="2">
        <v>4</v>
      </c>
      <c r="I263" s="2">
        <v>3.29</v>
      </c>
      <c r="J263" s="2">
        <v>69.09</v>
      </c>
      <c r="K263" s="5">
        <v>43531</v>
      </c>
      <c r="L263" s="4">
        <v>0.62013888888888891</v>
      </c>
      <c r="M263" s="3" t="s">
        <v>33</v>
      </c>
      <c r="N263" s="2">
        <v>65.8</v>
      </c>
      <c r="O263" s="2">
        <v>4.7619047620000003</v>
      </c>
      <c r="P263" s="2">
        <v>3.29</v>
      </c>
      <c r="Q263" s="2">
        <v>5.6</v>
      </c>
      <c r="R263" s="3" t="str">
        <f t="shared" si="10"/>
        <v>March</v>
      </c>
      <c r="S263" s="3">
        <f t="shared" si="9"/>
        <v>3</v>
      </c>
      <c r="T263" s="3" t="str">
        <f>IF(tbl_sales[[#This Row],[Sales]]&gt;=500,"High Value","Standard")</f>
        <v>Standard</v>
      </c>
      <c r="U263" s="1" t="str">
        <f>IF(tbl_sales[[#This Row],[Order Size]]="High Value","High Value Order","Standard Order")</f>
        <v>Standard Order</v>
      </c>
      <c r="V263" s="1"/>
      <c r="W263" s="17" t="s">
        <v>37</v>
      </c>
      <c r="X263" s="17"/>
      <c r="Y263" s="6"/>
      <c r="Z263" s="1" t="s">
        <v>37</v>
      </c>
    </row>
    <row r="264" spans="1:26">
      <c r="A264" s="3" t="s">
        <v>1692</v>
      </c>
      <c r="B264" s="3" t="s">
        <v>115</v>
      </c>
      <c r="C264" s="3" t="s">
        <v>116</v>
      </c>
      <c r="D264" s="3" t="s">
        <v>24</v>
      </c>
      <c r="E264" s="3" t="s">
        <v>25</v>
      </c>
      <c r="F264" s="3" t="s">
        <v>127</v>
      </c>
      <c r="G264" s="2">
        <v>38.299999999999997</v>
      </c>
      <c r="H264" s="2">
        <v>4</v>
      </c>
      <c r="I264" s="2">
        <v>7.66</v>
      </c>
      <c r="J264" s="2">
        <v>160.86000000000001</v>
      </c>
      <c r="K264" s="5">
        <v>43537</v>
      </c>
      <c r="L264" s="4">
        <v>0.80694444444444446</v>
      </c>
      <c r="M264" s="3" t="s">
        <v>49</v>
      </c>
      <c r="N264" s="2">
        <v>153.19999999999999</v>
      </c>
      <c r="O264" s="2">
        <v>4.7619047620000003</v>
      </c>
      <c r="P264" s="2">
        <v>7.66</v>
      </c>
      <c r="Q264" s="2">
        <v>5.7</v>
      </c>
      <c r="R264" s="3" t="str">
        <f t="shared" si="10"/>
        <v>March</v>
      </c>
      <c r="S264" s="3">
        <f t="shared" si="9"/>
        <v>3</v>
      </c>
      <c r="T264" s="3" t="str">
        <f>IF(tbl_sales[[#This Row],[Sales]]&gt;=500,"High Value","Standard")</f>
        <v>Standard</v>
      </c>
      <c r="U264" s="1" t="str">
        <f>IF(tbl_sales[[#This Row],[Order Size]]="High Value","High Value Order","Standard Order")</f>
        <v>Standard Order</v>
      </c>
      <c r="V264" s="1"/>
      <c r="W264" s="17" t="s">
        <v>37</v>
      </c>
      <c r="X264" s="17"/>
      <c r="Y264" s="6"/>
      <c r="Z264" s="1" t="s">
        <v>37</v>
      </c>
    </row>
    <row r="265" spans="1:26">
      <c r="A265" s="3" t="s">
        <v>1698</v>
      </c>
      <c r="B265" s="3" t="s">
        <v>22</v>
      </c>
      <c r="C265" s="3" t="s">
        <v>23</v>
      </c>
      <c r="D265" s="3" t="s">
        <v>24</v>
      </c>
      <c r="E265" s="3" t="s">
        <v>25</v>
      </c>
      <c r="F265" s="3" t="s">
        <v>72</v>
      </c>
      <c r="G265" s="2">
        <v>22.24</v>
      </c>
      <c r="H265" s="2">
        <v>10</v>
      </c>
      <c r="I265" s="2">
        <v>11.12</v>
      </c>
      <c r="J265" s="2">
        <v>233.52</v>
      </c>
      <c r="K265" s="5">
        <v>43505</v>
      </c>
      <c r="L265" s="4">
        <v>0.45833333333333331</v>
      </c>
      <c r="M265" s="3" t="s">
        <v>49</v>
      </c>
      <c r="N265" s="2">
        <v>222.4</v>
      </c>
      <c r="O265" s="2">
        <v>4.7619047620000003</v>
      </c>
      <c r="P265" s="2">
        <v>11.12</v>
      </c>
      <c r="Q265" s="2">
        <v>4.2</v>
      </c>
      <c r="R265" s="3" t="str">
        <f t="shared" si="10"/>
        <v>February</v>
      </c>
      <c r="S265" s="3">
        <f t="shared" si="9"/>
        <v>2</v>
      </c>
      <c r="T265" s="3" t="str">
        <f>IF(tbl_sales[[#This Row],[Sales]]&gt;=500,"High Value","Standard")</f>
        <v>Standard</v>
      </c>
      <c r="U265" s="1" t="str">
        <f>IF(tbl_sales[[#This Row],[Order Size]]="High Value","High Value Order","Standard Order")</f>
        <v>Standard Order</v>
      </c>
      <c r="V265" s="1"/>
      <c r="W265" s="17" t="s">
        <v>37</v>
      </c>
      <c r="X265" s="17"/>
      <c r="Y265" s="6"/>
      <c r="Z265" s="1" t="s">
        <v>37</v>
      </c>
    </row>
    <row r="266" spans="1:26">
      <c r="A266" s="3" t="s">
        <v>1704</v>
      </c>
      <c r="B266" s="3" t="s">
        <v>115</v>
      </c>
      <c r="C266" s="3" t="s">
        <v>116</v>
      </c>
      <c r="D266" s="3" t="s">
        <v>41</v>
      </c>
      <c r="E266" s="3" t="s">
        <v>992</v>
      </c>
      <c r="F266" s="3" t="s">
        <v>72</v>
      </c>
      <c r="G266" s="2">
        <v>54.45</v>
      </c>
      <c r="H266" s="2">
        <v>1</v>
      </c>
      <c r="I266" s="2">
        <v>2.7225000000000001</v>
      </c>
      <c r="J266" s="2">
        <v>57.172499999999999</v>
      </c>
      <c r="K266" s="5">
        <v>43522</v>
      </c>
      <c r="L266" s="4">
        <v>0.80833333333333335</v>
      </c>
      <c r="M266" s="3" t="s">
        <v>33</v>
      </c>
      <c r="N266" s="2">
        <v>54.45</v>
      </c>
      <c r="O266" s="2">
        <v>4.7619047620000003</v>
      </c>
      <c r="P266" s="2">
        <v>2.7225000000000001</v>
      </c>
      <c r="Q266" s="2">
        <v>7.9</v>
      </c>
      <c r="R266" s="3" t="str">
        <f t="shared" si="10"/>
        <v>February</v>
      </c>
      <c r="S266" s="3">
        <f t="shared" si="9"/>
        <v>2</v>
      </c>
      <c r="T266" s="3" t="str">
        <f>IF(tbl_sales[[#This Row],[Sales]]&gt;=500,"High Value","Standard")</f>
        <v>Standard</v>
      </c>
      <c r="U266" s="1" t="str">
        <f>IF(tbl_sales[[#This Row],[Order Size]]="High Value","High Value Order","Standard Order")</f>
        <v>Standard Order</v>
      </c>
      <c r="V266" s="1"/>
      <c r="W266" s="17" t="s">
        <v>37</v>
      </c>
      <c r="X266" s="17"/>
      <c r="Y266" s="6"/>
      <c r="Z266" s="1" t="s">
        <v>37</v>
      </c>
    </row>
    <row r="267" spans="1:26">
      <c r="A267" s="3" t="s">
        <v>1709</v>
      </c>
      <c r="B267" s="3" t="s">
        <v>22</v>
      </c>
      <c r="C267" s="3" t="s">
        <v>23</v>
      </c>
      <c r="D267" s="3" t="s">
        <v>24</v>
      </c>
      <c r="E267" s="3" t="s">
        <v>25</v>
      </c>
      <c r="F267" s="3" t="s">
        <v>72</v>
      </c>
      <c r="G267" s="2">
        <v>98.4</v>
      </c>
      <c r="H267" s="2">
        <v>7</v>
      </c>
      <c r="I267" s="2">
        <v>34.44</v>
      </c>
      <c r="J267" s="2">
        <v>723.24</v>
      </c>
      <c r="K267" s="5">
        <v>43536</v>
      </c>
      <c r="L267" s="4">
        <v>0.52986111111111112</v>
      </c>
      <c r="M267" s="3" t="s">
        <v>59</v>
      </c>
      <c r="N267" s="2">
        <v>688.8</v>
      </c>
      <c r="O267" s="2">
        <v>4.7619047620000003</v>
      </c>
      <c r="P267" s="2">
        <v>34.44</v>
      </c>
      <c r="Q267" s="2">
        <v>8.6999999999999993</v>
      </c>
      <c r="R267" s="3" t="str">
        <f t="shared" si="10"/>
        <v>March</v>
      </c>
      <c r="S267" s="3">
        <f t="shared" si="9"/>
        <v>3</v>
      </c>
      <c r="T267" s="3" t="str">
        <f>IF(tbl_sales[[#This Row],[Sales]]&gt;=500,"High Value","Standard")</f>
        <v>High Value</v>
      </c>
      <c r="U267" s="1" t="str">
        <f>IF(tbl_sales[[#This Row],[Order Size]]="High Value","High Value Order","Standard Order")</f>
        <v>High Value Order</v>
      </c>
      <c r="V267" s="1"/>
      <c r="W267" s="17" t="s">
        <v>37</v>
      </c>
      <c r="X267" s="17"/>
      <c r="Y267" s="6"/>
      <c r="Z267" s="1" t="s">
        <v>37</v>
      </c>
    </row>
    <row r="268" spans="1:26">
      <c r="A268" s="3" t="s">
        <v>1714</v>
      </c>
      <c r="B268" s="3" t="s">
        <v>39</v>
      </c>
      <c r="C268" s="3" t="s">
        <v>40</v>
      </c>
      <c r="D268" s="3" t="s">
        <v>41</v>
      </c>
      <c r="E268" s="3" t="s">
        <v>992</v>
      </c>
      <c r="F268" s="3" t="s">
        <v>53</v>
      </c>
      <c r="G268" s="2">
        <v>35.47</v>
      </c>
      <c r="H268" s="2">
        <v>4</v>
      </c>
      <c r="I268" s="2">
        <v>7.0940000000000003</v>
      </c>
      <c r="J268" s="2">
        <v>148.97399999999999</v>
      </c>
      <c r="K268" s="5">
        <v>43538</v>
      </c>
      <c r="L268" s="4">
        <v>0.72361111111111109</v>
      </c>
      <c r="M268" s="3" t="s">
        <v>59</v>
      </c>
      <c r="N268" s="2">
        <v>141.88</v>
      </c>
      <c r="O268" s="2">
        <v>4.7619047620000003</v>
      </c>
      <c r="P268" s="2">
        <v>7.0940000000000003</v>
      </c>
      <c r="Q268" s="2">
        <v>6.9</v>
      </c>
      <c r="R268" s="3" t="str">
        <f t="shared" si="10"/>
        <v>March</v>
      </c>
      <c r="S268" s="3">
        <f t="shared" si="9"/>
        <v>3</v>
      </c>
      <c r="T268" s="3" t="str">
        <f>IF(tbl_sales[[#This Row],[Sales]]&gt;=500,"High Value","Standard")</f>
        <v>Standard</v>
      </c>
      <c r="U268" s="1" t="str">
        <f>IF(tbl_sales[[#This Row],[Order Size]]="High Value","High Value Order","Standard Order")</f>
        <v>Standard Order</v>
      </c>
      <c r="V268" s="1"/>
      <c r="W268" s="17" t="s">
        <v>37</v>
      </c>
      <c r="X268" s="17"/>
      <c r="Y268" s="6"/>
      <c r="Z268" s="1" t="s">
        <v>37</v>
      </c>
    </row>
    <row r="269" spans="1:26">
      <c r="A269" s="3" t="s">
        <v>1721</v>
      </c>
      <c r="B269" s="3" t="s">
        <v>115</v>
      </c>
      <c r="C269" s="3" t="s">
        <v>116</v>
      </c>
      <c r="D269" s="3" t="s">
        <v>24</v>
      </c>
      <c r="E269" s="3" t="s">
        <v>25</v>
      </c>
      <c r="F269" s="3" t="s">
        <v>117</v>
      </c>
      <c r="G269" s="2">
        <v>74.599999999999994</v>
      </c>
      <c r="H269" s="2">
        <v>10</v>
      </c>
      <c r="I269" s="2">
        <v>37.299999999999997</v>
      </c>
      <c r="J269" s="2">
        <v>783.3</v>
      </c>
      <c r="K269" s="5">
        <v>43473</v>
      </c>
      <c r="L269" s="4">
        <v>0.87152777777777779</v>
      </c>
      <c r="M269" s="3" t="s">
        <v>49</v>
      </c>
      <c r="N269" s="2">
        <v>746</v>
      </c>
      <c r="O269" s="2">
        <v>4.7619047620000003</v>
      </c>
      <c r="P269" s="2">
        <v>37.299999999999997</v>
      </c>
      <c r="Q269" s="2">
        <v>9.5</v>
      </c>
      <c r="R269" s="3" t="str">
        <f t="shared" si="10"/>
        <v>January</v>
      </c>
      <c r="S269" s="3">
        <f t="shared" si="9"/>
        <v>1</v>
      </c>
      <c r="T269" s="3" t="str">
        <f>IF(tbl_sales[[#This Row],[Sales]]&gt;=500,"High Value","Standard")</f>
        <v>High Value</v>
      </c>
      <c r="U269" s="1" t="str">
        <f>IF(tbl_sales[[#This Row],[Order Size]]="High Value","High Value Order","Standard Order")</f>
        <v>High Value Order</v>
      </c>
      <c r="V269" s="1"/>
      <c r="W269" s="17" t="s">
        <v>37</v>
      </c>
      <c r="X269" s="17"/>
      <c r="Y269" s="6"/>
      <c r="Z269" s="1" t="s">
        <v>37</v>
      </c>
    </row>
    <row r="270" spans="1:26">
      <c r="A270" s="3" t="s">
        <v>1727</v>
      </c>
      <c r="B270" s="3" t="s">
        <v>22</v>
      </c>
      <c r="C270" s="3" t="s">
        <v>23</v>
      </c>
      <c r="D270" s="3" t="s">
        <v>24</v>
      </c>
      <c r="E270" s="3" t="s">
        <v>992</v>
      </c>
      <c r="F270" s="3" t="s">
        <v>53</v>
      </c>
      <c r="G270" s="2">
        <v>70.739999999999995</v>
      </c>
      <c r="H270" s="2">
        <v>4</v>
      </c>
      <c r="I270" s="2">
        <v>14.148</v>
      </c>
      <c r="J270" s="2">
        <v>297.108</v>
      </c>
      <c r="K270" s="5">
        <v>43470</v>
      </c>
      <c r="L270" s="4">
        <v>0.67013888888888884</v>
      </c>
      <c r="M270" s="3" t="s">
        <v>59</v>
      </c>
      <c r="N270" s="2">
        <v>282.95999999999998</v>
      </c>
      <c r="O270" s="2">
        <v>4.7619047620000003</v>
      </c>
      <c r="P270" s="2">
        <v>14.148</v>
      </c>
      <c r="Q270" s="2">
        <v>4.4000000000000004</v>
      </c>
      <c r="R270" s="3" t="str">
        <f t="shared" si="10"/>
        <v>January</v>
      </c>
      <c r="S270" s="3">
        <f t="shared" si="9"/>
        <v>1</v>
      </c>
      <c r="T270" s="3" t="str">
        <f>IF(tbl_sales[[#This Row],[Sales]]&gt;=500,"High Value","Standard")</f>
        <v>Standard</v>
      </c>
      <c r="U270" s="1" t="str">
        <f>IF(tbl_sales[[#This Row],[Order Size]]="High Value","High Value Order","Standard Order")</f>
        <v>Standard Order</v>
      </c>
      <c r="V270" s="1"/>
      <c r="W270" s="17" t="s">
        <v>37</v>
      </c>
      <c r="X270" s="17"/>
      <c r="Y270" s="6"/>
      <c r="Z270" s="1" t="s">
        <v>37</v>
      </c>
    </row>
    <row r="271" spans="1:26">
      <c r="A271" s="3" t="s">
        <v>1733</v>
      </c>
      <c r="B271" s="3" t="s">
        <v>22</v>
      </c>
      <c r="C271" s="3" t="s">
        <v>23</v>
      </c>
      <c r="D271" s="3" t="s">
        <v>24</v>
      </c>
      <c r="E271" s="3" t="s">
        <v>25</v>
      </c>
      <c r="F271" s="3" t="s">
        <v>53</v>
      </c>
      <c r="G271" s="2">
        <v>35.54</v>
      </c>
      <c r="H271" s="2">
        <v>10</v>
      </c>
      <c r="I271" s="2">
        <v>17.77</v>
      </c>
      <c r="J271" s="2">
        <v>373.17</v>
      </c>
      <c r="K271" s="5">
        <v>43469</v>
      </c>
      <c r="L271" s="4">
        <v>0.56527777777777777</v>
      </c>
      <c r="M271" s="3" t="s">
        <v>33</v>
      </c>
      <c r="N271" s="2">
        <v>355.4</v>
      </c>
      <c r="O271" s="2">
        <v>4.7619047620000003</v>
      </c>
      <c r="P271" s="2">
        <v>17.77</v>
      </c>
      <c r="Q271" s="2">
        <v>7</v>
      </c>
      <c r="R271" s="3" t="str">
        <f t="shared" si="10"/>
        <v>January</v>
      </c>
      <c r="S271" s="3">
        <f t="shared" si="9"/>
        <v>1</v>
      </c>
      <c r="T271" s="3" t="str">
        <f>IF(tbl_sales[[#This Row],[Sales]]&gt;=500,"High Value","Standard")</f>
        <v>Standard</v>
      </c>
      <c r="U271" s="1" t="str">
        <f>IF(tbl_sales[[#This Row],[Order Size]]="High Value","High Value Order","Standard Order")</f>
        <v>Standard Order</v>
      </c>
      <c r="V271" s="1"/>
      <c r="W271" s="17" t="s">
        <v>37</v>
      </c>
      <c r="X271" s="17"/>
      <c r="Y271" s="6"/>
      <c r="Z271" s="1" t="s">
        <v>37</v>
      </c>
    </row>
    <row r="272" spans="1:26">
      <c r="A272" s="3" t="s">
        <v>1738</v>
      </c>
      <c r="B272" s="3" t="s">
        <v>115</v>
      </c>
      <c r="C272" s="3" t="s">
        <v>116</v>
      </c>
      <c r="D272" s="3" t="s">
        <v>41</v>
      </c>
      <c r="E272" s="3" t="s">
        <v>25</v>
      </c>
      <c r="F272" s="3" t="s">
        <v>72</v>
      </c>
      <c r="G272" s="2">
        <v>67.430000000000007</v>
      </c>
      <c r="H272" s="2">
        <v>5</v>
      </c>
      <c r="I272" s="2">
        <v>16.857500000000002</v>
      </c>
      <c r="J272" s="2">
        <v>354.00749999999999</v>
      </c>
      <c r="K272" s="5">
        <v>43530</v>
      </c>
      <c r="L272" s="4">
        <v>0.75902777777777775</v>
      </c>
      <c r="M272" s="3" t="s">
        <v>33</v>
      </c>
      <c r="N272" s="2">
        <v>337.15</v>
      </c>
      <c r="O272" s="2">
        <v>4.7619047620000003</v>
      </c>
      <c r="P272" s="2">
        <v>16.857500000000002</v>
      </c>
      <c r="Q272" s="2">
        <v>6.3</v>
      </c>
      <c r="R272" s="3" t="str">
        <f t="shared" si="10"/>
        <v>March</v>
      </c>
      <c r="S272" s="3">
        <f t="shared" si="9"/>
        <v>3</v>
      </c>
      <c r="T272" s="3" t="str">
        <f>IF(tbl_sales[[#This Row],[Sales]]&gt;=500,"High Value","Standard")</f>
        <v>Standard</v>
      </c>
      <c r="U272" s="1" t="str">
        <f>IF(tbl_sales[[#This Row],[Order Size]]="High Value","High Value Order","Standard Order")</f>
        <v>Standard Order</v>
      </c>
      <c r="V272" s="1"/>
      <c r="W272" s="17" t="s">
        <v>37</v>
      </c>
      <c r="X272" s="17"/>
      <c r="Y272" s="6"/>
      <c r="Z272" s="1" t="s">
        <v>37</v>
      </c>
    </row>
    <row r="273" spans="1:26">
      <c r="A273" s="3" t="s">
        <v>1744</v>
      </c>
      <c r="B273" s="3" t="s">
        <v>39</v>
      </c>
      <c r="C273" s="3" t="s">
        <v>40</v>
      </c>
      <c r="D273" s="3" t="s">
        <v>24</v>
      </c>
      <c r="E273" s="3" t="s">
        <v>25</v>
      </c>
      <c r="F273" s="3" t="s">
        <v>26</v>
      </c>
      <c r="G273" s="2">
        <v>21.12</v>
      </c>
      <c r="H273" s="2">
        <v>2</v>
      </c>
      <c r="I273" s="2">
        <v>2.1120000000000001</v>
      </c>
      <c r="J273" s="2">
        <v>44.351999999999997</v>
      </c>
      <c r="K273" s="5">
        <v>43468</v>
      </c>
      <c r="L273" s="4">
        <v>0.80347222222222225</v>
      </c>
      <c r="M273" s="3" t="s">
        <v>49</v>
      </c>
      <c r="N273" s="2">
        <v>42.24</v>
      </c>
      <c r="O273" s="2">
        <v>4.7619047620000003</v>
      </c>
      <c r="P273" s="2">
        <v>2.1120000000000001</v>
      </c>
      <c r="Q273" s="2">
        <v>9.6999999999999993</v>
      </c>
      <c r="R273" s="3" t="str">
        <f t="shared" si="10"/>
        <v>January</v>
      </c>
      <c r="S273" s="3">
        <f t="shared" si="9"/>
        <v>1</v>
      </c>
      <c r="T273" s="3" t="str">
        <f>IF(tbl_sales[[#This Row],[Sales]]&gt;=500,"High Value","Standard")</f>
        <v>Standard</v>
      </c>
      <c r="U273" s="1" t="str">
        <f>IF(tbl_sales[[#This Row],[Order Size]]="High Value","High Value Order","Standard Order")</f>
        <v>Standard Order</v>
      </c>
      <c r="V273" s="1"/>
      <c r="W273" s="17" t="s">
        <v>37</v>
      </c>
      <c r="X273" s="17"/>
      <c r="Y273" s="6"/>
      <c r="Z273" s="1" t="s">
        <v>37</v>
      </c>
    </row>
    <row r="274" spans="1:26">
      <c r="A274" s="3" t="s">
        <v>1749</v>
      </c>
      <c r="B274" s="3" t="s">
        <v>22</v>
      </c>
      <c r="C274" s="3" t="s">
        <v>23</v>
      </c>
      <c r="D274" s="3" t="s">
        <v>24</v>
      </c>
      <c r="E274" s="3" t="s">
        <v>25</v>
      </c>
      <c r="F274" s="3" t="s">
        <v>53</v>
      </c>
      <c r="G274" s="2">
        <v>21.54</v>
      </c>
      <c r="H274" s="2">
        <v>9</v>
      </c>
      <c r="I274" s="2">
        <v>9.6929999999999996</v>
      </c>
      <c r="J274" s="2">
        <v>203.553</v>
      </c>
      <c r="K274" s="5">
        <v>43472</v>
      </c>
      <c r="L274" s="4">
        <v>0.48888888888888887</v>
      </c>
      <c r="M274" s="3" t="s">
        <v>59</v>
      </c>
      <c r="N274" s="2">
        <v>193.86</v>
      </c>
      <c r="O274" s="2">
        <v>4.7619047620000003</v>
      </c>
      <c r="P274" s="2">
        <v>9.6929999999999996</v>
      </c>
      <c r="Q274" s="2">
        <v>8.8000000000000007</v>
      </c>
      <c r="R274" s="3" t="str">
        <f t="shared" si="10"/>
        <v>January</v>
      </c>
      <c r="S274" s="3">
        <f t="shared" si="9"/>
        <v>1</v>
      </c>
      <c r="T274" s="3" t="str">
        <f>IF(tbl_sales[[#This Row],[Sales]]&gt;=500,"High Value","Standard")</f>
        <v>Standard</v>
      </c>
      <c r="U274" s="1" t="str">
        <f>IF(tbl_sales[[#This Row],[Order Size]]="High Value","High Value Order","Standard Order")</f>
        <v>Standard Order</v>
      </c>
      <c r="V274" s="1"/>
      <c r="W274" s="17" t="s">
        <v>37</v>
      </c>
      <c r="X274" s="17"/>
      <c r="Y274" s="6"/>
      <c r="Z274" s="1" t="s">
        <v>37</v>
      </c>
    </row>
    <row r="275" spans="1:26">
      <c r="A275" s="3" t="s">
        <v>1755</v>
      </c>
      <c r="B275" s="3" t="s">
        <v>22</v>
      </c>
      <c r="C275" s="3" t="s">
        <v>23</v>
      </c>
      <c r="D275" s="3" t="s">
        <v>41</v>
      </c>
      <c r="E275" s="3" t="s">
        <v>25</v>
      </c>
      <c r="F275" s="3" t="s">
        <v>53</v>
      </c>
      <c r="G275" s="2">
        <v>12.03</v>
      </c>
      <c r="H275" s="2">
        <v>2</v>
      </c>
      <c r="I275" s="2">
        <v>1.2030000000000001</v>
      </c>
      <c r="J275" s="2">
        <v>25.263000000000002</v>
      </c>
      <c r="K275" s="5">
        <v>43492</v>
      </c>
      <c r="L275" s="4">
        <v>0.66041666666666665</v>
      </c>
      <c r="M275" s="3" t="s">
        <v>49</v>
      </c>
      <c r="N275" s="2">
        <v>24.06</v>
      </c>
      <c r="O275" s="2">
        <v>4.7619047620000003</v>
      </c>
      <c r="P275" s="2">
        <v>1.2030000000000001</v>
      </c>
      <c r="Q275" s="2">
        <v>5.0999999999999996</v>
      </c>
      <c r="R275" s="3" t="str">
        <f t="shared" si="10"/>
        <v>January</v>
      </c>
      <c r="S275" s="3">
        <f t="shared" si="9"/>
        <v>1</v>
      </c>
      <c r="T275" s="3" t="str">
        <f>IF(tbl_sales[[#This Row],[Sales]]&gt;=500,"High Value","Standard")</f>
        <v>Standard</v>
      </c>
      <c r="U275" s="1" t="str">
        <f>IF(tbl_sales[[#This Row],[Order Size]]="High Value","High Value Order","Standard Order")</f>
        <v>Standard Order</v>
      </c>
      <c r="V275" s="1"/>
      <c r="W275" s="17" t="s">
        <v>37</v>
      </c>
      <c r="X275" s="17"/>
      <c r="Y275" s="6"/>
      <c r="Z275" s="1" t="s">
        <v>37</v>
      </c>
    </row>
    <row r="276" spans="1:26">
      <c r="A276" s="3" t="s">
        <v>1761</v>
      </c>
      <c r="B276" s="3" t="s">
        <v>115</v>
      </c>
      <c r="C276" s="3" t="s">
        <v>116</v>
      </c>
      <c r="D276" s="3" t="s">
        <v>41</v>
      </c>
      <c r="E276" s="3" t="s">
        <v>25</v>
      </c>
      <c r="F276" s="3" t="s">
        <v>26</v>
      </c>
      <c r="G276" s="2">
        <v>99.71</v>
      </c>
      <c r="H276" s="2">
        <v>6</v>
      </c>
      <c r="I276" s="2">
        <v>29.913</v>
      </c>
      <c r="J276" s="2">
        <v>628.173</v>
      </c>
      <c r="K276" s="5">
        <v>43522</v>
      </c>
      <c r="L276" s="4">
        <v>0.70277777777777772</v>
      </c>
      <c r="M276" s="3" t="s">
        <v>33</v>
      </c>
      <c r="N276" s="2">
        <v>598.26</v>
      </c>
      <c r="O276" s="2">
        <v>4.7619047620000003</v>
      </c>
      <c r="P276" s="2">
        <v>29.913</v>
      </c>
      <c r="Q276" s="2">
        <v>7.9</v>
      </c>
      <c r="R276" s="3" t="str">
        <f t="shared" si="10"/>
        <v>February</v>
      </c>
      <c r="S276" s="3">
        <f t="shared" si="9"/>
        <v>2</v>
      </c>
      <c r="T276" s="3" t="str">
        <f>IF(tbl_sales[[#This Row],[Sales]]&gt;=500,"High Value","Standard")</f>
        <v>High Value</v>
      </c>
      <c r="U276" s="1" t="str">
        <f>IF(tbl_sales[[#This Row],[Order Size]]="High Value","High Value Order","Standard Order")</f>
        <v>High Value Order</v>
      </c>
      <c r="V276" s="1"/>
      <c r="W276" s="17" t="s">
        <v>37</v>
      </c>
      <c r="X276" s="17"/>
      <c r="Y276" s="6"/>
      <c r="Z276" s="1" t="s">
        <v>37</v>
      </c>
    </row>
    <row r="277" spans="1:26">
      <c r="A277" s="3" t="s">
        <v>1767</v>
      </c>
      <c r="B277" s="3" t="s">
        <v>115</v>
      </c>
      <c r="C277" s="3" t="s">
        <v>116</v>
      </c>
      <c r="D277" s="3" t="s">
        <v>41</v>
      </c>
      <c r="E277" s="3" t="s">
        <v>992</v>
      </c>
      <c r="F277" s="3" t="s">
        <v>127</v>
      </c>
      <c r="G277" s="2">
        <v>47.97</v>
      </c>
      <c r="H277" s="2">
        <v>7</v>
      </c>
      <c r="I277" s="2">
        <v>16.7895</v>
      </c>
      <c r="J277" s="2">
        <v>352.5795</v>
      </c>
      <c r="K277" s="5">
        <v>43472</v>
      </c>
      <c r="L277" s="4">
        <v>0.86944444444444446</v>
      </c>
      <c r="M277" s="3" t="s">
        <v>49</v>
      </c>
      <c r="N277" s="2">
        <v>335.79</v>
      </c>
      <c r="O277" s="2">
        <v>4.7619047620000003</v>
      </c>
      <c r="P277" s="2">
        <v>16.7895</v>
      </c>
      <c r="Q277" s="2">
        <v>6.2</v>
      </c>
      <c r="R277" s="3" t="str">
        <f t="shared" si="10"/>
        <v>January</v>
      </c>
      <c r="S277" s="3">
        <f t="shared" si="9"/>
        <v>1</v>
      </c>
      <c r="T277" s="3" t="str">
        <f>IF(tbl_sales[[#This Row],[Sales]]&gt;=500,"High Value","Standard")</f>
        <v>Standard</v>
      </c>
      <c r="U277" s="1" t="str">
        <f>IF(tbl_sales[[#This Row],[Order Size]]="High Value","High Value Order","Standard Order")</f>
        <v>Standard Order</v>
      </c>
      <c r="V277" s="1"/>
      <c r="W277" s="17" t="s">
        <v>37</v>
      </c>
      <c r="X277" s="17"/>
      <c r="Y277" s="6"/>
      <c r="Z277" s="1" t="s">
        <v>37</v>
      </c>
    </row>
    <row r="278" spans="1:26">
      <c r="A278" s="3" t="s">
        <v>1773</v>
      </c>
      <c r="B278" s="3" t="s">
        <v>39</v>
      </c>
      <c r="C278" s="3" t="s">
        <v>40</v>
      </c>
      <c r="D278" s="3" t="s">
        <v>24</v>
      </c>
      <c r="E278" s="3" t="s">
        <v>25</v>
      </c>
      <c r="F278" s="3" t="s">
        <v>53</v>
      </c>
      <c r="G278" s="2">
        <v>21.82</v>
      </c>
      <c r="H278" s="2">
        <v>10</v>
      </c>
      <c r="I278" s="2">
        <v>10.91</v>
      </c>
      <c r="J278" s="2">
        <v>229.11</v>
      </c>
      <c r="K278" s="5">
        <v>43472</v>
      </c>
      <c r="L278" s="4">
        <v>0.73333333333333328</v>
      </c>
      <c r="M278" s="3" t="s">
        <v>49</v>
      </c>
      <c r="N278" s="2">
        <v>218.2</v>
      </c>
      <c r="O278" s="2">
        <v>4.7619047620000003</v>
      </c>
      <c r="P278" s="2">
        <v>10.91</v>
      </c>
      <c r="Q278" s="2">
        <v>7.1</v>
      </c>
      <c r="R278" s="3" t="str">
        <f t="shared" si="10"/>
        <v>January</v>
      </c>
      <c r="S278" s="3">
        <f t="shared" si="9"/>
        <v>1</v>
      </c>
      <c r="T278" s="3" t="str">
        <f>IF(tbl_sales[[#This Row],[Sales]]&gt;=500,"High Value","Standard")</f>
        <v>Standard</v>
      </c>
      <c r="U278" s="1" t="str">
        <f>IF(tbl_sales[[#This Row],[Order Size]]="High Value","High Value Order","Standard Order")</f>
        <v>Standard Order</v>
      </c>
      <c r="V278" s="1"/>
      <c r="W278" s="17" t="s">
        <v>37</v>
      </c>
      <c r="X278" s="17"/>
      <c r="Y278" s="6"/>
      <c r="Z278" s="1" t="s">
        <v>37</v>
      </c>
    </row>
    <row r="279" spans="1:26">
      <c r="A279" s="3" t="s">
        <v>1778</v>
      </c>
      <c r="B279" s="3" t="s">
        <v>39</v>
      </c>
      <c r="C279" s="3" t="s">
        <v>40</v>
      </c>
      <c r="D279" s="3" t="s">
        <v>41</v>
      </c>
      <c r="E279" s="3" t="s">
        <v>25</v>
      </c>
      <c r="F279" s="3" t="s">
        <v>127</v>
      </c>
      <c r="G279" s="2">
        <v>95.42</v>
      </c>
      <c r="H279" s="2">
        <v>4</v>
      </c>
      <c r="I279" s="2">
        <v>19.084</v>
      </c>
      <c r="J279" s="2">
        <v>400.76400000000001</v>
      </c>
      <c r="K279" s="5">
        <v>43498</v>
      </c>
      <c r="L279" s="4">
        <v>0.55763888888888891</v>
      </c>
      <c r="M279" s="3" t="s">
        <v>33</v>
      </c>
      <c r="N279" s="2">
        <v>381.68</v>
      </c>
      <c r="O279" s="2">
        <v>4.7619047620000003</v>
      </c>
      <c r="P279" s="2">
        <v>19.084</v>
      </c>
      <c r="Q279" s="2">
        <v>6.4</v>
      </c>
      <c r="R279" s="3" t="str">
        <f t="shared" si="10"/>
        <v>February</v>
      </c>
      <c r="S279" s="3">
        <f t="shared" si="9"/>
        <v>2</v>
      </c>
      <c r="T279" s="3" t="str">
        <f>IF(tbl_sales[[#This Row],[Sales]]&gt;=500,"High Value","Standard")</f>
        <v>Standard</v>
      </c>
      <c r="U279" s="1" t="str">
        <f>IF(tbl_sales[[#This Row],[Order Size]]="High Value","High Value Order","Standard Order")</f>
        <v>Standard Order</v>
      </c>
      <c r="V279" s="1"/>
      <c r="W279" s="17" t="s">
        <v>37</v>
      </c>
      <c r="X279" s="17"/>
      <c r="Y279" s="6"/>
      <c r="Z279" s="1" t="s">
        <v>37</v>
      </c>
    </row>
    <row r="280" spans="1:26">
      <c r="A280" s="3" t="s">
        <v>1783</v>
      </c>
      <c r="B280" s="3" t="s">
        <v>39</v>
      </c>
      <c r="C280" s="3" t="s">
        <v>40</v>
      </c>
      <c r="D280" s="3" t="s">
        <v>24</v>
      </c>
      <c r="E280" s="3" t="s">
        <v>992</v>
      </c>
      <c r="F280" s="3" t="s">
        <v>127</v>
      </c>
      <c r="G280" s="2">
        <v>70.989999999999995</v>
      </c>
      <c r="H280" s="2">
        <v>10</v>
      </c>
      <c r="I280" s="2">
        <v>35.494999999999997</v>
      </c>
      <c r="J280" s="2">
        <v>745.39499999999998</v>
      </c>
      <c r="K280" s="5">
        <v>43544</v>
      </c>
      <c r="L280" s="4">
        <v>0.68611111111111112</v>
      </c>
      <c r="M280" s="3" t="s">
        <v>49</v>
      </c>
      <c r="N280" s="2">
        <v>709.9</v>
      </c>
      <c r="O280" s="2">
        <v>4.7619047620000003</v>
      </c>
      <c r="P280" s="2">
        <v>35.494999999999997</v>
      </c>
      <c r="Q280" s="2">
        <v>5.7</v>
      </c>
      <c r="R280" s="3" t="str">
        <f t="shared" si="10"/>
        <v>March</v>
      </c>
      <c r="S280" s="3">
        <f t="shared" si="9"/>
        <v>3</v>
      </c>
      <c r="T280" s="3" t="str">
        <f>IF(tbl_sales[[#This Row],[Sales]]&gt;=500,"High Value","Standard")</f>
        <v>High Value</v>
      </c>
      <c r="U280" s="1" t="str">
        <f>IF(tbl_sales[[#This Row],[Order Size]]="High Value","High Value Order","Standard Order")</f>
        <v>High Value Order</v>
      </c>
      <c r="V280" s="1"/>
      <c r="W280" s="17" t="s">
        <v>37</v>
      </c>
      <c r="X280" s="17"/>
      <c r="Y280" s="6"/>
      <c r="Z280" s="1" t="s">
        <v>37</v>
      </c>
    </row>
    <row r="281" spans="1:26">
      <c r="A281" s="3" t="s">
        <v>1789</v>
      </c>
      <c r="B281" s="3" t="s">
        <v>22</v>
      </c>
      <c r="C281" s="3" t="s">
        <v>23</v>
      </c>
      <c r="D281" s="3" t="s">
        <v>24</v>
      </c>
      <c r="E281" s="3" t="s">
        <v>992</v>
      </c>
      <c r="F281" s="3" t="s">
        <v>72</v>
      </c>
      <c r="G281" s="2">
        <v>44.02</v>
      </c>
      <c r="H281" s="2">
        <v>10</v>
      </c>
      <c r="I281" s="2">
        <v>22.01</v>
      </c>
      <c r="J281" s="2">
        <v>462.21</v>
      </c>
      <c r="K281" s="5">
        <v>43544</v>
      </c>
      <c r="L281" s="4">
        <v>0.83125000000000004</v>
      </c>
      <c r="M281" s="3" t="s">
        <v>59</v>
      </c>
      <c r="N281" s="2">
        <v>440.2</v>
      </c>
      <c r="O281" s="2">
        <v>4.7619047620000003</v>
      </c>
      <c r="P281" s="2">
        <v>22.01</v>
      </c>
      <c r="Q281" s="2">
        <v>9.6</v>
      </c>
      <c r="R281" s="3" t="str">
        <f t="shared" si="10"/>
        <v>March</v>
      </c>
      <c r="S281" s="3">
        <f t="shared" si="9"/>
        <v>3</v>
      </c>
      <c r="T281" s="3" t="str">
        <f>IF(tbl_sales[[#This Row],[Sales]]&gt;=500,"High Value","Standard")</f>
        <v>Standard</v>
      </c>
      <c r="U281" s="1" t="str">
        <f>IF(tbl_sales[[#This Row],[Order Size]]="High Value","High Value Order","Standard Order")</f>
        <v>Standard Order</v>
      </c>
      <c r="V281" s="1"/>
      <c r="W281" s="17" t="s">
        <v>37</v>
      </c>
      <c r="X281" s="17"/>
      <c r="Y281" s="6"/>
      <c r="Z281" s="1" t="s">
        <v>37</v>
      </c>
    </row>
    <row r="282" spans="1:26">
      <c r="A282" s="3" t="s">
        <v>1794</v>
      </c>
      <c r="B282" s="3" t="s">
        <v>22</v>
      </c>
      <c r="C282" s="3" t="s">
        <v>23</v>
      </c>
      <c r="D282" s="3" t="s">
        <v>41</v>
      </c>
      <c r="E282" s="3" t="s">
        <v>25</v>
      </c>
      <c r="F282" s="3" t="s">
        <v>53</v>
      </c>
      <c r="G282" s="2">
        <v>69.959999999999994</v>
      </c>
      <c r="H282" s="2">
        <v>8</v>
      </c>
      <c r="I282" s="2">
        <v>27.984000000000002</v>
      </c>
      <c r="J282" s="2">
        <v>587.66399999999999</v>
      </c>
      <c r="K282" s="5">
        <v>43511</v>
      </c>
      <c r="L282" s="4">
        <v>0.70902777777777781</v>
      </c>
      <c r="M282" s="3" t="s">
        <v>59</v>
      </c>
      <c r="N282" s="2">
        <v>559.67999999999995</v>
      </c>
      <c r="O282" s="2">
        <v>4.7619047620000003</v>
      </c>
      <c r="P282" s="2">
        <v>27.984000000000002</v>
      </c>
      <c r="Q282" s="2">
        <v>6.4</v>
      </c>
      <c r="R282" s="3" t="str">
        <f t="shared" si="10"/>
        <v>February</v>
      </c>
      <c r="S282" s="3">
        <f t="shared" si="9"/>
        <v>2</v>
      </c>
      <c r="T282" s="3" t="str">
        <f>IF(tbl_sales[[#This Row],[Sales]]&gt;=500,"High Value","Standard")</f>
        <v>High Value</v>
      </c>
      <c r="U282" s="1" t="str">
        <f>IF(tbl_sales[[#This Row],[Order Size]]="High Value","High Value Order","Standard Order")</f>
        <v>High Value Order</v>
      </c>
      <c r="V282" s="1"/>
      <c r="W282" s="17" t="s">
        <v>37</v>
      </c>
      <c r="X282" s="17"/>
      <c r="Y282" s="6"/>
      <c r="Z282" s="1" t="s">
        <v>37</v>
      </c>
    </row>
    <row r="283" spans="1:26">
      <c r="A283" s="3" t="s">
        <v>1799</v>
      </c>
      <c r="B283" s="3" t="s">
        <v>39</v>
      </c>
      <c r="C283" s="3" t="s">
        <v>40</v>
      </c>
      <c r="D283" s="3" t="s">
        <v>41</v>
      </c>
      <c r="E283" s="3" t="s">
        <v>992</v>
      </c>
      <c r="F283" s="3" t="s">
        <v>53</v>
      </c>
      <c r="G283" s="2">
        <v>37</v>
      </c>
      <c r="H283" s="2">
        <v>1</v>
      </c>
      <c r="I283" s="2">
        <v>1.85</v>
      </c>
      <c r="J283" s="2">
        <v>38.85</v>
      </c>
      <c r="K283" s="5">
        <v>43530</v>
      </c>
      <c r="L283" s="4">
        <v>0.56180555555555556</v>
      </c>
      <c r="M283" s="3" t="s">
        <v>59</v>
      </c>
      <c r="N283" s="2">
        <v>37</v>
      </c>
      <c r="O283" s="2">
        <v>4.7619047620000003</v>
      </c>
      <c r="P283" s="2">
        <v>1.85</v>
      </c>
      <c r="Q283" s="2">
        <v>7.9</v>
      </c>
      <c r="R283" s="3" t="str">
        <f t="shared" si="10"/>
        <v>March</v>
      </c>
      <c r="S283" s="3">
        <f t="shared" si="9"/>
        <v>3</v>
      </c>
      <c r="T283" s="3" t="str">
        <f>IF(tbl_sales[[#This Row],[Sales]]&gt;=500,"High Value","Standard")</f>
        <v>Standard</v>
      </c>
      <c r="U283" s="1" t="str">
        <f>IF(tbl_sales[[#This Row],[Order Size]]="High Value","High Value Order","Standard Order")</f>
        <v>Standard Order</v>
      </c>
      <c r="V283" s="1"/>
      <c r="W283" s="17" t="s">
        <v>37</v>
      </c>
      <c r="X283" s="17"/>
      <c r="Y283" s="6"/>
      <c r="Z283" s="1" t="s">
        <v>37</v>
      </c>
    </row>
    <row r="284" spans="1:26">
      <c r="A284" s="3" t="s">
        <v>1804</v>
      </c>
      <c r="B284" s="3" t="s">
        <v>22</v>
      </c>
      <c r="C284" s="3" t="s">
        <v>23</v>
      </c>
      <c r="D284" s="3" t="s">
        <v>41</v>
      </c>
      <c r="E284" s="3" t="s">
        <v>25</v>
      </c>
      <c r="F284" s="3" t="s">
        <v>72</v>
      </c>
      <c r="G284" s="2">
        <v>15.34</v>
      </c>
      <c r="H284" s="2">
        <v>1</v>
      </c>
      <c r="I284" s="2">
        <v>0.76700000000000002</v>
      </c>
      <c r="J284" s="2">
        <v>16.106999999999999</v>
      </c>
      <c r="K284" s="5">
        <v>43471</v>
      </c>
      <c r="L284" s="4">
        <v>0.46458333333333335</v>
      </c>
      <c r="M284" s="3" t="s">
        <v>49</v>
      </c>
      <c r="N284" s="2">
        <v>15.34</v>
      </c>
      <c r="O284" s="2">
        <v>4.7619047620000003</v>
      </c>
      <c r="P284" s="2">
        <v>0.76700000000000002</v>
      </c>
      <c r="Q284" s="2">
        <v>6.5</v>
      </c>
      <c r="R284" s="3" t="str">
        <f t="shared" si="10"/>
        <v>January</v>
      </c>
      <c r="S284" s="3">
        <f t="shared" si="9"/>
        <v>1</v>
      </c>
      <c r="T284" s="3" t="str">
        <f>IF(tbl_sales[[#This Row],[Sales]]&gt;=500,"High Value","Standard")</f>
        <v>Standard</v>
      </c>
      <c r="U284" s="1" t="str">
        <f>IF(tbl_sales[[#This Row],[Order Size]]="High Value","High Value Order","Standard Order")</f>
        <v>Standard Order</v>
      </c>
      <c r="V284" s="1"/>
      <c r="W284" s="17" t="s">
        <v>37</v>
      </c>
      <c r="X284" s="17"/>
      <c r="Y284" s="6"/>
      <c r="Z284" s="1" t="s">
        <v>37</v>
      </c>
    </row>
    <row r="285" spans="1:26">
      <c r="A285" s="3" t="s">
        <v>1809</v>
      </c>
      <c r="B285" s="3" t="s">
        <v>22</v>
      </c>
      <c r="C285" s="3" t="s">
        <v>23</v>
      </c>
      <c r="D285" s="3" t="s">
        <v>24</v>
      </c>
      <c r="E285" s="3" t="s">
        <v>992</v>
      </c>
      <c r="F285" s="3" t="s">
        <v>26</v>
      </c>
      <c r="G285" s="2">
        <v>99.83</v>
      </c>
      <c r="H285" s="2">
        <v>6</v>
      </c>
      <c r="I285" s="2">
        <v>29.949000000000002</v>
      </c>
      <c r="J285" s="2">
        <v>628.92899999999997</v>
      </c>
      <c r="K285" s="5">
        <v>43528</v>
      </c>
      <c r="L285" s="4">
        <v>0.62638888888888888</v>
      </c>
      <c r="M285" s="3" t="s">
        <v>33</v>
      </c>
      <c r="N285" s="2">
        <v>598.98</v>
      </c>
      <c r="O285" s="2">
        <v>4.7619047620000003</v>
      </c>
      <c r="P285" s="2">
        <v>29.949000000000002</v>
      </c>
      <c r="Q285" s="2">
        <v>8.5</v>
      </c>
      <c r="R285" s="3" t="str">
        <f t="shared" si="10"/>
        <v>March</v>
      </c>
      <c r="S285" s="3">
        <f t="shared" si="9"/>
        <v>3</v>
      </c>
      <c r="T285" s="3" t="str">
        <f>IF(tbl_sales[[#This Row],[Sales]]&gt;=500,"High Value","Standard")</f>
        <v>High Value</v>
      </c>
      <c r="U285" s="1" t="str">
        <f>IF(tbl_sales[[#This Row],[Order Size]]="High Value","High Value Order","Standard Order")</f>
        <v>High Value Order</v>
      </c>
      <c r="V285" s="1"/>
      <c r="W285" s="17" t="s">
        <v>37</v>
      </c>
      <c r="X285" s="17"/>
      <c r="Y285" s="6"/>
      <c r="Z285" s="1" t="s">
        <v>37</v>
      </c>
    </row>
    <row r="286" spans="1:26">
      <c r="A286" s="3" t="s">
        <v>1815</v>
      </c>
      <c r="B286" s="3" t="s">
        <v>22</v>
      </c>
      <c r="C286" s="3" t="s">
        <v>23</v>
      </c>
      <c r="D286" s="3" t="s">
        <v>24</v>
      </c>
      <c r="E286" s="3" t="s">
        <v>25</v>
      </c>
      <c r="F286" s="3" t="s">
        <v>26</v>
      </c>
      <c r="G286" s="2">
        <v>47.67</v>
      </c>
      <c r="H286" s="2">
        <v>4</v>
      </c>
      <c r="I286" s="2">
        <v>9.5340000000000007</v>
      </c>
      <c r="J286" s="2">
        <v>200.214</v>
      </c>
      <c r="K286" s="5">
        <v>43536</v>
      </c>
      <c r="L286" s="4">
        <v>0.59791666666666665</v>
      </c>
      <c r="M286" s="3" t="s">
        <v>49</v>
      </c>
      <c r="N286" s="2">
        <v>190.68</v>
      </c>
      <c r="O286" s="2">
        <v>4.7619047620000003</v>
      </c>
      <c r="P286" s="2">
        <v>9.5340000000000007</v>
      </c>
      <c r="Q286" s="2">
        <v>9.1</v>
      </c>
      <c r="R286" s="3" t="str">
        <f t="shared" si="10"/>
        <v>March</v>
      </c>
      <c r="S286" s="3">
        <f t="shared" si="9"/>
        <v>3</v>
      </c>
      <c r="T286" s="3" t="str">
        <f>IF(tbl_sales[[#This Row],[Sales]]&gt;=500,"High Value","Standard")</f>
        <v>Standard</v>
      </c>
      <c r="U286" s="1" t="str">
        <f>IF(tbl_sales[[#This Row],[Order Size]]="High Value","High Value Order","Standard Order")</f>
        <v>Standard Order</v>
      </c>
      <c r="V286" s="1"/>
      <c r="W286" s="17" t="s">
        <v>37</v>
      </c>
      <c r="X286" s="17"/>
      <c r="Y286" s="6"/>
      <c r="Z286" s="1" t="s">
        <v>37</v>
      </c>
    </row>
    <row r="287" spans="1:26">
      <c r="A287" s="3" t="s">
        <v>1821</v>
      </c>
      <c r="B287" s="3" t="s">
        <v>115</v>
      </c>
      <c r="C287" s="3" t="s">
        <v>116</v>
      </c>
      <c r="D287" s="3" t="s">
        <v>41</v>
      </c>
      <c r="E287" s="3" t="s">
        <v>992</v>
      </c>
      <c r="F287" s="3" t="s">
        <v>26</v>
      </c>
      <c r="G287" s="2">
        <v>66.680000000000007</v>
      </c>
      <c r="H287" s="2">
        <v>5</v>
      </c>
      <c r="I287" s="2">
        <v>16.670000000000002</v>
      </c>
      <c r="J287" s="2">
        <v>350.07</v>
      </c>
      <c r="K287" s="5">
        <v>43516</v>
      </c>
      <c r="L287" s="4">
        <v>0.75069444444444444</v>
      </c>
      <c r="M287" s="3" t="s">
        <v>49</v>
      </c>
      <c r="N287" s="2">
        <v>333.4</v>
      </c>
      <c r="O287" s="2">
        <v>4.7619047620000003</v>
      </c>
      <c r="P287" s="2">
        <v>16.670000000000002</v>
      </c>
      <c r="Q287" s="2">
        <v>7.6</v>
      </c>
      <c r="R287" s="3" t="str">
        <f t="shared" si="10"/>
        <v>February</v>
      </c>
      <c r="S287" s="3">
        <f t="shared" si="9"/>
        <v>2</v>
      </c>
      <c r="T287" s="3" t="str">
        <f>IF(tbl_sales[[#This Row],[Sales]]&gt;=500,"High Value","Standard")</f>
        <v>Standard</v>
      </c>
      <c r="U287" s="1" t="str">
        <f>IF(tbl_sales[[#This Row],[Order Size]]="High Value","High Value Order","Standard Order")</f>
        <v>Standard Order</v>
      </c>
      <c r="V287" s="1"/>
      <c r="W287" s="17" t="s">
        <v>37</v>
      </c>
      <c r="X287" s="17"/>
      <c r="Y287" s="6"/>
      <c r="Z287" s="1" t="s">
        <v>37</v>
      </c>
    </row>
    <row r="288" spans="1:26">
      <c r="A288" s="3" t="s">
        <v>1827</v>
      </c>
      <c r="B288" s="3" t="s">
        <v>39</v>
      </c>
      <c r="C288" s="3" t="s">
        <v>40</v>
      </c>
      <c r="D288" s="3" t="s">
        <v>24</v>
      </c>
      <c r="E288" s="3" t="s">
        <v>992</v>
      </c>
      <c r="F288" s="3" t="s">
        <v>53</v>
      </c>
      <c r="G288" s="2">
        <v>74.86</v>
      </c>
      <c r="H288" s="2">
        <v>1</v>
      </c>
      <c r="I288" s="2">
        <v>3.7429999999999999</v>
      </c>
      <c r="J288" s="2">
        <v>78.602999999999994</v>
      </c>
      <c r="K288" s="5">
        <v>43548</v>
      </c>
      <c r="L288" s="4">
        <v>0.61736111111111114</v>
      </c>
      <c r="M288" s="3" t="s">
        <v>49</v>
      </c>
      <c r="N288" s="2">
        <v>74.86</v>
      </c>
      <c r="O288" s="2">
        <v>4.7619047620000003</v>
      </c>
      <c r="P288" s="2">
        <v>3.7429999999999999</v>
      </c>
      <c r="Q288" s="2">
        <v>6.9</v>
      </c>
      <c r="R288" s="3" t="str">
        <f t="shared" si="10"/>
        <v>March</v>
      </c>
      <c r="S288" s="3">
        <f t="shared" si="9"/>
        <v>3</v>
      </c>
      <c r="T288" s="3" t="str">
        <f>IF(tbl_sales[[#This Row],[Sales]]&gt;=500,"High Value","Standard")</f>
        <v>Standard</v>
      </c>
      <c r="U288" s="1" t="str">
        <f>IF(tbl_sales[[#This Row],[Order Size]]="High Value","High Value Order","Standard Order")</f>
        <v>Standard Order</v>
      </c>
      <c r="V288" s="1"/>
      <c r="W288" s="17" t="s">
        <v>37</v>
      </c>
      <c r="X288" s="17"/>
      <c r="Y288" s="6"/>
      <c r="Z288" s="1" t="s">
        <v>37</v>
      </c>
    </row>
    <row r="289" spans="1:26">
      <c r="A289" s="3" t="s">
        <v>1831</v>
      </c>
      <c r="B289" s="3" t="s">
        <v>39</v>
      </c>
      <c r="C289" s="3" t="s">
        <v>40</v>
      </c>
      <c r="D289" s="3" t="s">
        <v>41</v>
      </c>
      <c r="E289" s="3" t="s">
        <v>25</v>
      </c>
      <c r="F289" s="3" t="s">
        <v>72</v>
      </c>
      <c r="G289" s="2">
        <v>23.75</v>
      </c>
      <c r="H289" s="2">
        <v>9</v>
      </c>
      <c r="I289" s="2">
        <v>10.6875</v>
      </c>
      <c r="J289" s="2">
        <v>224.4375</v>
      </c>
      <c r="K289" s="5">
        <v>43496</v>
      </c>
      <c r="L289" s="4">
        <v>0.50138888888888888</v>
      </c>
      <c r="M289" s="3" t="s">
        <v>49</v>
      </c>
      <c r="N289" s="2">
        <v>213.75</v>
      </c>
      <c r="O289" s="2">
        <v>4.7619047620000003</v>
      </c>
      <c r="P289" s="2">
        <v>10.6875</v>
      </c>
      <c r="Q289" s="2">
        <v>9.5</v>
      </c>
      <c r="R289" s="3" t="str">
        <f t="shared" si="10"/>
        <v>January</v>
      </c>
      <c r="S289" s="3">
        <f t="shared" si="9"/>
        <v>1</v>
      </c>
      <c r="T289" s="3" t="str">
        <f>IF(tbl_sales[[#This Row],[Sales]]&gt;=500,"High Value","Standard")</f>
        <v>Standard</v>
      </c>
      <c r="U289" s="1" t="str">
        <f>IF(tbl_sales[[#This Row],[Order Size]]="High Value","High Value Order","Standard Order")</f>
        <v>Standard Order</v>
      </c>
      <c r="V289" s="1"/>
      <c r="W289" s="17" t="s">
        <v>37</v>
      </c>
      <c r="X289" s="17"/>
      <c r="Y289" s="6"/>
      <c r="Z289" s="1" t="s">
        <v>37</v>
      </c>
    </row>
    <row r="290" spans="1:26">
      <c r="A290" s="3" t="s">
        <v>1835</v>
      </c>
      <c r="B290" s="3" t="s">
        <v>115</v>
      </c>
      <c r="C290" s="3" t="s">
        <v>116</v>
      </c>
      <c r="D290" s="3" t="s">
        <v>41</v>
      </c>
      <c r="E290" s="3" t="s">
        <v>25</v>
      </c>
      <c r="F290" s="3" t="s">
        <v>117</v>
      </c>
      <c r="G290" s="2">
        <v>48.51</v>
      </c>
      <c r="H290" s="2">
        <v>7</v>
      </c>
      <c r="I290" s="2">
        <v>16.9785</v>
      </c>
      <c r="J290" s="2">
        <v>356.54849999999999</v>
      </c>
      <c r="K290" s="5">
        <v>43490</v>
      </c>
      <c r="L290" s="4">
        <v>0.5625</v>
      </c>
      <c r="M290" s="3" t="s">
        <v>59</v>
      </c>
      <c r="N290" s="2">
        <v>339.57</v>
      </c>
      <c r="O290" s="2">
        <v>4.7619047620000003</v>
      </c>
      <c r="P290" s="2">
        <v>16.9785</v>
      </c>
      <c r="Q290" s="2">
        <v>5.2</v>
      </c>
      <c r="R290" s="3" t="str">
        <f t="shared" si="10"/>
        <v>January</v>
      </c>
      <c r="S290" s="3">
        <f t="shared" si="9"/>
        <v>1</v>
      </c>
      <c r="T290" s="3" t="str">
        <f>IF(tbl_sales[[#This Row],[Sales]]&gt;=500,"High Value","Standard")</f>
        <v>Standard</v>
      </c>
      <c r="U290" s="1" t="str">
        <f>IF(tbl_sales[[#This Row],[Order Size]]="High Value","High Value Order","Standard Order")</f>
        <v>Standard Order</v>
      </c>
      <c r="V290" s="1"/>
      <c r="W290" s="17" t="s">
        <v>37</v>
      </c>
      <c r="X290" s="17"/>
      <c r="Y290" s="6"/>
      <c r="Z290" s="1" t="s">
        <v>37</v>
      </c>
    </row>
    <row r="291" spans="1:26">
      <c r="A291" s="3" t="s">
        <v>1841</v>
      </c>
      <c r="B291" s="3" t="s">
        <v>22</v>
      </c>
      <c r="C291" s="3" t="s">
        <v>23</v>
      </c>
      <c r="D291" s="3" t="s">
        <v>24</v>
      </c>
      <c r="E291" s="3" t="s">
        <v>25</v>
      </c>
      <c r="F291" s="3" t="s">
        <v>53</v>
      </c>
      <c r="G291" s="2">
        <v>94.88</v>
      </c>
      <c r="H291" s="2">
        <v>7</v>
      </c>
      <c r="I291" s="2">
        <v>33.207999999999998</v>
      </c>
      <c r="J291" s="2">
        <v>697.36800000000005</v>
      </c>
      <c r="K291" s="5">
        <v>43499</v>
      </c>
      <c r="L291" s="4">
        <v>0.60972222222222228</v>
      </c>
      <c r="M291" s="3" t="s">
        <v>49</v>
      </c>
      <c r="N291" s="2">
        <v>664.16</v>
      </c>
      <c r="O291" s="2">
        <v>4.7619047620000003</v>
      </c>
      <c r="P291" s="2">
        <v>33.207999999999998</v>
      </c>
      <c r="Q291" s="2">
        <v>4.2</v>
      </c>
      <c r="R291" s="3" t="str">
        <f t="shared" si="10"/>
        <v>February</v>
      </c>
      <c r="S291" s="3">
        <f t="shared" si="9"/>
        <v>2</v>
      </c>
      <c r="T291" s="3" t="str">
        <f>IF(tbl_sales[[#This Row],[Sales]]&gt;=500,"High Value","Standard")</f>
        <v>High Value</v>
      </c>
      <c r="U291" s="1" t="str">
        <f>IF(tbl_sales[[#This Row],[Order Size]]="High Value","High Value Order","Standard Order")</f>
        <v>High Value Order</v>
      </c>
      <c r="V291" s="1"/>
      <c r="W291" s="17" t="s">
        <v>37</v>
      </c>
      <c r="X291" s="17"/>
      <c r="Y291" s="6"/>
      <c r="Z291" s="1" t="s">
        <v>37</v>
      </c>
    </row>
    <row r="292" spans="1:26">
      <c r="A292" s="3" t="s">
        <v>1847</v>
      </c>
      <c r="B292" s="3" t="s">
        <v>115</v>
      </c>
      <c r="C292" s="3" t="s">
        <v>116</v>
      </c>
      <c r="D292" s="3" t="s">
        <v>24</v>
      </c>
      <c r="E292" s="3" t="s">
        <v>992</v>
      </c>
      <c r="F292" s="3" t="s">
        <v>42</v>
      </c>
      <c r="G292" s="2">
        <v>40.299999999999997</v>
      </c>
      <c r="H292" s="2">
        <v>10</v>
      </c>
      <c r="I292" s="2">
        <v>20.149999999999999</v>
      </c>
      <c r="J292" s="2">
        <v>423.15</v>
      </c>
      <c r="K292" s="5">
        <v>43489</v>
      </c>
      <c r="L292" s="4">
        <v>0.73402777777777772</v>
      </c>
      <c r="M292" s="3" t="s">
        <v>59</v>
      </c>
      <c r="N292" s="2">
        <v>403</v>
      </c>
      <c r="O292" s="2">
        <v>4.7619047620000003</v>
      </c>
      <c r="P292" s="2">
        <v>20.149999999999999</v>
      </c>
      <c r="Q292" s="2">
        <v>7</v>
      </c>
      <c r="R292" s="3" t="str">
        <f t="shared" si="10"/>
        <v>January</v>
      </c>
      <c r="S292" s="3">
        <f t="shared" si="9"/>
        <v>1</v>
      </c>
      <c r="T292" s="3" t="str">
        <f>IF(tbl_sales[[#This Row],[Sales]]&gt;=500,"High Value","Standard")</f>
        <v>Standard</v>
      </c>
      <c r="U292" s="1" t="str">
        <f>IF(tbl_sales[[#This Row],[Order Size]]="High Value","High Value Order","Standard Order")</f>
        <v>Standard Order</v>
      </c>
      <c r="V292" s="1"/>
      <c r="W292" s="17" t="s">
        <v>37</v>
      </c>
      <c r="X292" s="17"/>
      <c r="Y292" s="6"/>
      <c r="Z292" s="1" t="s">
        <v>37</v>
      </c>
    </row>
    <row r="293" spans="1:26">
      <c r="A293" s="3" t="s">
        <v>1852</v>
      </c>
      <c r="B293" s="3" t="s">
        <v>39</v>
      </c>
      <c r="C293" s="3" t="s">
        <v>40</v>
      </c>
      <c r="D293" s="3" t="s">
        <v>41</v>
      </c>
      <c r="E293" s="3" t="s">
        <v>992</v>
      </c>
      <c r="F293" s="3" t="s">
        <v>42</v>
      </c>
      <c r="G293" s="2">
        <v>27.85</v>
      </c>
      <c r="H293" s="2">
        <v>7</v>
      </c>
      <c r="I293" s="2">
        <v>9.7475000000000005</v>
      </c>
      <c r="J293" s="2">
        <v>204.69749999999999</v>
      </c>
      <c r="K293" s="5">
        <v>43538</v>
      </c>
      <c r="L293" s="4">
        <v>0.72222222222222221</v>
      </c>
      <c r="M293" s="3" t="s">
        <v>33</v>
      </c>
      <c r="N293" s="2">
        <v>194.95</v>
      </c>
      <c r="O293" s="2">
        <v>4.7619047620000003</v>
      </c>
      <c r="P293" s="2">
        <v>9.7475000000000005</v>
      </c>
      <c r="Q293" s="2">
        <v>6</v>
      </c>
      <c r="R293" s="3" t="str">
        <f t="shared" si="10"/>
        <v>March</v>
      </c>
      <c r="S293" s="3">
        <f t="shared" si="9"/>
        <v>3</v>
      </c>
      <c r="T293" s="3" t="str">
        <f>IF(tbl_sales[[#This Row],[Sales]]&gt;=500,"High Value","Standard")</f>
        <v>Standard</v>
      </c>
      <c r="U293" s="1" t="str">
        <f>IF(tbl_sales[[#This Row],[Order Size]]="High Value","High Value Order","Standard Order")</f>
        <v>Standard Order</v>
      </c>
      <c r="V293" s="1"/>
      <c r="W293" s="17" t="s">
        <v>37</v>
      </c>
      <c r="X293" s="17"/>
      <c r="Y293" s="6"/>
      <c r="Z293" s="1" t="s">
        <v>37</v>
      </c>
    </row>
    <row r="294" spans="1:26">
      <c r="A294" s="3" t="s">
        <v>1858</v>
      </c>
      <c r="B294" s="3" t="s">
        <v>22</v>
      </c>
      <c r="C294" s="3" t="s">
        <v>23</v>
      </c>
      <c r="D294" s="3" t="s">
        <v>24</v>
      </c>
      <c r="E294" s="3" t="s">
        <v>25</v>
      </c>
      <c r="F294" s="3" t="s">
        <v>42</v>
      </c>
      <c r="G294" s="2">
        <v>62.48</v>
      </c>
      <c r="H294" s="2">
        <v>1</v>
      </c>
      <c r="I294" s="2">
        <v>3.1240000000000001</v>
      </c>
      <c r="J294" s="2">
        <v>65.603999999999999</v>
      </c>
      <c r="K294" s="5">
        <v>43514</v>
      </c>
      <c r="L294" s="4">
        <v>0.85347222222222219</v>
      </c>
      <c r="M294" s="3" t="s">
        <v>49</v>
      </c>
      <c r="N294" s="2">
        <v>62.48</v>
      </c>
      <c r="O294" s="2">
        <v>4.7619047620000003</v>
      </c>
      <c r="P294" s="2">
        <v>3.1240000000000001</v>
      </c>
      <c r="Q294" s="2">
        <v>4.7</v>
      </c>
      <c r="R294" s="3" t="str">
        <f t="shared" si="10"/>
        <v>February</v>
      </c>
      <c r="S294" s="3">
        <f t="shared" si="9"/>
        <v>2</v>
      </c>
      <c r="T294" s="3" t="str">
        <f>IF(tbl_sales[[#This Row],[Sales]]&gt;=500,"High Value","Standard")</f>
        <v>Standard</v>
      </c>
      <c r="U294" s="1" t="str">
        <f>IF(tbl_sales[[#This Row],[Order Size]]="High Value","High Value Order","Standard Order")</f>
        <v>Standard Order</v>
      </c>
      <c r="V294" s="1"/>
      <c r="W294" s="17" t="s">
        <v>37</v>
      </c>
      <c r="X294" s="17"/>
      <c r="Y294" s="6"/>
      <c r="Z294" s="1" t="s">
        <v>37</v>
      </c>
    </row>
    <row r="295" spans="1:26">
      <c r="A295" s="3" t="s">
        <v>1863</v>
      </c>
      <c r="B295" s="3" t="s">
        <v>22</v>
      </c>
      <c r="C295" s="3" t="s">
        <v>23</v>
      </c>
      <c r="D295" s="3" t="s">
        <v>24</v>
      </c>
      <c r="E295" s="3" t="s">
        <v>25</v>
      </c>
      <c r="F295" s="3" t="s">
        <v>117</v>
      </c>
      <c r="G295" s="2">
        <v>36.36</v>
      </c>
      <c r="H295" s="2">
        <v>2</v>
      </c>
      <c r="I295" s="2">
        <v>3.6360000000000001</v>
      </c>
      <c r="J295" s="2">
        <v>76.355999999999995</v>
      </c>
      <c r="K295" s="5">
        <v>43486</v>
      </c>
      <c r="L295" s="4">
        <v>0.41666666666666669</v>
      </c>
      <c r="M295" s="3" t="s">
        <v>49</v>
      </c>
      <c r="N295" s="2">
        <v>72.72</v>
      </c>
      <c r="O295" s="2">
        <v>4.7619047620000003</v>
      </c>
      <c r="P295" s="2">
        <v>3.6360000000000001</v>
      </c>
      <c r="Q295" s="2">
        <v>7.1</v>
      </c>
      <c r="R295" s="3" t="str">
        <f t="shared" si="10"/>
        <v>January</v>
      </c>
      <c r="S295" s="3">
        <f t="shared" si="9"/>
        <v>1</v>
      </c>
      <c r="T295" s="3" t="str">
        <f>IF(tbl_sales[[#This Row],[Sales]]&gt;=500,"High Value","Standard")</f>
        <v>Standard</v>
      </c>
      <c r="U295" s="1" t="str">
        <f>IF(tbl_sales[[#This Row],[Order Size]]="High Value","High Value Order","Standard Order")</f>
        <v>Standard Order</v>
      </c>
      <c r="V295" s="1"/>
      <c r="W295" s="17" t="s">
        <v>37</v>
      </c>
      <c r="X295" s="17"/>
      <c r="Y295" s="6"/>
      <c r="Z295" s="1" t="s">
        <v>37</v>
      </c>
    </row>
    <row r="296" spans="1:26">
      <c r="A296" s="3" t="s">
        <v>1868</v>
      </c>
      <c r="B296" s="3" t="s">
        <v>115</v>
      </c>
      <c r="C296" s="3" t="s">
        <v>116</v>
      </c>
      <c r="D296" s="3" t="s">
        <v>41</v>
      </c>
      <c r="E296" s="3" t="s">
        <v>992</v>
      </c>
      <c r="F296" s="3" t="s">
        <v>26</v>
      </c>
      <c r="G296" s="2">
        <v>18.11</v>
      </c>
      <c r="H296" s="2">
        <v>10</v>
      </c>
      <c r="I296" s="2">
        <v>9.0549999999999997</v>
      </c>
      <c r="J296" s="2">
        <v>190.155</v>
      </c>
      <c r="K296" s="5">
        <v>43537</v>
      </c>
      <c r="L296" s="4">
        <v>0.49027777777777776</v>
      </c>
      <c r="M296" s="3" t="s">
        <v>33</v>
      </c>
      <c r="N296" s="2">
        <v>181.1</v>
      </c>
      <c r="O296" s="2">
        <v>4.7619047620000003</v>
      </c>
      <c r="P296" s="2">
        <v>9.0549999999999997</v>
      </c>
      <c r="Q296" s="2">
        <v>5.9</v>
      </c>
      <c r="R296" s="3" t="str">
        <f t="shared" si="10"/>
        <v>March</v>
      </c>
      <c r="S296" s="3">
        <f t="shared" si="9"/>
        <v>3</v>
      </c>
      <c r="T296" s="3" t="str">
        <f>IF(tbl_sales[[#This Row],[Sales]]&gt;=500,"High Value","Standard")</f>
        <v>Standard</v>
      </c>
      <c r="U296" s="1" t="str">
        <f>IF(tbl_sales[[#This Row],[Order Size]]="High Value","High Value Order","Standard Order")</f>
        <v>Standard Order</v>
      </c>
      <c r="V296" s="1"/>
      <c r="W296" s="17" t="s">
        <v>37</v>
      </c>
      <c r="X296" s="17"/>
      <c r="Y296" s="6"/>
      <c r="Z296" s="1" t="s">
        <v>37</v>
      </c>
    </row>
    <row r="297" spans="1:26">
      <c r="A297" s="3" t="s">
        <v>1874</v>
      </c>
      <c r="B297" s="3" t="s">
        <v>39</v>
      </c>
      <c r="C297" s="3" t="s">
        <v>40</v>
      </c>
      <c r="D297" s="3" t="s">
        <v>24</v>
      </c>
      <c r="E297" s="3" t="s">
        <v>25</v>
      </c>
      <c r="F297" s="3" t="s">
        <v>42</v>
      </c>
      <c r="G297" s="2">
        <v>51.92</v>
      </c>
      <c r="H297" s="2">
        <v>5</v>
      </c>
      <c r="I297" s="2">
        <v>12.98</v>
      </c>
      <c r="J297" s="2">
        <v>272.58</v>
      </c>
      <c r="K297" s="5">
        <v>43527</v>
      </c>
      <c r="L297" s="4">
        <v>0.5708333333333333</v>
      </c>
      <c r="M297" s="3" t="s">
        <v>49</v>
      </c>
      <c r="N297" s="2">
        <v>259.60000000000002</v>
      </c>
      <c r="O297" s="2">
        <v>4.7619047620000003</v>
      </c>
      <c r="P297" s="2">
        <v>12.98</v>
      </c>
      <c r="Q297" s="2">
        <v>7.5</v>
      </c>
      <c r="R297" s="3" t="str">
        <f t="shared" si="10"/>
        <v>March</v>
      </c>
      <c r="S297" s="3">
        <f t="shared" si="9"/>
        <v>3</v>
      </c>
      <c r="T297" s="3" t="str">
        <f>IF(tbl_sales[[#This Row],[Sales]]&gt;=500,"High Value","Standard")</f>
        <v>Standard</v>
      </c>
      <c r="U297" s="1" t="str">
        <f>IF(tbl_sales[[#This Row],[Order Size]]="High Value","High Value Order","Standard Order")</f>
        <v>Standard Order</v>
      </c>
      <c r="V297" s="1"/>
      <c r="W297" s="17" t="s">
        <v>37</v>
      </c>
      <c r="X297" s="17"/>
      <c r="Y297" s="6"/>
      <c r="Z297" s="1" t="s">
        <v>37</v>
      </c>
    </row>
    <row r="298" spans="1:26">
      <c r="A298" s="3" t="s">
        <v>1880</v>
      </c>
      <c r="B298" s="3" t="s">
        <v>39</v>
      </c>
      <c r="C298" s="3" t="s">
        <v>40</v>
      </c>
      <c r="D298" s="3" t="s">
        <v>41</v>
      </c>
      <c r="E298" s="3" t="s">
        <v>992</v>
      </c>
      <c r="F298" s="3" t="s">
        <v>42</v>
      </c>
      <c r="G298" s="2">
        <v>28.84</v>
      </c>
      <c r="H298" s="2">
        <v>4</v>
      </c>
      <c r="I298" s="2">
        <v>5.7679999999999998</v>
      </c>
      <c r="J298" s="2">
        <v>121.128</v>
      </c>
      <c r="K298" s="5">
        <v>43553</v>
      </c>
      <c r="L298" s="4">
        <v>0.61388888888888893</v>
      </c>
      <c r="M298" s="3" t="s">
        <v>49</v>
      </c>
      <c r="N298" s="2">
        <v>115.36</v>
      </c>
      <c r="O298" s="2">
        <v>4.7619047620000003</v>
      </c>
      <c r="P298" s="2">
        <v>5.7679999999999998</v>
      </c>
      <c r="Q298" s="2">
        <v>6.4</v>
      </c>
      <c r="R298" s="3" t="str">
        <f t="shared" si="10"/>
        <v>March</v>
      </c>
      <c r="S298" s="3">
        <f t="shared" si="9"/>
        <v>3</v>
      </c>
      <c r="T298" s="3" t="str">
        <f>IF(tbl_sales[[#This Row],[Sales]]&gt;=500,"High Value","Standard")</f>
        <v>Standard</v>
      </c>
      <c r="U298" s="1" t="str">
        <f>IF(tbl_sales[[#This Row],[Order Size]]="High Value","High Value Order","Standard Order")</f>
        <v>Standard Order</v>
      </c>
      <c r="V298" s="1"/>
      <c r="W298" s="17" t="s">
        <v>37</v>
      </c>
      <c r="X298" s="17"/>
      <c r="Y298" s="6"/>
      <c r="Z298" s="1" t="s">
        <v>37</v>
      </c>
    </row>
    <row r="299" spans="1:26">
      <c r="A299" s="3" t="s">
        <v>1886</v>
      </c>
      <c r="B299" s="3" t="s">
        <v>22</v>
      </c>
      <c r="C299" s="3" t="s">
        <v>23</v>
      </c>
      <c r="D299" s="3" t="s">
        <v>24</v>
      </c>
      <c r="E299" s="3" t="s">
        <v>992</v>
      </c>
      <c r="F299" s="3" t="s">
        <v>53</v>
      </c>
      <c r="G299" s="2">
        <v>78.38</v>
      </c>
      <c r="H299" s="2">
        <v>6</v>
      </c>
      <c r="I299" s="2">
        <v>23.513999999999999</v>
      </c>
      <c r="J299" s="2">
        <v>493.79399999999998</v>
      </c>
      <c r="K299" s="5">
        <v>43475</v>
      </c>
      <c r="L299" s="4">
        <v>0.59444444444444444</v>
      </c>
      <c r="M299" s="3" t="s">
        <v>33</v>
      </c>
      <c r="N299" s="2">
        <v>470.28</v>
      </c>
      <c r="O299" s="2">
        <v>4.7619047620000003</v>
      </c>
      <c r="P299" s="2">
        <v>23.513999999999999</v>
      </c>
      <c r="Q299" s="2">
        <v>5.8</v>
      </c>
      <c r="R299" s="3" t="str">
        <f t="shared" si="10"/>
        <v>January</v>
      </c>
      <c r="S299" s="3">
        <f t="shared" si="9"/>
        <v>1</v>
      </c>
      <c r="T299" s="3" t="str">
        <f>IF(tbl_sales[[#This Row],[Sales]]&gt;=500,"High Value","Standard")</f>
        <v>Standard</v>
      </c>
      <c r="U299" s="1" t="str">
        <f>IF(tbl_sales[[#This Row],[Order Size]]="High Value","High Value Order","Standard Order")</f>
        <v>Standard Order</v>
      </c>
      <c r="V299" s="1"/>
      <c r="W299" s="17" t="s">
        <v>37</v>
      </c>
      <c r="X299" s="17"/>
      <c r="Y299" s="6"/>
      <c r="Z299" s="1" t="s">
        <v>37</v>
      </c>
    </row>
    <row r="300" spans="1:26">
      <c r="A300" s="3" t="s">
        <v>1892</v>
      </c>
      <c r="B300" s="3" t="s">
        <v>22</v>
      </c>
      <c r="C300" s="3" t="s">
        <v>23</v>
      </c>
      <c r="D300" s="3" t="s">
        <v>24</v>
      </c>
      <c r="E300" s="3" t="s">
        <v>992</v>
      </c>
      <c r="F300" s="3" t="s">
        <v>53</v>
      </c>
      <c r="G300" s="2">
        <v>60.01</v>
      </c>
      <c r="H300" s="2">
        <v>4</v>
      </c>
      <c r="I300" s="2">
        <v>12.002000000000001</v>
      </c>
      <c r="J300" s="2">
        <v>252.042</v>
      </c>
      <c r="K300" s="5">
        <v>43490</v>
      </c>
      <c r="L300" s="4">
        <v>0.66249999999999998</v>
      </c>
      <c r="M300" s="3" t="s">
        <v>49</v>
      </c>
      <c r="N300" s="2">
        <v>240.04</v>
      </c>
      <c r="O300" s="2">
        <v>4.7619047620000003</v>
      </c>
      <c r="P300" s="2">
        <v>12.002000000000001</v>
      </c>
      <c r="Q300" s="2">
        <v>4.5</v>
      </c>
      <c r="R300" s="3" t="str">
        <f t="shared" si="10"/>
        <v>January</v>
      </c>
      <c r="S300" s="3">
        <f t="shared" si="9"/>
        <v>1</v>
      </c>
      <c r="T300" s="3" t="str">
        <f>IF(tbl_sales[[#This Row],[Sales]]&gt;=500,"High Value","Standard")</f>
        <v>Standard</v>
      </c>
      <c r="U300" s="1" t="str">
        <f>IF(tbl_sales[[#This Row],[Order Size]]="High Value","High Value Order","Standard Order")</f>
        <v>Standard Order</v>
      </c>
      <c r="V300" s="1"/>
      <c r="W300" s="17" t="s">
        <v>37</v>
      </c>
      <c r="X300" s="17"/>
      <c r="Y300" s="6"/>
      <c r="Z300" s="1" t="s">
        <v>37</v>
      </c>
    </row>
    <row r="301" spans="1:26">
      <c r="A301" s="3" t="s">
        <v>1898</v>
      </c>
      <c r="B301" s="3" t="s">
        <v>39</v>
      </c>
      <c r="C301" s="3" t="s">
        <v>40</v>
      </c>
      <c r="D301" s="3" t="s">
        <v>24</v>
      </c>
      <c r="E301" s="3" t="s">
        <v>25</v>
      </c>
      <c r="F301" s="3" t="s">
        <v>53</v>
      </c>
      <c r="G301" s="2">
        <v>88.61</v>
      </c>
      <c r="H301" s="2">
        <v>1</v>
      </c>
      <c r="I301" s="2">
        <v>4.4305000000000003</v>
      </c>
      <c r="J301" s="2">
        <v>93.040499999999994</v>
      </c>
      <c r="K301" s="5">
        <v>43484</v>
      </c>
      <c r="L301" s="4">
        <v>0.43125000000000002</v>
      </c>
      <c r="M301" s="3" t="s">
        <v>49</v>
      </c>
      <c r="N301" s="2">
        <v>88.61</v>
      </c>
      <c r="O301" s="2">
        <v>4.7619047620000003</v>
      </c>
      <c r="P301" s="2">
        <v>4.4305000000000003</v>
      </c>
      <c r="Q301" s="2">
        <v>7.7</v>
      </c>
      <c r="R301" s="3" t="str">
        <f t="shared" si="10"/>
        <v>January</v>
      </c>
      <c r="S301" s="3">
        <f t="shared" si="9"/>
        <v>1</v>
      </c>
      <c r="T301" s="3" t="str">
        <f>IF(tbl_sales[[#This Row],[Sales]]&gt;=500,"High Value","Standard")</f>
        <v>Standard</v>
      </c>
      <c r="U301" s="1" t="str">
        <f>IF(tbl_sales[[#This Row],[Order Size]]="High Value","High Value Order","Standard Order")</f>
        <v>Standard Order</v>
      </c>
      <c r="V301" s="1"/>
      <c r="W301" s="17" t="s">
        <v>37</v>
      </c>
      <c r="X301" s="17"/>
      <c r="Y301" s="6"/>
      <c r="Z301" s="1" t="s">
        <v>37</v>
      </c>
    </row>
    <row r="302" spans="1:26">
      <c r="A302" s="3" t="s">
        <v>1903</v>
      </c>
      <c r="B302" s="3" t="s">
        <v>39</v>
      </c>
      <c r="C302" s="3" t="s">
        <v>40</v>
      </c>
      <c r="D302" s="3" t="s">
        <v>41</v>
      </c>
      <c r="E302" s="3" t="s">
        <v>992</v>
      </c>
      <c r="F302" s="3" t="s">
        <v>127</v>
      </c>
      <c r="G302" s="2">
        <v>99.82</v>
      </c>
      <c r="H302" s="2">
        <v>2</v>
      </c>
      <c r="I302" s="2">
        <v>9.9819999999999993</v>
      </c>
      <c r="J302" s="2">
        <v>209.62200000000001</v>
      </c>
      <c r="K302" s="5">
        <v>43467</v>
      </c>
      <c r="L302" s="4">
        <v>0.75624999999999998</v>
      </c>
      <c r="M302" s="3" t="s">
        <v>59</v>
      </c>
      <c r="N302" s="2">
        <v>199.64</v>
      </c>
      <c r="O302" s="2">
        <v>4.7619047620000003</v>
      </c>
      <c r="P302" s="2">
        <v>9.9819999999999993</v>
      </c>
      <c r="Q302" s="2">
        <v>6.7</v>
      </c>
      <c r="R302" s="3" t="str">
        <f t="shared" si="10"/>
        <v>January</v>
      </c>
      <c r="S302" s="3">
        <f t="shared" si="9"/>
        <v>1</v>
      </c>
      <c r="T302" s="3" t="str">
        <f>IF(tbl_sales[[#This Row],[Sales]]&gt;=500,"High Value","Standard")</f>
        <v>Standard</v>
      </c>
      <c r="U302" s="1" t="str">
        <f>IF(tbl_sales[[#This Row],[Order Size]]="High Value","High Value Order","Standard Order")</f>
        <v>Standard Order</v>
      </c>
      <c r="V302" s="1"/>
      <c r="W302" s="17" t="s">
        <v>37</v>
      </c>
      <c r="X302" s="17"/>
      <c r="Y302" s="6"/>
      <c r="Z302" s="1" t="s">
        <v>37</v>
      </c>
    </row>
    <row r="303" spans="1:26">
      <c r="A303" s="3" t="s">
        <v>1908</v>
      </c>
      <c r="B303" s="3" t="s">
        <v>115</v>
      </c>
      <c r="C303" s="3" t="s">
        <v>116</v>
      </c>
      <c r="D303" s="3" t="s">
        <v>24</v>
      </c>
      <c r="E303" s="3" t="s">
        <v>992</v>
      </c>
      <c r="F303" s="3" t="s">
        <v>26</v>
      </c>
      <c r="G303" s="2">
        <v>39.01</v>
      </c>
      <c r="H303" s="2">
        <v>1</v>
      </c>
      <c r="I303" s="2">
        <v>1.9504999999999999</v>
      </c>
      <c r="J303" s="2">
        <v>40.960500000000003</v>
      </c>
      <c r="K303" s="5">
        <v>43536</v>
      </c>
      <c r="L303" s="4">
        <v>0.69861111111111107</v>
      </c>
      <c r="M303" s="3" t="s">
        <v>59</v>
      </c>
      <c r="N303" s="2">
        <v>39.01</v>
      </c>
      <c r="O303" s="2">
        <v>4.7619047620000003</v>
      </c>
      <c r="P303" s="2">
        <v>1.9504999999999999</v>
      </c>
      <c r="Q303" s="2">
        <v>4.7</v>
      </c>
      <c r="R303" s="3" t="str">
        <f t="shared" si="10"/>
        <v>March</v>
      </c>
      <c r="S303" s="3">
        <f t="shared" si="9"/>
        <v>3</v>
      </c>
      <c r="T303" s="3" t="str">
        <f>IF(tbl_sales[[#This Row],[Sales]]&gt;=500,"High Value","Standard")</f>
        <v>Standard</v>
      </c>
      <c r="U303" s="1" t="str">
        <f>IF(tbl_sales[[#This Row],[Order Size]]="High Value","High Value Order","Standard Order")</f>
        <v>Standard Order</v>
      </c>
      <c r="V303" s="1"/>
      <c r="W303" s="17" t="s">
        <v>37</v>
      </c>
      <c r="X303" s="17"/>
      <c r="Y303" s="6"/>
      <c r="Z303" s="1" t="s">
        <v>37</v>
      </c>
    </row>
    <row r="304" spans="1:26">
      <c r="A304" s="3" t="s">
        <v>1913</v>
      </c>
      <c r="B304" s="3" t="s">
        <v>39</v>
      </c>
      <c r="C304" s="3" t="s">
        <v>40</v>
      </c>
      <c r="D304" s="3" t="s">
        <v>41</v>
      </c>
      <c r="E304" s="3" t="s">
        <v>992</v>
      </c>
      <c r="F304" s="3" t="s">
        <v>117</v>
      </c>
      <c r="G304" s="2">
        <v>48.61</v>
      </c>
      <c r="H304" s="2">
        <v>1</v>
      </c>
      <c r="I304" s="2">
        <v>2.4304999999999999</v>
      </c>
      <c r="J304" s="2">
        <v>51.040500000000002</v>
      </c>
      <c r="K304" s="5">
        <v>43521</v>
      </c>
      <c r="L304" s="4">
        <v>0.64652777777777781</v>
      </c>
      <c r="M304" s="3" t="s">
        <v>49</v>
      </c>
      <c r="N304" s="2">
        <v>48.61</v>
      </c>
      <c r="O304" s="2">
        <v>4.7619047620000003</v>
      </c>
      <c r="P304" s="2">
        <v>2.4304999999999999</v>
      </c>
      <c r="Q304" s="2">
        <v>4.4000000000000004</v>
      </c>
      <c r="R304" s="3" t="str">
        <f t="shared" si="10"/>
        <v>February</v>
      </c>
      <c r="S304" s="3">
        <f t="shared" si="9"/>
        <v>2</v>
      </c>
      <c r="T304" s="3" t="str">
        <f>IF(tbl_sales[[#This Row],[Sales]]&gt;=500,"High Value","Standard")</f>
        <v>Standard</v>
      </c>
      <c r="U304" s="1" t="str">
        <f>IF(tbl_sales[[#This Row],[Order Size]]="High Value","High Value Order","Standard Order")</f>
        <v>Standard Order</v>
      </c>
      <c r="V304" s="1"/>
      <c r="W304" s="17" t="s">
        <v>37</v>
      </c>
      <c r="X304" s="17"/>
      <c r="Y304" s="6"/>
      <c r="Z304" s="1" t="s">
        <v>37</v>
      </c>
    </row>
    <row r="305" spans="1:26">
      <c r="A305" s="3" t="s">
        <v>1917</v>
      </c>
      <c r="B305" s="3" t="s">
        <v>22</v>
      </c>
      <c r="C305" s="3" t="s">
        <v>23</v>
      </c>
      <c r="D305" s="3" t="s">
        <v>41</v>
      </c>
      <c r="E305" s="3" t="s">
        <v>25</v>
      </c>
      <c r="F305" s="3" t="s">
        <v>42</v>
      </c>
      <c r="G305" s="2">
        <v>51.19</v>
      </c>
      <c r="H305" s="2">
        <v>4</v>
      </c>
      <c r="I305" s="2">
        <v>10.238</v>
      </c>
      <c r="J305" s="2">
        <v>214.99799999999999</v>
      </c>
      <c r="K305" s="5">
        <v>43542</v>
      </c>
      <c r="L305" s="4">
        <v>0.71875</v>
      </c>
      <c r="M305" s="3" t="s">
        <v>59</v>
      </c>
      <c r="N305" s="2">
        <v>204.76</v>
      </c>
      <c r="O305" s="2">
        <v>4.7619047620000003</v>
      </c>
      <c r="P305" s="2">
        <v>10.238</v>
      </c>
      <c r="Q305" s="2">
        <v>4.7</v>
      </c>
      <c r="R305" s="3" t="str">
        <f t="shared" si="10"/>
        <v>March</v>
      </c>
      <c r="S305" s="3">
        <f t="shared" si="9"/>
        <v>3</v>
      </c>
      <c r="T305" s="3" t="str">
        <f>IF(tbl_sales[[#This Row],[Sales]]&gt;=500,"High Value","Standard")</f>
        <v>Standard</v>
      </c>
      <c r="U305" s="1" t="str">
        <f>IF(tbl_sales[[#This Row],[Order Size]]="High Value","High Value Order","Standard Order")</f>
        <v>Standard Order</v>
      </c>
      <c r="V305" s="1"/>
      <c r="W305" s="17" t="s">
        <v>37</v>
      </c>
      <c r="X305" s="17"/>
      <c r="Y305" s="6"/>
      <c r="Z305" s="1" t="s">
        <v>37</v>
      </c>
    </row>
    <row r="306" spans="1:26">
      <c r="A306" s="3" t="s">
        <v>1922</v>
      </c>
      <c r="B306" s="3" t="s">
        <v>115</v>
      </c>
      <c r="C306" s="3" t="s">
        <v>116</v>
      </c>
      <c r="D306" s="3" t="s">
        <v>41</v>
      </c>
      <c r="E306" s="3" t="s">
        <v>25</v>
      </c>
      <c r="F306" s="3" t="s">
        <v>42</v>
      </c>
      <c r="G306" s="2">
        <v>14.96</v>
      </c>
      <c r="H306" s="2">
        <v>8</v>
      </c>
      <c r="I306" s="2">
        <v>5.984</v>
      </c>
      <c r="J306" s="2">
        <v>125.664</v>
      </c>
      <c r="K306" s="5">
        <v>43519</v>
      </c>
      <c r="L306" s="4">
        <v>0.52013888888888893</v>
      </c>
      <c r="M306" s="3" t="s">
        <v>49</v>
      </c>
      <c r="N306" s="2">
        <v>119.68</v>
      </c>
      <c r="O306" s="2">
        <v>4.7619047620000003</v>
      </c>
      <c r="P306" s="2">
        <v>5.984</v>
      </c>
      <c r="Q306" s="2">
        <v>8.6</v>
      </c>
      <c r="R306" s="3" t="str">
        <f t="shared" si="10"/>
        <v>February</v>
      </c>
      <c r="S306" s="3">
        <f t="shared" si="9"/>
        <v>2</v>
      </c>
      <c r="T306" s="3" t="str">
        <f>IF(tbl_sales[[#This Row],[Sales]]&gt;=500,"High Value","Standard")</f>
        <v>Standard</v>
      </c>
      <c r="U306" s="1" t="str">
        <f>IF(tbl_sales[[#This Row],[Order Size]]="High Value","High Value Order","Standard Order")</f>
        <v>Standard Order</v>
      </c>
      <c r="V306" s="1"/>
      <c r="W306" s="17" t="s">
        <v>37</v>
      </c>
      <c r="X306" s="17"/>
      <c r="Y306" s="6"/>
      <c r="Z306" s="1" t="s">
        <v>37</v>
      </c>
    </row>
    <row r="307" spans="1:26">
      <c r="A307" s="3" t="s">
        <v>1927</v>
      </c>
      <c r="B307" s="3" t="s">
        <v>22</v>
      </c>
      <c r="C307" s="3" t="s">
        <v>23</v>
      </c>
      <c r="D307" s="3" t="s">
        <v>24</v>
      </c>
      <c r="E307" s="3" t="s">
        <v>992</v>
      </c>
      <c r="F307" s="3" t="s">
        <v>42</v>
      </c>
      <c r="G307" s="2">
        <v>72.2</v>
      </c>
      <c r="H307" s="2">
        <v>7</v>
      </c>
      <c r="I307" s="2">
        <v>25.27</v>
      </c>
      <c r="J307" s="2">
        <v>530.66999999999996</v>
      </c>
      <c r="K307" s="5">
        <v>43550</v>
      </c>
      <c r="L307" s="4">
        <v>0.84305555555555556</v>
      </c>
      <c r="M307" s="3" t="s">
        <v>33</v>
      </c>
      <c r="N307" s="2">
        <v>505.4</v>
      </c>
      <c r="O307" s="2">
        <v>4.7619047620000003</v>
      </c>
      <c r="P307" s="2">
        <v>25.27</v>
      </c>
      <c r="Q307" s="2">
        <v>4.3</v>
      </c>
      <c r="R307" s="3" t="str">
        <f t="shared" si="10"/>
        <v>March</v>
      </c>
      <c r="S307" s="3">
        <f t="shared" si="9"/>
        <v>3</v>
      </c>
      <c r="T307" s="3" t="str">
        <f>IF(tbl_sales[[#This Row],[Sales]]&gt;=500,"High Value","Standard")</f>
        <v>High Value</v>
      </c>
      <c r="U307" s="1" t="str">
        <f>IF(tbl_sales[[#This Row],[Order Size]]="High Value","High Value Order","Standard Order")</f>
        <v>High Value Order</v>
      </c>
      <c r="V307" s="1"/>
      <c r="W307" s="17" t="s">
        <v>37</v>
      </c>
      <c r="X307" s="17"/>
      <c r="Y307" s="6"/>
      <c r="Z307" s="1" t="s">
        <v>37</v>
      </c>
    </row>
    <row r="308" spans="1:26">
      <c r="A308" s="3" t="s">
        <v>1933</v>
      </c>
      <c r="B308" s="3" t="s">
        <v>22</v>
      </c>
      <c r="C308" s="3" t="s">
        <v>23</v>
      </c>
      <c r="D308" s="3" t="s">
        <v>41</v>
      </c>
      <c r="E308" s="3" t="s">
        <v>25</v>
      </c>
      <c r="F308" s="3" t="s">
        <v>72</v>
      </c>
      <c r="G308" s="2">
        <v>40.229999999999997</v>
      </c>
      <c r="H308" s="2">
        <v>7</v>
      </c>
      <c r="I308" s="2">
        <v>14.080500000000001</v>
      </c>
      <c r="J308" s="2">
        <v>295.69049999999999</v>
      </c>
      <c r="K308" s="5">
        <v>43554</v>
      </c>
      <c r="L308" s="4">
        <v>0.55694444444444446</v>
      </c>
      <c r="M308" s="3" t="s">
        <v>49</v>
      </c>
      <c r="N308" s="2">
        <v>281.61</v>
      </c>
      <c r="O308" s="2">
        <v>4.7619047620000003</v>
      </c>
      <c r="P308" s="2">
        <v>14.080500000000001</v>
      </c>
      <c r="Q308" s="2">
        <v>9.6</v>
      </c>
      <c r="R308" s="3" t="str">
        <f t="shared" si="10"/>
        <v>March</v>
      </c>
      <c r="S308" s="3">
        <f t="shared" si="9"/>
        <v>3</v>
      </c>
      <c r="T308" s="3" t="str">
        <f>IF(tbl_sales[[#This Row],[Sales]]&gt;=500,"High Value","Standard")</f>
        <v>Standard</v>
      </c>
      <c r="U308" s="1" t="str">
        <f>IF(tbl_sales[[#This Row],[Order Size]]="High Value","High Value Order","Standard Order")</f>
        <v>Standard Order</v>
      </c>
      <c r="V308" s="1"/>
      <c r="W308" s="17" t="s">
        <v>37</v>
      </c>
      <c r="X308" s="17"/>
      <c r="Y308" s="6"/>
      <c r="Z308" s="1" t="s">
        <v>37</v>
      </c>
    </row>
    <row r="309" spans="1:26">
      <c r="A309" s="3" t="s">
        <v>1938</v>
      </c>
      <c r="B309" s="3" t="s">
        <v>22</v>
      </c>
      <c r="C309" s="3" t="s">
        <v>23</v>
      </c>
      <c r="D309" s="3" t="s">
        <v>24</v>
      </c>
      <c r="E309" s="3" t="s">
        <v>25</v>
      </c>
      <c r="F309" s="3" t="s">
        <v>53</v>
      </c>
      <c r="G309" s="2">
        <v>88.79</v>
      </c>
      <c r="H309" s="2">
        <v>8</v>
      </c>
      <c r="I309" s="2">
        <v>35.515999999999998</v>
      </c>
      <c r="J309" s="2">
        <v>745.83600000000001</v>
      </c>
      <c r="K309" s="5">
        <v>43513</v>
      </c>
      <c r="L309" s="4">
        <v>0.71458333333333335</v>
      </c>
      <c r="M309" s="3" t="s">
        <v>49</v>
      </c>
      <c r="N309" s="2">
        <v>710.32</v>
      </c>
      <c r="O309" s="2">
        <v>4.7619047620000003</v>
      </c>
      <c r="P309" s="2">
        <v>35.515999999999998</v>
      </c>
      <c r="Q309" s="2">
        <v>4.0999999999999996</v>
      </c>
      <c r="R309" s="3" t="str">
        <f t="shared" si="10"/>
        <v>February</v>
      </c>
      <c r="S309" s="3">
        <f t="shared" si="9"/>
        <v>2</v>
      </c>
      <c r="T309" s="3" t="str">
        <f>IF(tbl_sales[[#This Row],[Sales]]&gt;=500,"High Value","Standard")</f>
        <v>High Value</v>
      </c>
      <c r="U309" s="1" t="str">
        <f>IF(tbl_sales[[#This Row],[Order Size]]="High Value","High Value Order","Standard Order")</f>
        <v>High Value Order</v>
      </c>
      <c r="V309" s="1"/>
      <c r="W309" s="17" t="s">
        <v>37</v>
      </c>
      <c r="X309" s="17"/>
      <c r="Y309" s="6"/>
      <c r="Z309" s="1" t="s">
        <v>37</v>
      </c>
    </row>
    <row r="310" spans="1:26">
      <c r="A310" s="3" t="s">
        <v>1944</v>
      </c>
      <c r="B310" s="3" t="s">
        <v>22</v>
      </c>
      <c r="C310" s="3" t="s">
        <v>23</v>
      </c>
      <c r="D310" s="3" t="s">
        <v>24</v>
      </c>
      <c r="E310" s="3" t="s">
        <v>25</v>
      </c>
      <c r="F310" s="3" t="s">
        <v>42</v>
      </c>
      <c r="G310" s="2">
        <v>26.48</v>
      </c>
      <c r="H310" s="2">
        <v>3</v>
      </c>
      <c r="I310" s="2">
        <v>3.972</v>
      </c>
      <c r="J310" s="2">
        <v>83.412000000000006</v>
      </c>
      <c r="K310" s="5">
        <v>43545</v>
      </c>
      <c r="L310" s="4">
        <v>0.44444444444444442</v>
      </c>
      <c r="M310" s="3" t="s">
        <v>33</v>
      </c>
      <c r="N310" s="2">
        <v>79.44</v>
      </c>
      <c r="O310" s="2">
        <v>4.7619047620000003</v>
      </c>
      <c r="P310" s="2">
        <v>3.972</v>
      </c>
      <c r="Q310" s="2">
        <v>4.7</v>
      </c>
      <c r="R310" s="3" t="str">
        <f t="shared" si="10"/>
        <v>March</v>
      </c>
      <c r="S310" s="3">
        <f t="shared" si="9"/>
        <v>3</v>
      </c>
      <c r="T310" s="3" t="str">
        <f>IF(tbl_sales[[#This Row],[Sales]]&gt;=500,"High Value","Standard")</f>
        <v>Standard</v>
      </c>
      <c r="U310" s="1" t="str">
        <f>IF(tbl_sales[[#This Row],[Order Size]]="High Value","High Value Order","Standard Order")</f>
        <v>Standard Order</v>
      </c>
      <c r="V310" s="1"/>
      <c r="W310" s="17" t="s">
        <v>37</v>
      </c>
      <c r="X310" s="17"/>
      <c r="Y310" s="6"/>
      <c r="Z310" s="1" t="s">
        <v>37</v>
      </c>
    </row>
    <row r="311" spans="1:26">
      <c r="A311" s="3" t="s">
        <v>1949</v>
      </c>
      <c r="B311" s="3" t="s">
        <v>22</v>
      </c>
      <c r="C311" s="3" t="s">
        <v>23</v>
      </c>
      <c r="D311" s="3" t="s">
        <v>41</v>
      </c>
      <c r="E311" s="3" t="s">
        <v>25</v>
      </c>
      <c r="F311" s="3" t="s">
        <v>127</v>
      </c>
      <c r="G311" s="2">
        <v>81.91</v>
      </c>
      <c r="H311" s="2">
        <v>2</v>
      </c>
      <c r="I311" s="2">
        <v>8.1910000000000007</v>
      </c>
      <c r="J311" s="2">
        <v>172.011</v>
      </c>
      <c r="K311" s="5">
        <v>43529</v>
      </c>
      <c r="L311" s="4">
        <v>0.73819444444444449</v>
      </c>
      <c r="M311" s="3" t="s">
        <v>49</v>
      </c>
      <c r="N311" s="2">
        <v>163.82</v>
      </c>
      <c r="O311" s="2">
        <v>4.7619047620000003</v>
      </c>
      <c r="P311" s="2">
        <v>8.1910000000000007</v>
      </c>
      <c r="Q311" s="2">
        <v>7.8</v>
      </c>
      <c r="R311" s="3" t="str">
        <f t="shared" si="10"/>
        <v>March</v>
      </c>
      <c r="S311" s="3">
        <f t="shared" si="9"/>
        <v>3</v>
      </c>
      <c r="T311" s="3" t="str">
        <f>IF(tbl_sales[[#This Row],[Sales]]&gt;=500,"High Value","Standard")</f>
        <v>Standard</v>
      </c>
      <c r="U311" s="1" t="str">
        <f>IF(tbl_sales[[#This Row],[Order Size]]="High Value","High Value Order","Standard Order")</f>
        <v>Standard Order</v>
      </c>
      <c r="V311" s="1"/>
      <c r="W311" s="17" t="s">
        <v>37</v>
      </c>
      <c r="X311" s="17"/>
      <c r="Y311" s="6"/>
      <c r="Z311" s="1" t="s">
        <v>37</v>
      </c>
    </row>
    <row r="312" spans="1:26">
      <c r="A312" s="3" t="s">
        <v>1955</v>
      </c>
      <c r="B312" s="3" t="s">
        <v>115</v>
      </c>
      <c r="C312" s="3" t="s">
        <v>116</v>
      </c>
      <c r="D312" s="3" t="s">
        <v>24</v>
      </c>
      <c r="E312" s="3" t="s">
        <v>992</v>
      </c>
      <c r="F312" s="3" t="s">
        <v>72</v>
      </c>
      <c r="G312" s="2">
        <v>79.930000000000007</v>
      </c>
      <c r="H312" s="2">
        <v>6</v>
      </c>
      <c r="I312" s="2">
        <v>23.978999999999999</v>
      </c>
      <c r="J312" s="2">
        <v>503.55900000000003</v>
      </c>
      <c r="K312" s="5">
        <v>43496</v>
      </c>
      <c r="L312" s="4">
        <v>0.58611111111111114</v>
      </c>
      <c r="M312" s="3" t="s">
        <v>49</v>
      </c>
      <c r="N312" s="2">
        <v>479.58</v>
      </c>
      <c r="O312" s="2">
        <v>4.7619047620000003</v>
      </c>
      <c r="P312" s="2">
        <v>23.978999999999999</v>
      </c>
      <c r="Q312" s="2">
        <v>5.5</v>
      </c>
      <c r="R312" s="3" t="str">
        <f t="shared" si="10"/>
        <v>January</v>
      </c>
      <c r="S312" s="3">
        <f t="shared" si="9"/>
        <v>1</v>
      </c>
      <c r="T312" s="3" t="str">
        <f>IF(tbl_sales[[#This Row],[Sales]]&gt;=500,"High Value","Standard")</f>
        <v>High Value</v>
      </c>
      <c r="U312" s="1" t="str">
        <f>IF(tbl_sales[[#This Row],[Order Size]]="High Value","High Value Order","Standard Order")</f>
        <v>High Value Order</v>
      </c>
      <c r="V312" s="1"/>
      <c r="W312" s="17" t="s">
        <v>37</v>
      </c>
      <c r="X312" s="17"/>
      <c r="Y312" s="6"/>
      <c r="Z312" s="1" t="s">
        <v>37</v>
      </c>
    </row>
    <row r="313" spans="1:26">
      <c r="A313" s="3" t="s">
        <v>1960</v>
      </c>
      <c r="B313" s="3" t="s">
        <v>39</v>
      </c>
      <c r="C313" s="3" t="s">
        <v>40</v>
      </c>
      <c r="D313" s="3" t="s">
        <v>24</v>
      </c>
      <c r="E313" s="3" t="s">
        <v>992</v>
      </c>
      <c r="F313" s="3" t="s">
        <v>127</v>
      </c>
      <c r="G313" s="2">
        <v>69.33</v>
      </c>
      <c r="H313" s="2">
        <v>2</v>
      </c>
      <c r="I313" s="2">
        <v>6.9329999999999998</v>
      </c>
      <c r="J313" s="2">
        <v>145.59299999999999</v>
      </c>
      <c r="K313" s="5">
        <v>43501</v>
      </c>
      <c r="L313" s="4">
        <v>0.79513888888888884</v>
      </c>
      <c r="M313" s="3" t="s">
        <v>33</v>
      </c>
      <c r="N313" s="2">
        <v>138.66</v>
      </c>
      <c r="O313" s="2">
        <v>4.7619047620000003</v>
      </c>
      <c r="P313" s="2">
        <v>6.9329999999999998</v>
      </c>
      <c r="Q313" s="2">
        <v>9.6999999999999993</v>
      </c>
      <c r="R313" s="3" t="str">
        <f t="shared" si="10"/>
        <v>February</v>
      </c>
      <c r="S313" s="3">
        <f t="shared" si="9"/>
        <v>2</v>
      </c>
      <c r="T313" s="3" t="str">
        <f>IF(tbl_sales[[#This Row],[Sales]]&gt;=500,"High Value","Standard")</f>
        <v>Standard</v>
      </c>
      <c r="U313" s="1" t="str">
        <f>IF(tbl_sales[[#This Row],[Order Size]]="High Value","High Value Order","Standard Order")</f>
        <v>Standard Order</v>
      </c>
      <c r="V313" s="1"/>
      <c r="W313" s="17" t="s">
        <v>37</v>
      </c>
      <c r="X313" s="17"/>
      <c r="Y313" s="6"/>
      <c r="Z313" s="1" t="s">
        <v>37</v>
      </c>
    </row>
    <row r="314" spans="1:26">
      <c r="A314" s="3" t="s">
        <v>1966</v>
      </c>
      <c r="B314" s="3" t="s">
        <v>22</v>
      </c>
      <c r="C314" s="3" t="s">
        <v>23</v>
      </c>
      <c r="D314" s="3" t="s">
        <v>24</v>
      </c>
      <c r="E314" s="3" t="s">
        <v>25</v>
      </c>
      <c r="F314" s="3" t="s">
        <v>117</v>
      </c>
      <c r="G314" s="2">
        <v>14.23</v>
      </c>
      <c r="H314" s="2">
        <v>5</v>
      </c>
      <c r="I314" s="2">
        <v>3.5575000000000001</v>
      </c>
      <c r="J314" s="2">
        <v>74.707499999999996</v>
      </c>
      <c r="K314" s="5">
        <v>43497</v>
      </c>
      <c r="L314" s="4">
        <v>0.42222222222222222</v>
      </c>
      <c r="M314" s="3" t="s">
        <v>59</v>
      </c>
      <c r="N314" s="2">
        <v>71.150000000000006</v>
      </c>
      <c r="O314" s="2">
        <v>4.7619047620000003</v>
      </c>
      <c r="P314" s="2">
        <v>3.5575000000000001</v>
      </c>
      <c r="Q314" s="2">
        <v>4.4000000000000004</v>
      </c>
      <c r="R314" s="3" t="str">
        <f t="shared" si="10"/>
        <v>February</v>
      </c>
      <c r="S314" s="3">
        <f t="shared" si="9"/>
        <v>2</v>
      </c>
      <c r="T314" s="3" t="str">
        <f>IF(tbl_sales[[#This Row],[Sales]]&gt;=500,"High Value","Standard")</f>
        <v>Standard</v>
      </c>
      <c r="U314" s="1" t="str">
        <f>IF(tbl_sales[[#This Row],[Order Size]]="High Value","High Value Order","Standard Order")</f>
        <v>Standard Order</v>
      </c>
      <c r="V314" s="1"/>
      <c r="W314" s="17" t="s">
        <v>37</v>
      </c>
      <c r="X314" s="17"/>
      <c r="Y314" s="6"/>
      <c r="Z314" s="1" t="s">
        <v>37</v>
      </c>
    </row>
    <row r="315" spans="1:26">
      <c r="A315" s="3" t="s">
        <v>1972</v>
      </c>
      <c r="B315" s="3" t="s">
        <v>22</v>
      </c>
      <c r="C315" s="3" t="s">
        <v>23</v>
      </c>
      <c r="D315" s="3" t="s">
        <v>24</v>
      </c>
      <c r="E315" s="3" t="s">
        <v>25</v>
      </c>
      <c r="F315" s="3" t="s">
        <v>26</v>
      </c>
      <c r="G315" s="2">
        <v>15.55</v>
      </c>
      <c r="H315" s="2">
        <v>9</v>
      </c>
      <c r="I315" s="2">
        <v>6.9974999999999996</v>
      </c>
      <c r="J315" s="2">
        <v>146.94749999999999</v>
      </c>
      <c r="K315" s="5">
        <v>43531</v>
      </c>
      <c r="L315" s="4">
        <v>0.55000000000000004</v>
      </c>
      <c r="M315" s="3" t="s">
        <v>49</v>
      </c>
      <c r="N315" s="2">
        <v>139.94999999999999</v>
      </c>
      <c r="O315" s="2">
        <v>4.7619047620000003</v>
      </c>
      <c r="P315" s="2">
        <v>6.9974999999999996</v>
      </c>
      <c r="Q315" s="2">
        <v>5</v>
      </c>
      <c r="R315" s="3" t="str">
        <f t="shared" si="10"/>
        <v>March</v>
      </c>
      <c r="S315" s="3">
        <f t="shared" si="9"/>
        <v>3</v>
      </c>
      <c r="T315" s="3" t="str">
        <f>IF(tbl_sales[[#This Row],[Sales]]&gt;=500,"High Value","Standard")</f>
        <v>Standard</v>
      </c>
      <c r="U315" s="1" t="str">
        <f>IF(tbl_sales[[#This Row],[Order Size]]="High Value","High Value Order","Standard Order")</f>
        <v>Standard Order</v>
      </c>
      <c r="V315" s="1"/>
      <c r="W315" s="17" t="s">
        <v>37</v>
      </c>
      <c r="X315" s="17"/>
      <c r="Y315" s="6"/>
      <c r="Z315" s="1" t="s">
        <v>37</v>
      </c>
    </row>
    <row r="316" spans="1:26">
      <c r="A316" s="3" t="s">
        <v>1978</v>
      </c>
      <c r="B316" s="3" t="s">
        <v>39</v>
      </c>
      <c r="C316" s="3" t="s">
        <v>40</v>
      </c>
      <c r="D316" s="3" t="s">
        <v>24</v>
      </c>
      <c r="E316" s="3" t="s">
        <v>25</v>
      </c>
      <c r="F316" s="3" t="s">
        <v>42</v>
      </c>
      <c r="G316" s="2">
        <v>78.13</v>
      </c>
      <c r="H316" s="2">
        <v>10</v>
      </c>
      <c r="I316" s="2">
        <v>39.064999999999998</v>
      </c>
      <c r="J316" s="2">
        <v>820.36500000000001</v>
      </c>
      <c r="K316" s="5">
        <v>43506</v>
      </c>
      <c r="L316" s="4">
        <v>0.86875000000000002</v>
      </c>
      <c r="M316" s="3" t="s">
        <v>49</v>
      </c>
      <c r="N316" s="2">
        <v>781.3</v>
      </c>
      <c r="O316" s="2">
        <v>4.7619047620000003</v>
      </c>
      <c r="P316" s="2">
        <v>39.064999999999998</v>
      </c>
      <c r="Q316" s="2">
        <v>4.4000000000000004</v>
      </c>
      <c r="R316" s="3" t="str">
        <f t="shared" si="10"/>
        <v>February</v>
      </c>
      <c r="S316" s="3">
        <f t="shared" si="9"/>
        <v>2</v>
      </c>
      <c r="T316" s="3" t="str">
        <f>IF(tbl_sales[[#This Row],[Sales]]&gt;=500,"High Value","Standard")</f>
        <v>High Value</v>
      </c>
      <c r="U316" s="1" t="str">
        <f>IF(tbl_sales[[#This Row],[Order Size]]="High Value","High Value Order","Standard Order")</f>
        <v>High Value Order</v>
      </c>
      <c r="V316" s="1"/>
      <c r="W316" s="17" t="s">
        <v>37</v>
      </c>
      <c r="X316" s="17"/>
      <c r="Y316" s="6"/>
      <c r="Z316" s="1" t="s">
        <v>37</v>
      </c>
    </row>
    <row r="317" spans="1:26">
      <c r="A317" s="3" t="s">
        <v>1984</v>
      </c>
      <c r="B317" s="3" t="s">
        <v>39</v>
      </c>
      <c r="C317" s="3" t="s">
        <v>40</v>
      </c>
      <c r="D317" s="3" t="s">
        <v>24</v>
      </c>
      <c r="E317" s="3" t="s">
        <v>992</v>
      </c>
      <c r="F317" s="3" t="s">
        <v>117</v>
      </c>
      <c r="G317" s="2">
        <v>99.37</v>
      </c>
      <c r="H317" s="2">
        <v>2</v>
      </c>
      <c r="I317" s="2">
        <v>9.9369999999999994</v>
      </c>
      <c r="J317" s="2">
        <v>208.67699999999999</v>
      </c>
      <c r="K317" s="5">
        <v>43510</v>
      </c>
      <c r="L317" s="4">
        <v>0.72847222222222219</v>
      </c>
      <c r="M317" s="3" t="s">
        <v>49</v>
      </c>
      <c r="N317" s="2">
        <v>198.74</v>
      </c>
      <c r="O317" s="2">
        <v>4.7619047620000003</v>
      </c>
      <c r="P317" s="2">
        <v>9.9369999999999994</v>
      </c>
      <c r="Q317" s="2">
        <v>5.2</v>
      </c>
      <c r="R317" s="3" t="str">
        <f t="shared" si="10"/>
        <v>February</v>
      </c>
      <c r="S317" s="3">
        <f t="shared" si="9"/>
        <v>2</v>
      </c>
      <c r="T317" s="3" t="str">
        <f>IF(tbl_sales[[#This Row],[Sales]]&gt;=500,"High Value","Standard")</f>
        <v>Standard</v>
      </c>
      <c r="U317" s="1" t="str">
        <f>IF(tbl_sales[[#This Row],[Order Size]]="High Value","High Value Order","Standard Order")</f>
        <v>Standard Order</v>
      </c>
      <c r="V317" s="1"/>
      <c r="W317" s="17" t="s">
        <v>37</v>
      </c>
      <c r="X317" s="17"/>
      <c r="Y317" s="6"/>
      <c r="Z317" s="1" t="s">
        <v>37</v>
      </c>
    </row>
    <row r="318" spans="1:26">
      <c r="A318" s="3" t="s">
        <v>1990</v>
      </c>
      <c r="B318" s="3" t="s">
        <v>39</v>
      </c>
      <c r="C318" s="3" t="s">
        <v>40</v>
      </c>
      <c r="D318" s="3" t="s">
        <v>24</v>
      </c>
      <c r="E318" s="3" t="s">
        <v>25</v>
      </c>
      <c r="F318" s="3" t="s">
        <v>117</v>
      </c>
      <c r="G318" s="2">
        <v>21.08</v>
      </c>
      <c r="H318" s="2">
        <v>3</v>
      </c>
      <c r="I318" s="2">
        <v>3.1619999999999999</v>
      </c>
      <c r="J318" s="2">
        <v>66.402000000000001</v>
      </c>
      <c r="K318" s="5">
        <v>43505</v>
      </c>
      <c r="L318" s="4">
        <v>0.43402777777777779</v>
      </c>
      <c r="M318" s="3" t="s">
        <v>49</v>
      </c>
      <c r="N318" s="2">
        <v>63.24</v>
      </c>
      <c r="O318" s="2">
        <v>4.7619047620000003</v>
      </c>
      <c r="P318" s="2">
        <v>3.1619999999999999</v>
      </c>
      <c r="Q318" s="2">
        <v>7.3</v>
      </c>
      <c r="R318" s="3" t="str">
        <f t="shared" si="10"/>
        <v>February</v>
      </c>
      <c r="S318" s="3">
        <f t="shared" si="9"/>
        <v>2</v>
      </c>
      <c r="T318" s="3" t="str">
        <f>IF(tbl_sales[[#This Row],[Sales]]&gt;=500,"High Value","Standard")</f>
        <v>Standard</v>
      </c>
      <c r="U318" s="1" t="str">
        <f>IF(tbl_sales[[#This Row],[Order Size]]="High Value","High Value Order","Standard Order")</f>
        <v>Standard Order</v>
      </c>
      <c r="V318" s="1"/>
      <c r="W318" s="17" t="s">
        <v>37</v>
      </c>
      <c r="X318" s="17"/>
      <c r="Y318" s="6"/>
      <c r="Z318" s="1" t="s">
        <v>37</v>
      </c>
    </row>
    <row r="319" spans="1:26">
      <c r="A319" s="3" t="s">
        <v>1995</v>
      </c>
      <c r="B319" s="3" t="s">
        <v>39</v>
      </c>
      <c r="C319" s="3" t="s">
        <v>40</v>
      </c>
      <c r="D319" s="3" t="s">
        <v>24</v>
      </c>
      <c r="E319" s="3" t="s">
        <v>992</v>
      </c>
      <c r="F319" s="3" t="s">
        <v>42</v>
      </c>
      <c r="G319" s="2">
        <v>74.790000000000006</v>
      </c>
      <c r="H319" s="2">
        <v>5</v>
      </c>
      <c r="I319" s="2">
        <v>18.697500000000002</v>
      </c>
      <c r="J319" s="2">
        <v>392.64749999999998</v>
      </c>
      <c r="K319" s="5">
        <v>43475</v>
      </c>
      <c r="L319" s="4">
        <v>0.48194444444444445</v>
      </c>
      <c r="M319" s="3" t="s">
        <v>49</v>
      </c>
      <c r="N319" s="2">
        <v>373.95</v>
      </c>
      <c r="O319" s="2">
        <v>4.7619047620000003</v>
      </c>
      <c r="P319" s="2">
        <v>18.697500000000002</v>
      </c>
      <c r="Q319" s="2">
        <v>4.9000000000000004</v>
      </c>
      <c r="R319" s="3" t="str">
        <f t="shared" si="10"/>
        <v>January</v>
      </c>
      <c r="S319" s="3">
        <f t="shared" si="9"/>
        <v>1</v>
      </c>
      <c r="T319" s="3" t="str">
        <f>IF(tbl_sales[[#This Row],[Sales]]&gt;=500,"High Value","Standard")</f>
        <v>Standard</v>
      </c>
      <c r="U319" s="1" t="str">
        <f>IF(tbl_sales[[#This Row],[Order Size]]="High Value","High Value Order","Standard Order")</f>
        <v>Standard Order</v>
      </c>
      <c r="V319" s="1"/>
      <c r="W319" s="17" t="s">
        <v>37</v>
      </c>
      <c r="X319" s="17"/>
      <c r="Y319" s="6"/>
      <c r="Z319" s="1" t="s">
        <v>37</v>
      </c>
    </row>
    <row r="320" spans="1:26">
      <c r="A320" s="3" t="s">
        <v>2001</v>
      </c>
      <c r="B320" s="3" t="s">
        <v>39</v>
      </c>
      <c r="C320" s="3" t="s">
        <v>40</v>
      </c>
      <c r="D320" s="3" t="s">
        <v>24</v>
      </c>
      <c r="E320" s="3" t="s">
        <v>25</v>
      </c>
      <c r="F320" s="3" t="s">
        <v>26</v>
      </c>
      <c r="G320" s="2">
        <v>29.67</v>
      </c>
      <c r="H320" s="2">
        <v>7</v>
      </c>
      <c r="I320" s="2">
        <v>10.384499999999999</v>
      </c>
      <c r="J320" s="2">
        <v>218.0745</v>
      </c>
      <c r="K320" s="5">
        <v>43535</v>
      </c>
      <c r="L320" s="4">
        <v>0.79027777777777775</v>
      </c>
      <c r="M320" s="3" t="s">
        <v>59</v>
      </c>
      <c r="N320" s="2">
        <v>207.69</v>
      </c>
      <c r="O320" s="2">
        <v>4.7619047620000003</v>
      </c>
      <c r="P320" s="2">
        <v>10.384499999999999</v>
      </c>
      <c r="Q320" s="2">
        <v>8.1</v>
      </c>
      <c r="R320" s="3" t="str">
        <f t="shared" si="10"/>
        <v>March</v>
      </c>
      <c r="S320" s="3">
        <f t="shared" si="9"/>
        <v>3</v>
      </c>
      <c r="T320" s="3" t="str">
        <f>IF(tbl_sales[[#This Row],[Sales]]&gt;=500,"High Value","Standard")</f>
        <v>Standard</v>
      </c>
      <c r="U320" s="1" t="str">
        <f>IF(tbl_sales[[#This Row],[Order Size]]="High Value","High Value Order","Standard Order")</f>
        <v>Standard Order</v>
      </c>
      <c r="V320" s="1"/>
      <c r="W320" s="17" t="s">
        <v>37</v>
      </c>
      <c r="X320" s="17"/>
      <c r="Y320" s="6"/>
      <c r="Z320" s="1" t="s">
        <v>37</v>
      </c>
    </row>
    <row r="321" spans="1:26">
      <c r="A321" s="3" t="s">
        <v>2007</v>
      </c>
      <c r="B321" s="3" t="s">
        <v>39</v>
      </c>
      <c r="C321" s="3" t="s">
        <v>40</v>
      </c>
      <c r="D321" s="3" t="s">
        <v>24</v>
      </c>
      <c r="E321" s="3" t="s">
        <v>992</v>
      </c>
      <c r="F321" s="3" t="s">
        <v>26</v>
      </c>
      <c r="G321" s="2">
        <v>44.07</v>
      </c>
      <c r="H321" s="2">
        <v>4</v>
      </c>
      <c r="I321" s="2">
        <v>8.8140000000000001</v>
      </c>
      <c r="J321" s="2">
        <v>185.09399999999999</v>
      </c>
      <c r="K321" s="5">
        <v>43514</v>
      </c>
      <c r="L321" s="4">
        <v>0.68611111111111112</v>
      </c>
      <c r="M321" s="3" t="s">
        <v>33</v>
      </c>
      <c r="N321" s="2">
        <v>176.28</v>
      </c>
      <c r="O321" s="2">
        <v>4.7619047620000003</v>
      </c>
      <c r="P321" s="2">
        <v>8.8140000000000001</v>
      </c>
      <c r="Q321" s="2">
        <v>8.4</v>
      </c>
      <c r="R321" s="3" t="str">
        <f t="shared" si="10"/>
        <v>February</v>
      </c>
      <c r="S321" s="3">
        <f t="shared" si="9"/>
        <v>2</v>
      </c>
      <c r="T321" s="3" t="str">
        <f>IF(tbl_sales[[#This Row],[Sales]]&gt;=500,"High Value","Standard")</f>
        <v>Standard</v>
      </c>
      <c r="U321" s="1" t="str">
        <f>IF(tbl_sales[[#This Row],[Order Size]]="High Value","High Value Order","Standard Order")</f>
        <v>Standard Order</v>
      </c>
      <c r="V321" s="1"/>
      <c r="W321" s="17" t="s">
        <v>37</v>
      </c>
      <c r="X321" s="17"/>
      <c r="Y321" s="6"/>
      <c r="Z321" s="1" t="s">
        <v>37</v>
      </c>
    </row>
    <row r="322" spans="1:26">
      <c r="A322" s="3" t="s">
        <v>2012</v>
      </c>
      <c r="B322" s="3" t="s">
        <v>39</v>
      </c>
      <c r="C322" s="3" t="s">
        <v>40</v>
      </c>
      <c r="D322" s="3" t="s">
        <v>41</v>
      </c>
      <c r="E322" s="3" t="s">
        <v>25</v>
      </c>
      <c r="F322" s="3" t="s">
        <v>117</v>
      </c>
      <c r="G322" s="2">
        <v>22.93</v>
      </c>
      <c r="H322" s="2">
        <v>9</v>
      </c>
      <c r="I322" s="2">
        <v>10.3185</v>
      </c>
      <c r="J322" s="2">
        <v>216.6885</v>
      </c>
      <c r="K322" s="5">
        <v>43522</v>
      </c>
      <c r="L322" s="4">
        <v>0.85138888888888886</v>
      </c>
      <c r="M322" s="3" t="s">
        <v>49</v>
      </c>
      <c r="N322" s="2">
        <v>206.37</v>
      </c>
      <c r="O322" s="2">
        <v>4.7619047620000003</v>
      </c>
      <c r="P322" s="2">
        <v>10.3185</v>
      </c>
      <c r="Q322" s="2">
        <v>5.5</v>
      </c>
      <c r="R322" s="3" t="str">
        <f t="shared" si="10"/>
        <v>February</v>
      </c>
      <c r="S322" s="3">
        <f t="shared" ref="S322:S385" si="11">MONTH(K322)</f>
        <v>2</v>
      </c>
      <c r="T322" s="3" t="str">
        <f>IF(tbl_sales[[#This Row],[Sales]]&gt;=500,"High Value","Standard")</f>
        <v>Standard</v>
      </c>
      <c r="U322" s="1" t="str">
        <f>IF(tbl_sales[[#This Row],[Order Size]]="High Value","High Value Order","Standard Order")</f>
        <v>Standard Order</v>
      </c>
      <c r="V322" s="1"/>
      <c r="W322" s="17" t="s">
        <v>37</v>
      </c>
      <c r="X322" s="17"/>
      <c r="Y322" s="6"/>
      <c r="Z322" s="1" t="s">
        <v>37</v>
      </c>
    </row>
    <row r="323" spans="1:26">
      <c r="A323" s="3" t="s">
        <v>2018</v>
      </c>
      <c r="B323" s="3" t="s">
        <v>39</v>
      </c>
      <c r="C323" s="3" t="s">
        <v>40</v>
      </c>
      <c r="D323" s="3" t="s">
        <v>41</v>
      </c>
      <c r="E323" s="3" t="s">
        <v>25</v>
      </c>
      <c r="F323" s="3" t="s">
        <v>26</v>
      </c>
      <c r="G323" s="2">
        <v>39.42</v>
      </c>
      <c r="H323" s="2">
        <v>1</v>
      </c>
      <c r="I323" s="2">
        <v>1.9710000000000001</v>
      </c>
      <c r="J323" s="2">
        <v>41.390999999999998</v>
      </c>
      <c r="K323" s="5">
        <v>43483</v>
      </c>
      <c r="L323" s="4">
        <v>0.63055555555555554</v>
      </c>
      <c r="M323" s="3" t="s">
        <v>49</v>
      </c>
      <c r="N323" s="2">
        <v>39.42</v>
      </c>
      <c r="O323" s="2">
        <v>4.7619047620000003</v>
      </c>
      <c r="P323" s="2">
        <v>1.9710000000000001</v>
      </c>
      <c r="Q323" s="2">
        <v>8.4</v>
      </c>
      <c r="R323" s="3" t="str">
        <f t="shared" ref="R323:R386" si="12">TEXT(K323,"mmmm")</f>
        <v>January</v>
      </c>
      <c r="S323" s="3">
        <f t="shared" si="11"/>
        <v>1</v>
      </c>
      <c r="T323" s="3" t="str">
        <f>IF(tbl_sales[[#This Row],[Sales]]&gt;=500,"High Value","Standard")</f>
        <v>Standard</v>
      </c>
      <c r="U323" s="1" t="str">
        <f>IF(tbl_sales[[#This Row],[Order Size]]="High Value","High Value Order","Standard Order")</f>
        <v>Standard Order</v>
      </c>
      <c r="V323" s="1"/>
      <c r="W323" s="17" t="s">
        <v>37</v>
      </c>
      <c r="X323" s="17"/>
      <c r="Y323" s="6"/>
      <c r="Z323" s="1" t="s">
        <v>37</v>
      </c>
    </row>
    <row r="324" spans="1:26">
      <c r="A324" s="3" t="s">
        <v>2023</v>
      </c>
      <c r="B324" s="3" t="s">
        <v>22</v>
      </c>
      <c r="C324" s="3" t="s">
        <v>23</v>
      </c>
      <c r="D324" s="3" t="s">
        <v>41</v>
      </c>
      <c r="E324" s="3" t="s">
        <v>992</v>
      </c>
      <c r="F324" s="3" t="s">
        <v>26</v>
      </c>
      <c r="G324" s="2">
        <v>15.26</v>
      </c>
      <c r="H324" s="2">
        <v>6</v>
      </c>
      <c r="I324" s="2">
        <v>4.5780000000000003</v>
      </c>
      <c r="J324" s="2">
        <v>96.138000000000005</v>
      </c>
      <c r="K324" s="5">
        <v>43511</v>
      </c>
      <c r="L324" s="4">
        <v>0.75208333333333333</v>
      </c>
      <c r="M324" s="3" t="s">
        <v>33</v>
      </c>
      <c r="N324" s="2">
        <v>91.56</v>
      </c>
      <c r="O324" s="2">
        <v>4.7619047620000003</v>
      </c>
      <c r="P324" s="2">
        <v>4.5780000000000003</v>
      </c>
      <c r="Q324" s="2">
        <v>9.8000000000000007</v>
      </c>
      <c r="R324" s="3" t="str">
        <f t="shared" si="12"/>
        <v>February</v>
      </c>
      <c r="S324" s="3">
        <f t="shared" si="11"/>
        <v>2</v>
      </c>
      <c r="T324" s="3" t="str">
        <f>IF(tbl_sales[[#This Row],[Sales]]&gt;=500,"High Value","Standard")</f>
        <v>Standard</v>
      </c>
      <c r="U324" s="1" t="str">
        <f>IF(tbl_sales[[#This Row],[Order Size]]="High Value","High Value Order","Standard Order")</f>
        <v>Standard Order</v>
      </c>
      <c r="V324" s="1"/>
      <c r="W324" s="17" t="s">
        <v>37</v>
      </c>
      <c r="X324" s="17"/>
      <c r="Y324" s="6"/>
      <c r="Z324" s="1" t="s">
        <v>37</v>
      </c>
    </row>
    <row r="325" spans="1:26">
      <c r="A325" s="3" t="s">
        <v>2028</v>
      </c>
      <c r="B325" s="3" t="s">
        <v>22</v>
      </c>
      <c r="C325" s="3" t="s">
        <v>23</v>
      </c>
      <c r="D325" s="3" t="s">
        <v>41</v>
      </c>
      <c r="E325" s="3" t="s">
        <v>25</v>
      </c>
      <c r="F325" s="3" t="s">
        <v>127</v>
      </c>
      <c r="G325" s="2">
        <v>61.77</v>
      </c>
      <c r="H325" s="2">
        <v>5</v>
      </c>
      <c r="I325" s="2">
        <v>15.442500000000001</v>
      </c>
      <c r="J325" s="2">
        <v>324.29250000000002</v>
      </c>
      <c r="K325" s="5">
        <v>43532</v>
      </c>
      <c r="L325" s="4">
        <v>0.55625000000000002</v>
      </c>
      <c r="M325" s="3" t="s">
        <v>49</v>
      </c>
      <c r="N325" s="2">
        <v>308.85000000000002</v>
      </c>
      <c r="O325" s="2">
        <v>4.7619047620000003</v>
      </c>
      <c r="P325" s="2">
        <v>15.442500000000001</v>
      </c>
      <c r="Q325" s="2">
        <v>6.7</v>
      </c>
      <c r="R325" s="3" t="str">
        <f t="shared" si="12"/>
        <v>March</v>
      </c>
      <c r="S325" s="3">
        <f t="shared" si="11"/>
        <v>3</v>
      </c>
      <c r="T325" s="3" t="str">
        <f>IF(tbl_sales[[#This Row],[Sales]]&gt;=500,"High Value","Standard")</f>
        <v>Standard</v>
      </c>
      <c r="U325" s="1" t="str">
        <f>IF(tbl_sales[[#This Row],[Order Size]]="High Value","High Value Order","Standard Order")</f>
        <v>Standard Order</v>
      </c>
      <c r="V325" s="1"/>
      <c r="W325" s="17" t="s">
        <v>37</v>
      </c>
      <c r="X325" s="17"/>
      <c r="Y325" s="6"/>
      <c r="Z325" s="1" t="s">
        <v>37</v>
      </c>
    </row>
    <row r="326" spans="1:26">
      <c r="A326" s="3" t="s">
        <v>2034</v>
      </c>
      <c r="B326" s="3" t="s">
        <v>22</v>
      </c>
      <c r="C326" s="3" t="s">
        <v>23</v>
      </c>
      <c r="D326" s="3" t="s">
        <v>41</v>
      </c>
      <c r="E326" s="3" t="s">
        <v>992</v>
      </c>
      <c r="F326" s="3" t="s">
        <v>53</v>
      </c>
      <c r="G326" s="2">
        <v>21.52</v>
      </c>
      <c r="H326" s="2">
        <v>6</v>
      </c>
      <c r="I326" s="2">
        <v>6.4560000000000004</v>
      </c>
      <c r="J326" s="2">
        <v>135.57599999999999</v>
      </c>
      <c r="K326" s="5">
        <v>43482</v>
      </c>
      <c r="L326" s="4">
        <v>0.53333333333333333</v>
      </c>
      <c r="M326" s="3" t="s">
        <v>59</v>
      </c>
      <c r="N326" s="2">
        <v>129.12</v>
      </c>
      <c r="O326" s="2">
        <v>4.7619047620000003</v>
      </c>
      <c r="P326" s="2">
        <v>6.4560000000000004</v>
      </c>
      <c r="Q326" s="2">
        <v>9.4</v>
      </c>
      <c r="R326" s="3" t="str">
        <f t="shared" si="12"/>
        <v>January</v>
      </c>
      <c r="S326" s="3">
        <f t="shared" si="11"/>
        <v>1</v>
      </c>
      <c r="T326" s="3" t="str">
        <f>IF(tbl_sales[[#This Row],[Sales]]&gt;=500,"High Value","Standard")</f>
        <v>Standard</v>
      </c>
      <c r="U326" s="1" t="str">
        <f>IF(tbl_sales[[#This Row],[Order Size]]="High Value","High Value Order","Standard Order")</f>
        <v>Standard Order</v>
      </c>
      <c r="V326" s="1"/>
      <c r="W326" s="17" t="s">
        <v>37</v>
      </c>
      <c r="X326" s="17"/>
      <c r="Y326" s="6"/>
      <c r="Z326" s="1" t="s">
        <v>37</v>
      </c>
    </row>
    <row r="327" spans="1:26">
      <c r="A327" s="3" t="s">
        <v>2040</v>
      </c>
      <c r="B327" s="3" t="s">
        <v>115</v>
      </c>
      <c r="C327" s="3" t="s">
        <v>116</v>
      </c>
      <c r="D327" s="3" t="s">
        <v>41</v>
      </c>
      <c r="E327" s="3" t="s">
        <v>992</v>
      </c>
      <c r="F327" s="3" t="s">
        <v>72</v>
      </c>
      <c r="G327" s="2">
        <v>97.74</v>
      </c>
      <c r="H327" s="2">
        <v>4</v>
      </c>
      <c r="I327" s="2">
        <v>19.547999999999998</v>
      </c>
      <c r="J327" s="2">
        <v>410.50799999999998</v>
      </c>
      <c r="K327" s="5">
        <v>43536</v>
      </c>
      <c r="L327" s="4">
        <v>0.82847222222222228</v>
      </c>
      <c r="M327" s="3" t="s">
        <v>33</v>
      </c>
      <c r="N327" s="2">
        <v>390.96</v>
      </c>
      <c r="O327" s="2">
        <v>4.7619047620000003</v>
      </c>
      <c r="P327" s="2">
        <v>19.547999999999998</v>
      </c>
      <c r="Q327" s="2">
        <v>6.4</v>
      </c>
      <c r="R327" s="3" t="str">
        <f t="shared" si="12"/>
        <v>March</v>
      </c>
      <c r="S327" s="3">
        <f t="shared" si="11"/>
        <v>3</v>
      </c>
      <c r="T327" s="3" t="str">
        <f>IF(tbl_sales[[#This Row],[Sales]]&gt;=500,"High Value","Standard")</f>
        <v>Standard</v>
      </c>
      <c r="U327" s="1" t="str">
        <f>IF(tbl_sales[[#This Row],[Order Size]]="High Value","High Value Order","Standard Order")</f>
        <v>Standard Order</v>
      </c>
      <c r="V327" s="1"/>
      <c r="W327" s="17" t="s">
        <v>37</v>
      </c>
      <c r="X327" s="17"/>
      <c r="Y327" s="6"/>
      <c r="Z327" s="1" t="s">
        <v>37</v>
      </c>
    </row>
    <row r="328" spans="1:26">
      <c r="A328" s="3" t="s">
        <v>2046</v>
      </c>
      <c r="B328" s="3" t="s">
        <v>22</v>
      </c>
      <c r="C328" s="3" t="s">
        <v>23</v>
      </c>
      <c r="D328" s="3" t="s">
        <v>24</v>
      </c>
      <c r="E328" s="3" t="s">
        <v>992</v>
      </c>
      <c r="F328" s="3" t="s">
        <v>117</v>
      </c>
      <c r="G328" s="2">
        <v>99.78</v>
      </c>
      <c r="H328" s="2">
        <v>5</v>
      </c>
      <c r="I328" s="2">
        <v>24.945</v>
      </c>
      <c r="J328" s="2">
        <v>523.84500000000003</v>
      </c>
      <c r="K328" s="5">
        <v>43533</v>
      </c>
      <c r="L328" s="4">
        <v>0.79791666666666672</v>
      </c>
      <c r="M328" s="3" t="s">
        <v>49</v>
      </c>
      <c r="N328" s="2">
        <v>498.9</v>
      </c>
      <c r="O328" s="2">
        <v>4.7619047620000003</v>
      </c>
      <c r="P328" s="2">
        <v>24.945</v>
      </c>
      <c r="Q328" s="2">
        <v>5.4</v>
      </c>
      <c r="R328" s="3" t="str">
        <f t="shared" si="12"/>
        <v>March</v>
      </c>
      <c r="S328" s="3">
        <f t="shared" si="11"/>
        <v>3</v>
      </c>
      <c r="T328" s="3" t="str">
        <f>IF(tbl_sales[[#This Row],[Sales]]&gt;=500,"High Value","Standard")</f>
        <v>High Value</v>
      </c>
      <c r="U328" s="1" t="str">
        <f>IF(tbl_sales[[#This Row],[Order Size]]="High Value","High Value Order","Standard Order")</f>
        <v>High Value Order</v>
      </c>
      <c r="V328" s="1"/>
      <c r="W328" s="17" t="s">
        <v>37</v>
      </c>
      <c r="X328" s="17"/>
      <c r="Y328" s="6"/>
      <c r="Z328" s="1" t="s">
        <v>37</v>
      </c>
    </row>
    <row r="329" spans="1:26">
      <c r="A329" s="3" t="s">
        <v>2052</v>
      </c>
      <c r="B329" s="3" t="s">
        <v>39</v>
      </c>
      <c r="C329" s="3" t="s">
        <v>40</v>
      </c>
      <c r="D329" s="3" t="s">
        <v>24</v>
      </c>
      <c r="E329" s="3" t="s">
        <v>992</v>
      </c>
      <c r="F329" s="3" t="s">
        <v>117</v>
      </c>
      <c r="G329" s="2">
        <v>94.26</v>
      </c>
      <c r="H329" s="2">
        <v>4</v>
      </c>
      <c r="I329" s="2">
        <v>18.852</v>
      </c>
      <c r="J329" s="2">
        <v>395.892</v>
      </c>
      <c r="K329" s="5">
        <v>43536</v>
      </c>
      <c r="L329" s="4">
        <v>0.6875</v>
      </c>
      <c r="M329" s="3" t="s">
        <v>49</v>
      </c>
      <c r="N329" s="2">
        <v>377.04</v>
      </c>
      <c r="O329" s="2">
        <v>4.7619047620000003</v>
      </c>
      <c r="P329" s="2">
        <v>18.852</v>
      </c>
      <c r="Q329" s="2">
        <v>8.6</v>
      </c>
      <c r="R329" s="3" t="str">
        <f t="shared" si="12"/>
        <v>March</v>
      </c>
      <c r="S329" s="3">
        <f t="shared" si="11"/>
        <v>3</v>
      </c>
      <c r="T329" s="3" t="str">
        <f>IF(tbl_sales[[#This Row],[Sales]]&gt;=500,"High Value","Standard")</f>
        <v>Standard</v>
      </c>
      <c r="U329" s="1" t="str">
        <f>IF(tbl_sales[[#This Row],[Order Size]]="High Value","High Value Order","Standard Order")</f>
        <v>Standard Order</v>
      </c>
      <c r="V329" s="1"/>
      <c r="W329" s="17" t="s">
        <v>37</v>
      </c>
      <c r="X329" s="17"/>
      <c r="Y329" s="6"/>
      <c r="Z329" s="1" t="s">
        <v>37</v>
      </c>
    </row>
    <row r="330" spans="1:26">
      <c r="A330" s="3" t="s">
        <v>2058</v>
      </c>
      <c r="B330" s="3" t="s">
        <v>115</v>
      </c>
      <c r="C330" s="3" t="s">
        <v>116</v>
      </c>
      <c r="D330" s="3" t="s">
        <v>24</v>
      </c>
      <c r="E330" s="3" t="s">
        <v>992</v>
      </c>
      <c r="F330" s="3" t="s">
        <v>26</v>
      </c>
      <c r="G330" s="2">
        <v>51.13</v>
      </c>
      <c r="H330" s="2">
        <v>4</v>
      </c>
      <c r="I330" s="2">
        <v>10.226000000000001</v>
      </c>
      <c r="J330" s="2">
        <v>214.74600000000001</v>
      </c>
      <c r="K330" s="5">
        <v>43490</v>
      </c>
      <c r="L330" s="4">
        <v>0.42430555555555555</v>
      </c>
      <c r="M330" s="3" t="s">
        <v>59</v>
      </c>
      <c r="N330" s="2">
        <v>204.52</v>
      </c>
      <c r="O330" s="2">
        <v>4.7619047620000003</v>
      </c>
      <c r="P330" s="2">
        <v>10.226000000000001</v>
      </c>
      <c r="Q330" s="2">
        <v>4</v>
      </c>
      <c r="R330" s="3" t="str">
        <f t="shared" si="12"/>
        <v>January</v>
      </c>
      <c r="S330" s="3">
        <f t="shared" si="11"/>
        <v>1</v>
      </c>
      <c r="T330" s="3" t="str">
        <f>IF(tbl_sales[[#This Row],[Sales]]&gt;=500,"High Value","Standard")</f>
        <v>Standard</v>
      </c>
      <c r="U330" s="1" t="str">
        <f>IF(tbl_sales[[#This Row],[Order Size]]="High Value","High Value Order","Standard Order")</f>
        <v>Standard Order</v>
      </c>
      <c r="V330" s="1"/>
      <c r="W330" s="17" t="s">
        <v>37</v>
      </c>
      <c r="X330" s="17"/>
      <c r="Y330" s="6"/>
      <c r="Z330" s="1" t="s">
        <v>37</v>
      </c>
    </row>
    <row r="331" spans="1:26">
      <c r="A331" s="3" t="s">
        <v>2063</v>
      </c>
      <c r="B331" s="3" t="s">
        <v>22</v>
      </c>
      <c r="C331" s="3" t="s">
        <v>23</v>
      </c>
      <c r="D331" s="3" t="s">
        <v>24</v>
      </c>
      <c r="E331" s="3" t="s">
        <v>992</v>
      </c>
      <c r="F331" s="3" t="s">
        <v>42</v>
      </c>
      <c r="G331" s="2">
        <v>36.36</v>
      </c>
      <c r="H331" s="2">
        <v>4</v>
      </c>
      <c r="I331" s="2">
        <v>7.2720000000000002</v>
      </c>
      <c r="J331" s="2">
        <v>152.71199999999999</v>
      </c>
      <c r="K331" s="5">
        <v>43549</v>
      </c>
      <c r="L331" s="4">
        <v>0.54652777777777772</v>
      </c>
      <c r="M331" s="3" t="s">
        <v>49</v>
      </c>
      <c r="N331" s="2">
        <v>145.44</v>
      </c>
      <c r="O331" s="2">
        <v>4.7619047620000003</v>
      </c>
      <c r="P331" s="2">
        <v>7.2720000000000002</v>
      </c>
      <c r="Q331" s="2">
        <v>7.6</v>
      </c>
      <c r="R331" s="3" t="str">
        <f t="shared" si="12"/>
        <v>March</v>
      </c>
      <c r="S331" s="3">
        <f t="shared" si="11"/>
        <v>3</v>
      </c>
      <c r="T331" s="3" t="str">
        <f>IF(tbl_sales[[#This Row],[Sales]]&gt;=500,"High Value","Standard")</f>
        <v>Standard</v>
      </c>
      <c r="U331" s="1" t="str">
        <f>IF(tbl_sales[[#This Row],[Order Size]]="High Value","High Value Order","Standard Order")</f>
        <v>Standard Order</v>
      </c>
      <c r="V331" s="1"/>
      <c r="W331" s="17" t="s">
        <v>37</v>
      </c>
      <c r="X331" s="17"/>
      <c r="Y331" s="6"/>
      <c r="Z331" s="1" t="s">
        <v>37</v>
      </c>
    </row>
    <row r="332" spans="1:26">
      <c r="A332" s="3" t="s">
        <v>2068</v>
      </c>
      <c r="B332" s="3" t="s">
        <v>115</v>
      </c>
      <c r="C332" s="3" t="s">
        <v>116</v>
      </c>
      <c r="D332" s="3" t="s">
        <v>41</v>
      </c>
      <c r="E332" s="3" t="s">
        <v>992</v>
      </c>
      <c r="F332" s="3" t="s">
        <v>53</v>
      </c>
      <c r="G332" s="2">
        <v>22.02</v>
      </c>
      <c r="H332" s="2">
        <v>9</v>
      </c>
      <c r="I332" s="2">
        <v>9.9090000000000007</v>
      </c>
      <c r="J332" s="2">
        <v>208.089</v>
      </c>
      <c r="K332" s="5">
        <v>43503</v>
      </c>
      <c r="L332" s="4">
        <v>0.78333333333333333</v>
      </c>
      <c r="M332" s="3" t="s">
        <v>49</v>
      </c>
      <c r="N332" s="2">
        <v>198.18</v>
      </c>
      <c r="O332" s="2">
        <v>4.7619047620000003</v>
      </c>
      <c r="P332" s="2">
        <v>9.9090000000000007</v>
      </c>
      <c r="Q332" s="2">
        <v>6.8</v>
      </c>
      <c r="R332" s="3" t="str">
        <f t="shared" si="12"/>
        <v>February</v>
      </c>
      <c r="S332" s="3">
        <f t="shared" si="11"/>
        <v>2</v>
      </c>
      <c r="T332" s="3" t="str">
        <f>IF(tbl_sales[[#This Row],[Sales]]&gt;=500,"High Value","Standard")</f>
        <v>Standard</v>
      </c>
      <c r="U332" s="1" t="str">
        <f>IF(tbl_sales[[#This Row],[Order Size]]="High Value","High Value Order","Standard Order")</f>
        <v>Standard Order</v>
      </c>
      <c r="V332" s="1"/>
      <c r="W332" s="17" t="s">
        <v>37</v>
      </c>
      <c r="X332" s="17"/>
      <c r="Y332" s="6"/>
      <c r="Z332" s="1" t="s">
        <v>37</v>
      </c>
    </row>
    <row r="333" spans="1:26">
      <c r="A333" s="3" t="s">
        <v>2074</v>
      </c>
      <c r="B333" s="3" t="s">
        <v>22</v>
      </c>
      <c r="C333" s="3" t="s">
        <v>23</v>
      </c>
      <c r="D333" s="3" t="s">
        <v>41</v>
      </c>
      <c r="E333" s="3" t="s">
        <v>992</v>
      </c>
      <c r="F333" s="3" t="s">
        <v>117</v>
      </c>
      <c r="G333" s="2">
        <v>32.9</v>
      </c>
      <c r="H333" s="2">
        <v>3</v>
      </c>
      <c r="I333" s="2">
        <v>4.9349999999999996</v>
      </c>
      <c r="J333" s="2">
        <v>103.63500000000001</v>
      </c>
      <c r="K333" s="5">
        <v>43513</v>
      </c>
      <c r="L333" s="4">
        <v>0.7270833333333333</v>
      </c>
      <c r="M333" s="3" t="s">
        <v>59</v>
      </c>
      <c r="N333" s="2">
        <v>98.7</v>
      </c>
      <c r="O333" s="2">
        <v>4.7619047620000003</v>
      </c>
      <c r="P333" s="2">
        <v>4.9349999999999996</v>
      </c>
      <c r="Q333" s="2">
        <v>9.1</v>
      </c>
      <c r="R333" s="3" t="str">
        <f t="shared" si="12"/>
        <v>February</v>
      </c>
      <c r="S333" s="3">
        <f t="shared" si="11"/>
        <v>2</v>
      </c>
      <c r="T333" s="3" t="str">
        <f>IF(tbl_sales[[#This Row],[Sales]]&gt;=500,"High Value","Standard")</f>
        <v>Standard</v>
      </c>
      <c r="U333" s="1" t="str">
        <f>IF(tbl_sales[[#This Row],[Order Size]]="High Value","High Value Order","Standard Order")</f>
        <v>Standard Order</v>
      </c>
      <c r="V333" s="1"/>
      <c r="W333" s="17" t="s">
        <v>37</v>
      </c>
      <c r="X333" s="17"/>
      <c r="Y333" s="6"/>
      <c r="Z333" s="1" t="s">
        <v>37</v>
      </c>
    </row>
    <row r="334" spans="1:26">
      <c r="A334" s="3" t="s">
        <v>2079</v>
      </c>
      <c r="B334" s="3" t="s">
        <v>22</v>
      </c>
      <c r="C334" s="3" t="s">
        <v>23</v>
      </c>
      <c r="D334" s="3" t="s">
        <v>41</v>
      </c>
      <c r="E334" s="3" t="s">
        <v>992</v>
      </c>
      <c r="F334" s="3" t="s">
        <v>127</v>
      </c>
      <c r="G334" s="2">
        <v>77.02</v>
      </c>
      <c r="H334" s="2">
        <v>5</v>
      </c>
      <c r="I334" s="2">
        <v>19.254999999999999</v>
      </c>
      <c r="J334" s="2">
        <v>404.35500000000002</v>
      </c>
      <c r="K334" s="5">
        <v>43499</v>
      </c>
      <c r="L334" s="4">
        <v>0.66597222222222219</v>
      </c>
      <c r="M334" s="3" t="s">
        <v>49</v>
      </c>
      <c r="N334" s="2">
        <v>385.1</v>
      </c>
      <c r="O334" s="2">
        <v>4.7619047620000003</v>
      </c>
      <c r="P334" s="2">
        <v>19.254999999999999</v>
      </c>
      <c r="Q334" s="2">
        <v>5.5</v>
      </c>
      <c r="R334" s="3" t="str">
        <f t="shared" si="12"/>
        <v>February</v>
      </c>
      <c r="S334" s="3">
        <f t="shared" si="11"/>
        <v>2</v>
      </c>
      <c r="T334" s="3" t="str">
        <f>IF(tbl_sales[[#This Row],[Sales]]&gt;=500,"High Value","Standard")</f>
        <v>Standard</v>
      </c>
      <c r="U334" s="1" t="str">
        <f>IF(tbl_sales[[#This Row],[Order Size]]="High Value","High Value Order","Standard Order")</f>
        <v>Standard Order</v>
      </c>
      <c r="V334" s="1"/>
      <c r="W334" s="17" t="s">
        <v>37</v>
      </c>
      <c r="X334" s="17"/>
      <c r="Y334" s="6"/>
      <c r="Z334" s="1" t="s">
        <v>37</v>
      </c>
    </row>
    <row r="335" spans="1:26">
      <c r="A335" s="3" t="s">
        <v>2085</v>
      </c>
      <c r="B335" s="3" t="s">
        <v>22</v>
      </c>
      <c r="C335" s="3" t="s">
        <v>23</v>
      </c>
      <c r="D335" s="3" t="s">
        <v>24</v>
      </c>
      <c r="E335" s="3" t="s">
        <v>992</v>
      </c>
      <c r="F335" s="3" t="s">
        <v>117</v>
      </c>
      <c r="G335" s="2">
        <v>23.48</v>
      </c>
      <c r="H335" s="2">
        <v>2</v>
      </c>
      <c r="I335" s="2">
        <v>2.3479999999999999</v>
      </c>
      <c r="J335" s="2">
        <v>49.308</v>
      </c>
      <c r="K335" s="5">
        <v>43538</v>
      </c>
      <c r="L335" s="4">
        <v>0.47291666666666665</v>
      </c>
      <c r="M335" s="3" t="s">
        <v>59</v>
      </c>
      <c r="N335" s="2">
        <v>46.96</v>
      </c>
      <c r="O335" s="2">
        <v>4.7619047620000003</v>
      </c>
      <c r="P335" s="2">
        <v>2.3479999999999999</v>
      </c>
      <c r="Q335" s="2">
        <v>7.9</v>
      </c>
      <c r="R335" s="3" t="str">
        <f t="shared" si="12"/>
        <v>March</v>
      </c>
      <c r="S335" s="3">
        <f t="shared" si="11"/>
        <v>3</v>
      </c>
      <c r="T335" s="3" t="str">
        <f>IF(tbl_sales[[#This Row],[Sales]]&gt;=500,"High Value","Standard")</f>
        <v>Standard</v>
      </c>
      <c r="U335" s="1" t="str">
        <f>IF(tbl_sales[[#This Row],[Order Size]]="High Value","High Value Order","Standard Order")</f>
        <v>Standard Order</v>
      </c>
      <c r="V335" s="1"/>
      <c r="W335" s="17" t="s">
        <v>37</v>
      </c>
      <c r="X335" s="17"/>
      <c r="Y335" s="6"/>
      <c r="Z335" s="1" t="s">
        <v>37</v>
      </c>
    </row>
    <row r="336" spans="1:26">
      <c r="A336" s="3" t="s">
        <v>2091</v>
      </c>
      <c r="B336" s="3" t="s">
        <v>39</v>
      </c>
      <c r="C336" s="3" t="s">
        <v>40</v>
      </c>
      <c r="D336" s="3" t="s">
        <v>24</v>
      </c>
      <c r="E336" s="3" t="s">
        <v>992</v>
      </c>
      <c r="F336" s="3" t="s">
        <v>72</v>
      </c>
      <c r="G336" s="2">
        <v>14.7</v>
      </c>
      <c r="H336" s="2">
        <v>5</v>
      </c>
      <c r="I336" s="2">
        <v>3.6749999999999998</v>
      </c>
      <c r="J336" s="2">
        <v>77.174999999999997</v>
      </c>
      <c r="K336" s="5">
        <v>43548</v>
      </c>
      <c r="L336" s="4">
        <v>0.57499999999999996</v>
      </c>
      <c r="M336" s="3" t="s">
        <v>33</v>
      </c>
      <c r="N336" s="2">
        <v>73.5</v>
      </c>
      <c r="O336" s="2">
        <v>4.7619047620000003</v>
      </c>
      <c r="P336" s="2">
        <v>3.6749999999999998</v>
      </c>
      <c r="Q336" s="2">
        <v>8.5</v>
      </c>
      <c r="R336" s="3" t="str">
        <f t="shared" si="12"/>
        <v>March</v>
      </c>
      <c r="S336" s="3">
        <f t="shared" si="11"/>
        <v>3</v>
      </c>
      <c r="T336" s="3" t="str">
        <f>IF(tbl_sales[[#This Row],[Sales]]&gt;=500,"High Value","Standard")</f>
        <v>Standard</v>
      </c>
      <c r="U336" s="1" t="str">
        <f>IF(tbl_sales[[#This Row],[Order Size]]="High Value","High Value Order","Standard Order")</f>
        <v>Standard Order</v>
      </c>
      <c r="V336" s="1"/>
      <c r="W336" s="17" t="s">
        <v>37</v>
      </c>
      <c r="X336" s="17"/>
      <c r="Y336" s="6"/>
      <c r="Z336" s="1" t="s">
        <v>37</v>
      </c>
    </row>
    <row r="337" spans="1:26">
      <c r="A337" s="3" t="s">
        <v>2096</v>
      </c>
      <c r="B337" s="3" t="s">
        <v>22</v>
      </c>
      <c r="C337" s="3" t="s">
        <v>23</v>
      </c>
      <c r="D337" s="3" t="s">
        <v>24</v>
      </c>
      <c r="E337" s="3" t="s">
        <v>25</v>
      </c>
      <c r="F337" s="3" t="s">
        <v>42</v>
      </c>
      <c r="G337" s="2">
        <v>28.45</v>
      </c>
      <c r="H337" s="2">
        <v>5</v>
      </c>
      <c r="I337" s="2">
        <v>7.1124999999999998</v>
      </c>
      <c r="J337" s="2">
        <v>149.36250000000001</v>
      </c>
      <c r="K337" s="5">
        <v>43545</v>
      </c>
      <c r="L337" s="4">
        <v>0.4284722222222222</v>
      </c>
      <c r="M337" s="3" t="s">
        <v>59</v>
      </c>
      <c r="N337" s="2">
        <v>142.25</v>
      </c>
      <c r="O337" s="2">
        <v>4.7619047620000003</v>
      </c>
      <c r="P337" s="2">
        <v>7.1124999999999998</v>
      </c>
      <c r="Q337" s="2">
        <v>9.1</v>
      </c>
      <c r="R337" s="3" t="str">
        <f t="shared" si="12"/>
        <v>March</v>
      </c>
      <c r="S337" s="3">
        <f t="shared" si="11"/>
        <v>3</v>
      </c>
      <c r="T337" s="3" t="str">
        <f>IF(tbl_sales[[#This Row],[Sales]]&gt;=500,"High Value","Standard")</f>
        <v>Standard</v>
      </c>
      <c r="U337" s="1" t="str">
        <f>IF(tbl_sales[[#This Row],[Order Size]]="High Value","High Value Order","Standard Order")</f>
        <v>Standard Order</v>
      </c>
      <c r="V337" s="1"/>
      <c r="W337" s="17" t="s">
        <v>37</v>
      </c>
      <c r="X337" s="17"/>
      <c r="Y337" s="6"/>
      <c r="Z337" s="1" t="s">
        <v>37</v>
      </c>
    </row>
    <row r="338" spans="1:26">
      <c r="A338" s="3" t="s">
        <v>2101</v>
      </c>
      <c r="B338" s="3" t="s">
        <v>22</v>
      </c>
      <c r="C338" s="3" t="s">
        <v>23</v>
      </c>
      <c r="D338" s="3" t="s">
        <v>41</v>
      </c>
      <c r="E338" s="3" t="s">
        <v>992</v>
      </c>
      <c r="F338" s="3" t="s">
        <v>127</v>
      </c>
      <c r="G338" s="2">
        <v>76.400000000000006</v>
      </c>
      <c r="H338" s="2">
        <v>9</v>
      </c>
      <c r="I338" s="2">
        <v>34.380000000000003</v>
      </c>
      <c r="J338" s="2">
        <v>721.98</v>
      </c>
      <c r="K338" s="5">
        <v>43543</v>
      </c>
      <c r="L338" s="4">
        <v>0.65902777777777777</v>
      </c>
      <c r="M338" s="3" t="s">
        <v>33</v>
      </c>
      <c r="N338" s="2">
        <v>687.6</v>
      </c>
      <c r="O338" s="2">
        <v>4.7619047620000003</v>
      </c>
      <c r="P338" s="2">
        <v>34.380000000000003</v>
      </c>
      <c r="Q338" s="2">
        <v>7.5</v>
      </c>
      <c r="R338" s="3" t="str">
        <f t="shared" si="12"/>
        <v>March</v>
      </c>
      <c r="S338" s="3">
        <f t="shared" si="11"/>
        <v>3</v>
      </c>
      <c r="T338" s="3" t="str">
        <f>IF(tbl_sales[[#This Row],[Sales]]&gt;=500,"High Value","Standard")</f>
        <v>High Value</v>
      </c>
      <c r="U338" s="1" t="str">
        <f>IF(tbl_sales[[#This Row],[Order Size]]="High Value","High Value Order","Standard Order")</f>
        <v>High Value Order</v>
      </c>
      <c r="V338" s="1"/>
      <c r="W338" s="17" t="s">
        <v>37</v>
      </c>
      <c r="X338" s="17"/>
      <c r="Y338" s="6"/>
      <c r="Z338" s="1" t="s">
        <v>37</v>
      </c>
    </row>
    <row r="339" spans="1:26">
      <c r="A339" s="3" t="s">
        <v>2106</v>
      </c>
      <c r="B339" s="3" t="s">
        <v>115</v>
      </c>
      <c r="C339" s="3" t="s">
        <v>116</v>
      </c>
      <c r="D339" s="3" t="s">
        <v>41</v>
      </c>
      <c r="E339" s="3" t="s">
        <v>25</v>
      </c>
      <c r="F339" s="3" t="s">
        <v>72</v>
      </c>
      <c r="G339" s="2">
        <v>57.95</v>
      </c>
      <c r="H339" s="2">
        <v>6</v>
      </c>
      <c r="I339" s="2">
        <v>17.385000000000002</v>
      </c>
      <c r="J339" s="2">
        <v>365.08499999999998</v>
      </c>
      <c r="K339" s="5">
        <v>43520</v>
      </c>
      <c r="L339" s="4">
        <v>0.54305555555555551</v>
      </c>
      <c r="M339" s="3" t="s">
        <v>49</v>
      </c>
      <c r="N339" s="2">
        <v>347.7</v>
      </c>
      <c r="O339" s="2">
        <v>4.7619047620000003</v>
      </c>
      <c r="P339" s="2">
        <v>17.385000000000002</v>
      </c>
      <c r="Q339" s="2">
        <v>5.2</v>
      </c>
      <c r="R339" s="3" t="str">
        <f t="shared" si="12"/>
        <v>February</v>
      </c>
      <c r="S339" s="3">
        <f t="shared" si="11"/>
        <v>2</v>
      </c>
      <c r="T339" s="3" t="str">
        <f>IF(tbl_sales[[#This Row],[Sales]]&gt;=500,"High Value","Standard")</f>
        <v>Standard</v>
      </c>
      <c r="U339" s="1" t="str">
        <f>IF(tbl_sales[[#This Row],[Order Size]]="High Value","High Value Order","Standard Order")</f>
        <v>Standard Order</v>
      </c>
      <c r="V339" s="1"/>
      <c r="W339" s="17" t="s">
        <v>37</v>
      </c>
      <c r="X339" s="17"/>
      <c r="Y339" s="6"/>
      <c r="Z339" s="1" t="s">
        <v>37</v>
      </c>
    </row>
    <row r="340" spans="1:26">
      <c r="A340" s="3" t="s">
        <v>2112</v>
      </c>
      <c r="B340" s="3" t="s">
        <v>39</v>
      </c>
      <c r="C340" s="3" t="s">
        <v>40</v>
      </c>
      <c r="D340" s="3" t="s">
        <v>41</v>
      </c>
      <c r="E340" s="3" t="s">
        <v>25</v>
      </c>
      <c r="F340" s="3" t="s">
        <v>42</v>
      </c>
      <c r="G340" s="2">
        <v>47.65</v>
      </c>
      <c r="H340" s="2">
        <v>3</v>
      </c>
      <c r="I340" s="2">
        <v>7.1475</v>
      </c>
      <c r="J340" s="2">
        <v>150.0975</v>
      </c>
      <c r="K340" s="5">
        <v>43552</v>
      </c>
      <c r="L340" s="4">
        <v>0.54027777777777775</v>
      </c>
      <c r="M340" s="3" t="s">
        <v>59</v>
      </c>
      <c r="N340" s="2">
        <v>142.94999999999999</v>
      </c>
      <c r="O340" s="2">
        <v>4.7619047620000003</v>
      </c>
      <c r="P340" s="2">
        <v>7.1475</v>
      </c>
      <c r="Q340" s="2">
        <v>9.5</v>
      </c>
      <c r="R340" s="3" t="str">
        <f t="shared" si="12"/>
        <v>March</v>
      </c>
      <c r="S340" s="3">
        <f t="shared" si="11"/>
        <v>3</v>
      </c>
      <c r="T340" s="3" t="str">
        <f>IF(tbl_sales[[#This Row],[Sales]]&gt;=500,"High Value","Standard")</f>
        <v>Standard</v>
      </c>
      <c r="U340" s="1" t="str">
        <f>IF(tbl_sales[[#This Row],[Order Size]]="High Value","High Value Order","Standard Order")</f>
        <v>Standard Order</v>
      </c>
      <c r="V340" s="1"/>
      <c r="W340" s="17" t="s">
        <v>37</v>
      </c>
      <c r="X340" s="17"/>
      <c r="Y340" s="6"/>
      <c r="Z340" s="1" t="s">
        <v>37</v>
      </c>
    </row>
    <row r="341" spans="1:26">
      <c r="A341" s="3" t="s">
        <v>2117</v>
      </c>
      <c r="B341" s="3" t="s">
        <v>115</v>
      </c>
      <c r="C341" s="3" t="s">
        <v>116</v>
      </c>
      <c r="D341" s="3" t="s">
        <v>24</v>
      </c>
      <c r="E341" s="3" t="s">
        <v>25</v>
      </c>
      <c r="F341" s="3" t="s">
        <v>117</v>
      </c>
      <c r="G341" s="2">
        <v>42.82</v>
      </c>
      <c r="H341" s="2">
        <v>9</v>
      </c>
      <c r="I341" s="2">
        <v>19.268999999999998</v>
      </c>
      <c r="J341" s="2">
        <v>404.649</v>
      </c>
      <c r="K341" s="5">
        <v>43501</v>
      </c>
      <c r="L341" s="4">
        <v>0.6430555555555556</v>
      </c>
      <c r="M341" s="3" t="s">
        <v>59</v>
      </c>
      <c r="N341" s="2">
        <v>385.38</v>
      </c>
      <c r="O341" s="2">
        <v>4.7619047620000003</v>
      </c>
      <c r="P341" s="2">
        <v>19.268999999999998</v>
      </c>
      <c r="Q341" s="2">
        <v>8.9</v>
      </c>
      <c r="R341" s="3" t="str">
        <f t="shared" si="12"/>
        <v>February</v>
      </c>
      <c r="S341" s="3">
        <f t="shared" si="11"/>
        <v>2</v>
      </c>
      <c r="T341" s="3" t="str">
        <f>IF(tbl_sales[[#This Row],[Sales]]&gt;=500,"High Value","Standard")</f>
        <v>Standard</v>
      </c>
      <c r="U341" s="1" t="str">
        <f>IF(tbl_sales[[#This Row],[Order Size]]="High Value","High Value Order","Standard Order")</f>
        <v>Standard Order</v>
      </c>
      <c r="V341" s="1"/>
      <c r="W341" s="17" t="s">
        <v>37</v>
      </c>
      <c r="X341" s="17"/>
      <c r="Y341" s="6"/>
      <c r="Z341" s="1" t="s">
        <v>37</v>
      </c>
    </row>
    <row r="342" spans="1:26">
      <c r="A342" s="3" t="s">
        <v>2122</v>
      </c>
      <c r="B342" s="3" t="s">
        <v>115</v>
      </c>
      <c r="C342" s="3" t="s">
        <v>116</v>
      </c>
      <c r="D342" s="3" t="s">
        <v>24</v>
      </c>
      <c r="E342" s="3" t="s">
        <v>992</v>
      </c>
      <c r="F342" s="3" t="s">
        <v>42</v>
      </c>
      <c r="G342" s="2">
        <v>48.09</v>
      </c>
      <c r="H342" s="2">
        <v>3</v>
      </c>
      <c r="I342" s="2">
        <v>7.2134999999999998</v>
      </c>
      <c r="J342" s="2">
        <v>151.48349999999999</v>
      </c>
      <c r="K342" s="5">
        <v>43506</v>
      </c>
      <c r="L342" s="4">
        <v>0.76597222222222228</v>
      </c>
      <c r="M342" s="3" t="s">
        <v>59</v>
      </c>
      <c r="N342" s="2">
        <v>144.27000000000001</v>
      </c>
      <c r="O342" s="2">
        <v>4.7619047620000003</v>
      </c>
      <c r="P342" s="2">
        <v>7.2134999999999998</v>
      </c>
      <c r="Q342" s="2">
        <v>7.8</v>
      </c>
      <c r="R342" s="3" t="str">
        <f t="shared" si="12"/>
        <v>February</v>
      </c>
      <c r="S342" s="3">
        <f t="shared" si="11"/>
        <v>2</v>
      </c>
      <c r="T342" s="3" t="str">
        <f>IF(tbl_sales[[#This Row],[Sales]]&gt;=500,"High Value","Standard")</f>
        <v>Standard</v>
      </c>
      <c r="U342" s="1" t="str">
        <f>IF(tbl_sales[[#This Row],[Order Size]]="High Value","High Value Order","Standard Order")</f>
        <v>Standard Order</v>
      </c>
      <c r="V342" s="1"/>
      <c r="W342" s="17" t="s">
        <v>37</v>
      </c>
      <c r="X342" s="17"/>
      <c r="Y342" s="6"/>
      <c r="Z342" s="1" t="s">
        <v>37</v>
      </c>
    </row>
    <row r="343" spans="1:26">
      <c r="A343" s="3" t="s">
        <v>2127</v>
      </c>
      <c r="B343" s="3" t="s">
        <v>115</v>
      </c>
      <c r="C343" s="3" t="s">
        <v>116</v>
      </c>
      <c r="D343" s="3" t="s">
        <v>24</v>
      </c>
      <c r="E343" s="3" t="s">
        <v>25</v>
      </c>
      <c r="F343" s="3" t="s">
        <v>26</v>
      </c>
      <c r="G343" s="2">
        <v>55.97</v>
      </c>
      <c r="H343" s="2">
        <v>7</v>
      </c>
      <c r="I343" s="2">
        <v>19.589500000000001</v>
      </c>
      <c r="J343" s="2">
        <v>411.37950000000001</v>
      </c>
      <c r="K343" s="5">
        <v>43529</v>
      </c>
      <c r="L343" s="4">
        <v>0.79583333333333328</v>
      </c>
      <c r="M343" s="3" t="s">
        <v>33</v>
      </c>
      <c r="N343" s="2">
        <v>391.79</v>
      </c>
      <c r="O343" s="2">
        <v>4.7619047620000003</v>
      </c>
      <c r="P343" s="2">
        <v>19.589500000000001</v>
      </c>
      <c r="Q343" s="2">
        <v>8.9</v>
      </c>
      <c r="R343" s="3" t="str">
        <f t="shared" si="12"/>
        <v>March</v>
      </c>
      <c r="S343" s="3">
        <f t="shared" si="11"/>
        <v>3</v>
      </c>
      <c r="T343" s="3" t="str">
        <f>IF(tbl_sales[[#This Row],[Sales]]&gt;=500,"High Value","Standard")</f>
        <v>Standard</v>
      </c>
      <c r="U343" s="1" t="str">
        <f>IF(tbl_sales[[#This Row],[Order Size]]="High Value","High Value Order","Standard Order")</f>
        <v>Standard Order</v>
      </c>
      <c r="V343" s="1"/>
      <c r="W343" s="17" t="s">
        <v>37</v>
      </c>
      <c r="X343" s="17"/>
      <c r="Y343" s="6"/>
      <c r="Z343" s="1" t="s">
        <v>37</v>
      </c>
    </row>
    <row r="344" spans="1:26">
      <c r="A344" s="3" t="s">
        <v>2132</v>
      </c>
      <c r="B344" s="3" t="s">
        <v>115</v>
      </c>
      <c r="C344" s="3" t="s">
        <v>116</v>
      </c>
      <c r="D344" s="3" t="s">
        <v>24</v>
      </c>
      <c r="E344" s="3" t="s">
        <v>25</v>
      </c>
      <c r="F344" s="3" t="s">
        <v>26</v>
      </c>
      <c r="G344" s="2">
        <v>76.900000000000006</v>
      </c>
      <c r="H344" s="2">
        <v>7</v>
      </c>
      <c r="I344" s="2">
        <v>26.914999999999999</v>
      </c>
      <c r="J344" s="2">
        <v>565.21500000000003</v>
      </c>
      <c r="K344" s="5">
        <v>43511</v>
      </c>
      <c r="L344" s="4">
        <v>0.84791666666666665</v>
      </c>
      <c r="M344" s="3" t="s">
        <v>49</v>
      </c>
      <c r="N344" s="2">
        <v>538.29999999999995</v>
      </c>
      <c r="O344" s="2">
        <v>4.7619047620000003</v>
      </c>
      <c r="P344" s="2">
        <v>26.914999999999999</v>
      </c>
      <c r="Q344" s="2">
        <v>7.7</v>
      </c>
      <c r="R344" s="3" t="str">
        <f t="shared" si="12"/>
        <v>February</v>
      </c>
      <c r="S344" s="3">
        <f t="shared" si="11"/>
        <v>2</v>
      </c>
      <c r="T344" s="3" t="str">
        <f>IF(tbl_sales[[#This Row],[Sales]]&gt;=500,"High Value","Standard")</f>
        <v>High Value</v>
      </c>
      <c r="U344" s="1" t="str">
        <f>IF(tbl_sales[[#This Row],[Order Size]]="High Value","High Value Order","Standard Order")</f>
        <v>High Value Order</v>
      </c>
      <c r="V344" s="1"/>
      <c r="W344" s="17" t="s">
        <v>37</v>
      </c>
      <c r="X344" s="17"/>
      <c r="Y344" s="6"/>
      <c r="Z344" s="1" t="s">
        <v>37</v>
      </c>
    </row>
    <row r="345" spans="1:26">
      <c r="A345" s="3" t="s">
        <v>2138</v>
      </c>
      <c r="B345" s="3" t="s">
        <v>39</v>
      </c>
      <c r="C345" s="3" t="s">
        <v>40</v>
      </c>
      <c r="D345" s="3" t="s">
        <v>41</v>
      </c>
      <c r="E345" s="3" t="s">
        <v>25</v>
      </c>
      <c r="F345" s="3" t="s">
        <v>117</v>
      </c>
      <c r="G345" s="2">
        <v>97.03</v>
      </c>
      <c r="H345" s="2">
        <v>5</v>
      </c>
      <c r="I345" s="2">
        <v>24.2575</v>
      </c>
      <c r="J345" s="2">
        <v>509.40750000000003</v>
      </c>
      <c r="K345" s="5">
        <v>43495</v>
      </c>
      <c r="L345" s="4">
        <v>0.68333333333333335</v>
      </c>
      <c r="M345" s="3" t="s">
        <v>33</v>
      </c>
      <c r="N345" s="2">
        <v>485.15</v>
      </c>
      <c r="O345" s="2">
        <v>4.7619047620000003</v>
      </c>
      <c r="P345" s="2">
        <v>24.2575</v>
      </c>
      <c r="Q345" s="2">
        <v>9.3000000000000007</v>
      </c>
      <c r="R345" s="3" t="str">
        <f t="shared" si="12"/>
        <v>January</v>
      </c>
      <c r="S345" s="3">
        <f t="shared" si="11"/>
        <v>1</v>
      </c>
      <c r="T345" s="3" t="str">
        <f>IF(tbl_sales[[#This Row],[Sales]]&gt;=500,"High Value","Standard")</f>
        <v>High Value</v>
      </c>
      <c r="U345" s="1" t="str">
        <f>IF(tbl_sales[[#This Row],[Order Size]]="High Value","High Value Order","Standard Order")</f>
        <v>High Value Order</v>
      </c>
      <c r="V345" s="1"/>
      <c r="W345" s="17" t="s">
        <v>37</v>
      </c>
      <c r="X345" s="17"/>
      <c r="Y345" s="6"/>
      <c r="Z345" s="1" t="s">
        <v>37</v>
      </c>
    </row>
    <row r="346" spans="1:26">
      <c r="A346" s="3" t="s">
        <v>2143</v>
      </c>
      <c r="B346" s="3" t="s">
        <v>22</v>
      </c>
      <c r="C346" s="3" t="s">
        <v>23</v>
      </c>
      <c r="D346" s="3" t="s">
        <v>41</v>
      </c>
      <c r="E346" s="3" t="s">
        <v>992</v>
      </c>
      <c r="F346" s="3" t="s">
        <v>72</v>
      </c>
      <c r="G346" s="2">
        <v>44.65</v>
      </c>
      <c r="H346" s="2">
        <v>3</v>
      </c>
      <c r="I346" s="2">
        <v>6.6974999999999998</v>
      </c>
      <c r="J346" s="2">
        <v>140.64750000000001</v>
      </c>
      <c r="K346" s="5">
        <v>43510</v>
      </c>
      <c r="L346" s="4">
        <v>0.62777777777777777</v>
      </c>
      <c r="M346" s="3" t="s">
        <v>49</v>
      </c>
      <c r="N346" s="2">
        <v>133.94999999999999</v>
      </c>
      <c r="O346" s="2">
        <v>4.7619047620000003</v>
      </c>
      <c r="P346" s="2">
        <v>6.6974999999999998</v>
      </c>
      <c r="Q346" s="2">
        <v>6.2</v>
      </c>
      <c r="R346" s="3" t="str">
        <f t="shared" si="12"/>
        <v>February</v>
      </c>
      <c r="S346" s="3">
        <f t="shared" si="11"/>
        <v>2</v>
      </c>
      <c r="T346" s="3" t="str">
        <f>IF(tbl_sales[[#This Row],[Sales]]&gt;=500,"High Value","Standard")</f>
        <v>Standard</v>
      </c>
      <c r="U346" s="1" t="str">
        <f>IF(tbl_sales[[#This Row],[Order Size]]="High Value","High Value Order","Standard Order")</f>
        <v>Standard Order</v>
      </c>
      <c r="V346" s="1"/>
      <c r="W346" s="17" t="s">
        <v>37</v>
      </c>
      <c r="X346" s="17"/>
      <c r="Y346" s="6"/>
      <c r="Z346" s="1" t="s">
        <v>37</v>
      </c>
    </row>
    <row r="347" spans="1:26">
      <c r="A347" s="3" t="s">
        <v>2149</v>
      </c>
      <c r="B347" s="3" t="s">
        <v>22</v>
      </c>
      <c r="C347" s="3" t="s">
        <v>23</v>
      </c>
      <c r="D347" s="3" t="s">
        <v>41</v>
      </c>
      <c r="E347" s="3" t="s">
        <v>25</v>
      </c>
      <c r="F347" s="3" t="s">
        <v>127</v>
      </c>
      <c r="G347" s="2">
        <v>77.930000000000007</v>
      </c>
      <c r="H347" s="2">
        <v>9</v>
      </c>
      <c r="I347" s="2">
        <v>35.0685</v>
      </c>
      <c r="J347" s="2">
        <v>736.43849999999998</v>
      </c>
      <c r="K347" s="5">
        <v>43523</v>
      </c>
      <c r="L347" s="4">
        <v>0.67361111111111116</v>
      </c>
      <c r="M347" s="3" t="s">
        <v>33</v>
      </c>
      <c r="N347" s="2">
        <v>701.37</v>
      </c>
      <c r="O347" s="2">
        <v>4.7619047620000003</v>
      </c>
      <c r="P347" s="2">
        <v>35.0685</v>
      </c>
      <c r="Q347" s="2">
        <v>7.6</v>
      </c>
      <c r="R347" s="3" t="str">
        <f t="shared" si="12"/>
        <v>February</v>
      </c>
      <c r="S347" s="3">
        <f t="shared" si="11"/>
        <v>2</v>
      </c>
      <c r="T347" s="3" t="str">
        <f>IF(tbl_sales[[#This Row],[Sales]]&gt;=500,"High Value","Standard")</f>
        <v>High Value</v>
      </c>
      <c r="U347" s="1" t="str">
        <f>IF(tbl_sales[[#This Row],[Order Size]]="High Value","High Value Order","Standard Order")</f>
        <v>High Value Order</v>
      </c>
      <c r="V347" s="1"/>
      <c r="W347" s="17" t="s">
        <v>37</v>
      </c>
      <c r="X347" s="17"/>
      <c r="Y347" s="6"/>
      <c r="Z347" s="1" t="s">
        <v>37</v>
      </c>
    </row>
    <row r="348" spans="1:26">
      <c r="A348" s="3" t="s">
        <v>2155</v>
      </c>
      <c r="B348" s="3" t="s">
        <v>22</v>
      </c>
      <c r="C348" s="3" t="s">
        <v>23</v>
      </c>
      <c r="D348" s="3" t="s">
        <v>24</v>
      </c>
      <c r="E348" s="3" t="s">
        <v>992</v>
      </c>
      <c r="F348" s="3" t="s">
        <v>42</v>
      </c>
      <c r="G348" s="2">
        <v>71.95</v>
      </c>
      <c r="H348" s="2">
        <v>1</v>
      </c>
      <c r="I348" s="2">
        <v>3.5975000000000001</v>
      </c>
      <c r="J348" s="2">
        <v>75.547499999999999</v>
      </c>
      <c r="K348" s="5">
        <v>43500</v>
      </c>
      <c r="L348" s="4">
        <v>0.50972222222222219</v>
      </c>
      <c r="M348" s="3" t="s">
        <v>49</v>
      </c>
      <c r="N348" s="2">
        <v>71.95</v>
      </c>
      <c r="O348" s="2">
        <v>4.7619047620000003</v>
      </c>
      <c r="P348" s="2">
        <v>3.5975000000000001</v>
      </c>
      <c r="Q348" s="2">
        <v>7.3</v>
      </c>
      <c r="R348" s="3" t="str">
        <f t="shared" si="12"/>
        <v>February</v>
      </c>
      <c r="S348" s="3">
        <f t="shared" si="11"/>
        <v>2</v>
      </c>
      <c r="T348" s="3" t="str">
        <f>IF(tbl_sales[[#This Row],[Sales]]&gt;=500,"High Value","Standard")</f>
        <v>Standard</v>
      </c>
      <c r="U348" s="1" t="str">
        <f>IF(tbl_sales[[#This Row],[Order Size]]="High Value","High Value Order","Standard Order")</f>
        <v>Standard Order</v>
      </c>
      <c r="V348" s="1"/>
      <c r="W348" s="17" t="s">
        <v>37</v>
      </c>
      <c r="X348" s="17"/>
      <c r="Y348" s="6"/>
      <c r="Z348" s="1" t="s">
        <v>37</v>
      </c>
    </row>
    <row r="349" spans="1:26">
      <c r="A349" s="3" t="s">
        <v>2161</v>
      </c>
      <c r="B349" s="3" t="s">
        <v>39</v>
      </c>
      <c r="C349" s="3" t="s">
        <v>40</v>
      </c>
      <c r="D349" s="3" t="s">
        <v>24</v>
      </c>
      <c r="E349" s="3" t="s">
        <v>25</v>
      </c>
      <c r="F349" s="3" t="s">
        <v>53</v>
      </c>
      <c r="G349" s="2">
        <v>89.25</v>
      </c>
      <c r="H349" s="2">
        <v>8</v>
      </c>
      <c r="I349" s="2">
        <v>35.700000000000003</v>
      </c>
      <c r="J349" s="2">
        <v>749.7</v>
      </c>
      <c r="K349" s="5">
        <v>43485</v>
      </c>
      <c r="L349" s="4">
        <v>0.42569444444444443</v>
      </c>
      <c r="M349" s="3" t="s">
        <v>49</v>
      </c>
      <c r="N349" s="2">
        <v>714</v>
      </c>
      <c r="O349" s="2">
        <v>4.7619047620000003</v>
      </c>
      <c r="P349" s="2">
        <v>35.700000000000003</v>
      </c>
      <c r="Q349" s="2">
        <v>4.7</v>
      </c>
      <c r="R349" s="3" t="str">
        <f t="shared" si="12"/>
        <v>January</v>
      </c>
      <c r="S349" s="3">
        <f t="shared" si="11"/>
        <v>1</v>
      </c>
      <c r="T349" s="3" t="str">
        <f>IF(tbl_sales[[#This Row],[Sales]]&gt;=500,"High Value","Standard")</f>
        <v>High Value</v>
      </c>
      <c r="U349" s="1" t="str">
        <f>IF(tbl_sales[[#This Row],[Order Size]]="High Value","High Value Order","Standard Order")</f>
        <v>High Value Order</v>
      </c>
      <c r="V349" s="1"/>
      <c r="W349" s="17" t="s">
        <v>37</v>
      </c>
      <c r="X349" s="17"/>
      <c r="Y349" s="6"/>
      <c r="Z349" s="1" t="s">
        <v>37</v>
      </c>
    </row>
    <row r="350" spans="1:26">
      <c r="A350" s="3" t="s">
        <v>2166</v>
      </c>
      <c r="B350" s="3" t="s">
        <v>22</v>
      </c>
      <c r="C350" s="3" t="s">
        <v>23</v>
      </c>
      <c r="D350" s="3" t="s">
        <v>41</v>
      </c>
      <c r="E350" s="3" t="s">
        <v>992</v>
      </c>
      <c r="F350" s="3" t="s">
        <v>42</v>
      </c>
      <c r="G350" s="2">
        <v>26.02</v>
      </c>
      <c r="H350" s="2">
        <v>7</v>
      </c>
      <c r="I350" s="2">
        <v>9.1069999999999993</v>
      </c>
      <c r="J350" s="2">
        <v>191.24700000000001</v>
      </c>
      <c r="K350" s="5">
        <v>43552</v>
      </c>
      <c r="L350" s="4">
        <v>0.73472222222222228</v>
      </c>
      <c r="M350" s="3" t="s">
        <v>49</v>
      </c>
      <c r="N350" s="2">
        <v>182.14</v>
      </c>
      <c r="O350" s="2">
        <v>4.7619047620000003</v>
      </c>
      <c r="P350" s="2">
        <v>9.1069999999999993</v>
      </c>
      <c r="Q350" s="2">
        <v>5.0999999999999996</v>
      </c>
      <c r="R350" s="3" t="str">
        <f t="shared" si="12"/>
        <v>March</v>
      </c>
      <c r="S350" s="3">
        <f t="shared" si="11"/>
        <v>3</v>
      </c>
      <c r="T350" s="3" t="str">
        <f>IF(tbl_sales[[#This Row],[Sales]]&gt;=500,"High Value","Standard")</f>
        <v>Standard</v>
      </c>
      <c r="U350" s="1" t="str">
        <f>IF(tbl_sales[[#This Row],[Order Size]]="High Value","High Value Order","Standard Order")</f>
        <v>Standard Order</v>
      </c>
      <c r="V350" s="1"/>
      <c r="W350" s="17" t="s">
        <v>37</v>
      </c>
      <c r="X350" s="17"/>
      <c r="Y350" s="6"/>
      <c r="Z350" s="1" t="s">
        <v>37</v>
      </c>
    </row>
    <row r="351" spans="1:26">
      <c r="A351" s="3" t="s">
        <v>2171</v>
      </c>
      <c r="B351" s="3" t="s">
        <v>115</v>
      </c>
      <c r="C351" s="3" t="s">
        <v>116</v>
      </c>
      <c r="D351" s="3" t="s">
        <v>41</v>
      </c>
      <c r="E351" s="3" t="s">
        <v>25</v>
      </c>
      <c r="F351" s="3" t="s">
        <v>26</v>
      </c>
      <c r="G351" s="2">
        <v>13.5</v>
      </c>
      <c r="H351" s="2">
        <v>10</v>
      </c>
      <c r="I351" s="2">
        <v>6.75</v>
      </c>
      <c r="J351" s="2">
        <v>141.75</v>
      </c>
      <c r="K351" s="5">
        <v>43523</v>
      </c>
      <c r="L351" s="4">
        <v>0.46250000000000002</v>
      </c>
      <c r="M351" s="3" t="s">
        <v>59</v>
      </c>
      <c r="N351" s="2">
        <v>135</v>
      </c>
      <c r="O351" s="2">
        <v>4.7619047620000003</v>
      </c>
      <c r="P351" s="2">
        <v>6.75</v>
      </c>
      <c r="Q351" s="2">
        <v>4.8</v>
      </c>
      <c r="R351" s="3" t="str">
        <f t="shared" si="12"/>
        <v>February</v>
      </c>
      <c r="S351" s="3">
        <f t="shared" si="11"/>
        <v>2</v>
      </c>
      <c r="T351" s="3" t="str">
        <f>IF(tbl_sales[[#This Row],[Sales]]&gt;=500,"High Value","Standard")</f>
        <v>Standard</v>
      </c>
      <c r="U351" s="1" t="str">
        <f>IF(tbl_sales[[#This Row],[Order Size]]="High Value","High Value Order","Standard Order")</f>
        <v>Standard Order</v>
      </c>
      <c r="V351" s="1"/>
      <c r="W351" s="17" t="s">
        <v>37</v>
      </c>
      <c r="X351" s="17"/>
      <c r="Y351" s="6"/>
      <c r="Z351" s="1" t="s">
        <v>37</v>
      </c>
    </row>
    <row r="352" spans="1:26">
      <c r="A352" s="3" t="s">
        <v>2177</v>
      </c>
      <c r="B352" s="3" t="s">
        <v>39</v>
      </c>
      <c r="C352" s="3" t="s">
        <v>40</v>
      </c>
      <c r="D352" s="3" t="s">
        <v>24</v>
      </c>
      <c r="E352" s="3" t="s">
        <v>25</v>
      </c>
      <c r="F352" s="3" t="s">
        <v>127</v>
      </c>
      <c r="G352" s="2">
        <v>99.3</v>
      </c>
      <c r="H352" s="2">
        <v>10</v>
      </c>
      <c r="I352" s="2">
        <v>49.65</v>
      </c>
      <c r="J352" s="2">
        <v>1042.6500000000001</v>
      </c>
      <c r="K352" s="5">
        <v>43511</v>
      </c>
      <c r="L352" s="4">
        <v>0.62013888888888891</v>
      </c>
      <c r="M352" s="3" t="s">
        <v>59</v>
      </c>
      <c r="N352" s="2">
        <v>993</v>
      </c>
      <c r="O352" s="2">
        <v>4.7619047620000003</v>
      </c>
      <c r="P352" s="2">
        <v>49.65</v>
      </c>
      <c r="Q352" s="2">
        <v>6.6</v>
      </c>
      <c r="R352" s="3" t="str">
        <f t="shared" si="12"/>
        <v>February</v>
      </c>
      <c r="S352" s="3">
        <f t="shared" si="11"/>
        <v>2</v>
      </c>
      <c r="T352" s="3" t="str">
        <f>IF(tbl_sales[[#This Row],[Sales]]&gt;=500,"High Value","Standard")</f>
        <v>High Value</v>
      </c>
      <c r="U352" s="1" t="str">
        <f>IF(tbl_sales[[#This Row],[Order Size]]="High Value","High Value Order","Standard Order")</f>
        <v>High Value Order</v>
      </c>
      <c r="V352" s="1"/>
      <c r="W352" s="17" t="s">
        <v>37</v>
      </c>
      <c r="X352" s="17"/>
      <c r="Y352" s="6"/>
      <c r="Z352" s="1" t="s">
        <v>37</v>
      </c>
    </row>
    <row r="353" spans="1:26">
      <c r="A353" s="3" t="s">
        <v>2182</v>
      </c>
      <c r="B353" s="3" t="s">
        <v>22</v>
      </c>
      <c r="C353" s="3" t="s">
        <v>23</v>
      </c>
      <c r="D353" s="3" t="s">
        <v>41</v>
      </c>
      <c r="E353" s="3" t="s">
        <v>992</v>
      </c>
      <c r="F353" s="3" t="s">
        <v>42</v>
      </c>
      <c r="G353" s="2">
        <v>51.69</v>
      </c>
      <c r="H353" s="2">
        <v>7</v>
      </c>
      <c r="I353" s="2">
        <v>18.0915</v>
      </c>
      <c r="J353" s="2">
        <v>379.92149999999998</v>
      </c>
      <c r="K353" s="5">
        <v>43491</v>
      </c>
      <c r="L353" s="4">
        <v>0.76527777777777772</v>
      </c>
      <c r="M353" s="3" t="s">
        <v>49</v>
      </c>
      <c r="N353" s="2">
        <v>361.83</v>
      </c>
      <c r="O353" s="2">
        <v>4.7619047620000003</v>
      </c>
      <c r="P353" s="2">
        <v>18.0915</v>
      </c>
      <c r="Q353" s="2">
        <v>5.5</v>
      </c>
      <c r="R353" s="3" t="str">
        <f t="shared" si="12"/>
        <v>January</v>
      </c>
      <c r="S353" s="3">
        <f t="shared" si="11"/>
        <v>1</v>
      </c>
      <c r="T353" s="3" t="str">
        <f>IF(tbl_sales[[#This Row],[Sales]]&gt;=500,"High Value","Standard")</f>
        <v>Standard</v>
      </c>
      <c r="U353" s="1" t="str">
        <f>IF(tbl_sales[[#This Row],[Order Size]]="High Value","High Value Order","Standard Order")</f>
        <v>Standard Order</v>
      </c>
      <c r="V353" s="1"/>
      <c r="W353" s="17" t="s">
        <v>37</v>
      </c>
      <c r="X353" s="17"/>
      <c r="Y353" s="6"/>
      <c r="Z353" s="1" t="s">
        <v>37</v>
      </c>
    </row>
    <row r="354" spans="1:26">
      <c r="A354" s="3" t="s">
        <v>2188</v>
      </c>
      <c r="B354" s="3" t="s">
        <v>115</v>
      </c>
      <c r="C354" s="3" t="s">
        <v>116</v>
      </c>
      <c r="D354" s="3" t="s">
        <v>24</v>
      </c>
      <c r="E354" s="3" t="s">
        <v>25</v>
      </c>
      <c r="F354" s="3" t="s">
        <v>127</v>
      </c>
      <c r="G354" s="2">
        <v>54.73</v>
      </c>
      <c r="H354" s="2">
        <v>7</v>
      </c>
      <c r="I354" s="2">
        <v>19.1555</v>
      </c>
      <c r="J354" s="2">
        <v>402.26549999999997</v>
      </c>
      <c r="K354" s="5">
        <v>43538</v>
      </c>
      <c r="L354" s="4">
        <v>0.79305555555555551</v>
      </c>
      <c r="M354" s="3" t="s">
        <v>59</v>
      </c>
      <c r="N354" s="2">
        <v>383.11</v>
      </c>
      <c r="O354" s="2">
        <v>4.7619047620000003</v>
      </c>
      <c r="P354" s="2">
        <v>19.1555</v>
      </c>
      <c r="Q354" s="2">
        <v>8.5</v>
      </c>
      <c r="R354" s="3" t="str">
        <f t="shared" si="12"/>
        <v>March</v>
      </c>
      <c r="S354" s="3">
        <f t="shared" si="11"/>
        <v>3</v>
      </c>
      <c r="T354" s="3" t="str">
        <f>IF(tbl_sales[[#This Row],[Sales]]&gt;=500,"High Value","Standard")</f>
        <v>Standard</v>
      </c>
      <c r="U354" s="1" t="str">
        <f>IF(tbl_sales[[#This Row],[Order Size]]="High Value","High Value Order","Standard Order")</f>
        <v>Standard Order</v>
      </c>
      <c r="V354" s="1"/>
      <c r="W354" s="17" t="s">
        <v>37</v>
      </c>
      <c r="X354" s="17"/>
      <c r="Y354" s="6"/>
      <c r="Z354" s="1" t="s">
        <v>37</v>
      </c>
    </row>
    <row r="355" spans="1:26">
      <c r="A355" s="3" t="s">
        <v>2194</v>
      </c>
      <c r="B355" s="3" t="s">
        <v>115</v>
      </c>
      <c r="C355" s="3" t="s">
        <v>116</v>
      </c>
      <c r="D355" s="3" t="s">
        <v>24</v>
      </c>
      <c r="E355" s="3" t="s">
        <v>992</v>
      </c>
      <c r="F355" s="3" t="s">
        <v>53</v>
      </c>
      <c r="G355" s="2">
        <v>27</v>
      </c>
      <c r="H355" s="2">
        <v>9</v>
      </c>
      <c r="I355" s="2">
        <v>12.15</v>
      </c>
      <c r="J355" s="2">
        <v>255.15</v>
      </c>
      <c r="K355" s="5">
        <v>43526</v>
      </c>
      <c r="L355" s="4">
        <v>0.59444444444444444</v>
      </c>
      <c r="M355" s="3" t="s">
        <v>49</v>
      </c>
      <c r="N355" s="2">
        <v>243</v>
      </c>
      <c r="O355" s="2">
        <v>4.7619047620000003</v>
      </c>
      <c r="P355" s="2">
        <v>12.15</v>
      </c>
      <c r="Q355" s="2">
        <v>4.8</v>
      </c>
      <c r="R355" s="3" t="str">
        <f t="shared" si="12"/>
        <v>March</v>
      </c>
      <c r="S355" s="3">
        <f t="shared" si="11"/>
        <v>3</v>
      </c>
      <c r="T355" s="3" t="str">
        <f>IF(tbl_sales[[#This Row],[Sales]]&gt;=500,"High Value","Standard")</f>
        <v>Standard</v>
      </c>
      <c r="U355" s="1" t="str">
        <f>IF(tbl_sales[[#This Row],[Order Size]]="High Value","High Value Order","Standard Order")</f>
        <v>Standard Order</v>
      </c>
      <c r="V355" s="1"/>
      <c r="W355" s="17" t="s">
        <v>37</v>
      </c>
      <c r="X355" s="17"/>
      <c r="Y355" s="6"/>
      <c r="Z355" s="1" t="s">
        <v>37</v>
      </c>
    </row>
    <row r="356" spans="1:26">
      <c r="A356" s="3" t="s">
        <v>2199</v>
      </c>
      <c r="B356" s="3" t="s">
        <v>39</v>
      </c>
      <c r="C356" s="3" t="s">
        <v>40</v>
      </c>
      <c r="D356" s="3" t="s">
        <v>41</v>
      </c>
      <c r="E356" s="3" t="s">
        <v>25</v>
      </c>
      <c r="F356" s="3" t="s">
        <v>42</v>
      </c>
      <c r="G356" s="2">
        <v>30.24</v>
      </c>
      <c r="H356" s="2">
        <v>1</v>
      </c>
      <c r="I356" s="2">
        <v>1.512</v>
      </c>
      <c r="J356" s="2">
        <v>31.751999999999999</v>
      </c>
      <c r="K356" s="5">
        <v>43528</v>
      </c>
      <c r="L356" s="4">
        <v>0.65555555555555556</v>
      </c>
      <c r="M356" s="3" t="s">
        <v>49</v>
      </c>
      <c r="N356" s="2">
        <v>30.24</v>
      </c>
      <c r="O356" s="2">
        <v>4.7619047620000003</v>
      </c>
      <c r="P356" s="2">
        <v>1.512</v>
      </c>
      <c r="Q356" s="2">
        <v>8.4</v>
      </c>
      <c r="R356" s="3" t="str">
        <f t="shared" si="12"/>
        <v>March</v>
      </c>
      <c r="S356" s="3">
        <f t="shared" si="11"/>
        <v>3</v>
      </c>
      <c r="T356" s="3" t="str">
        <f>IF(tbl_sales[[#This Row],[Sales]]&gt;=500,"High Value","Standard")</f>
        <v>Standard</v>
      </c>
      <c r="U356" s="1" t="str">
        <f>IF(tbl_sales[[#This Row],[Order Size]]="High Value","High Value Order","Standard Order")</f>
        <v>Standard Order</v>
      </c>
      <c r="V356" s="1"/>
      <c r="W356" s="17" t="s">
        <v>37</v>
      </c>
      <c r="X356" s="17"/>
      <c r="Y356" s="6"/>
      <c r="Z356" s="1" t="s">
        <v>37</v>
      </c>
    </row>
    <row r="357" spans="1:26">
      <c r="A357" s="3" t="s">
        <v>2204</v>
      </c>
      <c r="B357" s="3" t="s">
        <v>115</v>
      </c>
      <c r="C357" s="3" t="s">
        <v>116</v>
      </c>
      <c r="D357" s="3" t="s">
        <v>24</v>
      </c>
      <c r="E357" s="3" t="s">
        <v>25</v>
      </c>
      <c r="F357" s="3" t="s">
        <v>117</v>
      </c>
      <c r="G357" s="2">
        <v>89.14</v>
      </c>
      <c r="H357" s="2">
        <v>4</v>
      </c>
      <c r="I357" s="2">
        <v>17.827999999999999</v>
      </c>
      <c r="J357" s="2">
        <v>374.38799999999998</v>
      </c>
      <c r="K357" s="5">
        <v>43472</v>
      </c>
      <c r="L357" s="4">
        <v>0.51388888888888884</v>
      </c>
      <c r="M357" s="3" t="s">
        <v>59</v>
      </c>
      <c r="N357" s="2">
        <v>356.56</v>
      </c>
      <c r="O357" s="2">
        <v>4.7619047620000003</v>
      </c>
      <c r="P357" s="2">
        <v>17.827999999999999</v>
      </c>
      <c r="Q357" s="2">
        <v>7.8</v>
      </c>
      <c r="R357" s="3" t="str">
        <f t="shared" si="12"/>
        <v>January</v>
      </c>
      <c r="S357" s="3">
        <f t="shared" si="11"/>
        <v>1</v>
      </c>
      <c r="T357" s="3" t="str">
        <f>IF(tbl_sales[[#This Row],[Sales]]&gt;=500,"High Value","Standard")</f>
        <v>Standard</v>
      </c>
      <c r="U357" s="1" t="str">
        <f>IF(tbl_sales[[#This Row],[Order Size]]="High Value","High Value Order","Standard Order")</f>
        <v>Standard Order</v>
      </c>
      <c r="V357" s="1"/>
      <c r="W357" s="17" t="s">
        <v>37</v>
      </c>
      <c r="X357" s="17"/>
      <c r="Y357" s="6"/>
      <c r="Z357" s="1" t="s">
        <v>37</v>
      </c>
    </row>
    <row r="358" spans="1:26">
      <c r="A358" s="3" t="s">
        <v>2209</v>
      </c>
      <c r="B358" s="3" t="s">
        <v>39</v>
      </c>
      <c r="C358" s="3" t="s">
        <v>40</v>
      </c>
      <c r="D358" s="3" t="s">
        <v>41</v>
      </c>
      <c r="E358" s="3" t="s">
        <v>25</v>
      </c>
      <c r="F358" s="3" t="s">
        <v>127</v>
      </c>
      <c r="G358" s="2">
        <v>37.549999999999997</v>
      </c>
      <c r="H358" s="2">
        <v>10</v>
      </c>
      <c r="I358" s="2">
        <v>18.774999999999999</v>
      </c>
      <c r="J358" s="2">
        <v>394.27499999999998</v>
      </c>
      <c r="K358" s="5">
        <v>43532</v>
      </c>
      <c r="L358" s="4">
        <v>0.83402777777777781</v>
      </c>
      <c r="M358" s="3" t="s">
        <v>59</v>
      </c>
      <c r="N358" s="2">
        <v>375.5</v>
      </c>
      <c r="O358" s="2">
        <v>4.7619047620000003</v>
      </c>
      <c r="P358" s="2">
        <v>18.774999999999999</v>
      </c>
      <c r="Q358" s="2">
        <v>9.3000000000000007</v>
      </c>
      <c r="R358" s="3" t="str">
        <f t="shared" si="12"/>
        <v>March</v>
      </c>
      <c r="S358" s="3">
        <f t="shared" si="11"/>
        <v>3</v>
      </c>
      <c r="T358" s="3" t="str">
        <f>IF(tbl_sales[[#This Row],[Sales]]&gt;=500,"High Value","Standard")</f>
        <v>Standard</v>
      </c>
      <c r="U358" s="1" t="str">
        <f>IF(tbl_sales[[#This Row],[Order Size]]="High Value","High Value Order","Standard Order")</f>
        <v>Standard Order</v>
      </c>
      <c r="V358" s="1"/>
      <c r="W358" s="17" t="s">
        <v>37</v>
      </c>
      <c r="X358" s="17"/>
      <c r="Y358" s="6"/>
      <c r="Z358" s="1" t="s">
        <v>37</v>
      </c>
    </row>
    <row r="359" spans="1:26">
      <c r="A359" s="3" t="s">
        <v>2215</v>
      </c>
      <c r="B359" s="3" t="s">
        <v>39</v>
      </c>
      <c r="C359" s="3" t="s">
        <v>40</v>
      </c>
      <c r="D359" s="3" t="s">
        <v>41</v>
      </c>
      <c r="E359" s="3" t="s">
        <v>25</v>
      </c>
      <c r="F359" s="3" t="s">
        <v>72</v>
      </c>
      <c r="G359" s="2">
        <v>95.44</v>
      </c>
      <c r="H359" s="2">
        <v>10</v>
      </c>
      <c r="I359" s="2">
        <v>47.72</v>
      </c>
      <c r="J359" s="2">
        <v>1002.12</v>
      </c>
      <c r="K359" s="5">
        <v>43474</v>
      </c>
      <c r="L359" s="4">
        <v>0.57291666666666663</v>
      </c>
      <c r="M359" s="3" t="s">
        <v>49</v>
      </c>
      <c r="N359" s="2">
        <v>954.4</v>
      </c>
      <c r="O359" s="2">
        <v>4.7619047620000003</v>
      </c>
      <c r="P359" s="2">
        <v>47.72</v>
      </c>
      <c r="Q359" s="2">
        <v>5.2</v>
      </c>
      <c r="R359" s="3" t="str">
        <f t="shared" si="12"/>
        <v>January</v>
      </c>
      <c r="S359" s="3">
        <f t="shared" si="11"/>
        <v>1</v>
      </c>
      <c r="T359" s="3" t="str">
        <f>IF(tbl_sales[[#This Row],[Sales]]&gt;=500,"High Value","Standard")</f>
        <v>High Value</v>
      </c>
      <c r="U359" s="1" t="str">
        <f>IF(tbl_sales[[#This Row],[Order Size]]="High Value","High Value Order","Standard Order")</f>
        <v>High Value Order</v>
      </c>
      <c r="V359" s="1"/>
      <c r="W359" s="17" t="s">
        <v>37</v>
      </c>
      <c r="X359" s="17"/>
      <c r="Y359" s="6"/>
      <c r="Z359" s="1" t="s">
        <v>37</v>
      </c>
    </row>
    <row r="360" spans="1:26">
      <c r="A360" s="3" t="s">
        <v>2221</v>
      </c>
      <c r="B360" s="3" t="s">
        <v>115</v>
      </c>
      <c r="C360" s="3" t="s">
        <v>116</v>
      </c>
      <c r="D360" s="3" t="s">
        <v>41</v>
      </c>
      <c r="E360" s="3" t="s">
        <v>992</v>
      </c>
      <c r="F360" s="3" t="s">
        <v>42</v>
      </c>
      <c r="G360" s="2">
        <v>27.5</v>
      </c>
      <c r="H360" s="2">
        <v>3</v>
      </c>
      <c r="I360" s="2">
        <v>4.125</v>
      </c>
      <c r="J360" s="2">
        <v>86.625</v>
      </c>
      <c r="K360" s="5">
        <v>43525</v>
      </c>
      <c r="L360" s="4">
        <v>0.65277777777777779</v>
      </c>
      <c r="M360" s="3" t="s">
        <v>33</v>
      </c>
      <c r="N360" s="2">
        <v>82.5</v>
      </c>
      <c r="O360" s="2">
        <v>4.7619047620000003</v>
      </c>
      <c r="P360" s="2">
        <v>4.125</v>
      </c>
      <c r="Q360" s="2">
        <v>6.5</v>
      </c>
      <c r="R360" s="3" t="str">
        <f t="shared" si="12"/>
        <v>March</v>
      </c>
      <c r="S360" s="3">
        <f t="shared" si="11"/>
        <v>3</v>
      </c>
      <c r="T360" s="3" t="str">
        <f>IF(tbl_sales[[#This Row],[Sales]]&gt;=500,"High Value","Standard")</f>
        <v>Standard</v>
      </c>
      <c r="U360" s="1" t="str">
        <f>IF(tbl_sales[[#This Row],[Order Size]]="High Value","High Value Order","Standard Order")</f>
        <v>Standard Order</v>
      </c>
      <c r="V360" s="1"/>
      <c r="W360" s="17" t="s">
        <v>37</v>
      </c>
      <c r="X360" s="17"/>
      <c r="Y360" s="6"/>
      <c r="Z360" s="1" t="s">
        <v>37</v>
      </c>
    </row>
    <row r="361" spans="1:26">
      <c r="A361" s="3" t="s">
        <v>2227</v>
      </c>
      <c r="B361" s="3" t="s">
        <v>115</v>
      </c>
      <c r="C361" s="3" t="s">
        <v>116</v>
      </c>
      <c r="D361" s="3" t="s">
        <v>41</v>
      </c>
      <c r="E361" s="3" t="s">
        <v>992</v>
      </c>
      <c r="F361" s="3" t="s">
        <v>72</v>
      </c>
      <c r="G361" s="2">
        <v>74.97</v>
      </c>
      <c r="H361" s="2">
        <v>1</v>
      </c>
      <c r="I361" s="2">
        <v>3.7484999999999999</v>
      </c>
      <c r="J361" s="2">
        <v>78.718500000000006</v>
      </c>
      <c r="K361" s="5">
        <v>43540</v>
      </c>
      <c r="L361" s="4">
        <v>0.70694444444444449</v>
      </c>
      <c r="M361" s="3" t="s">
        <v>49</v>
      </c>
      <c r="N361" s="2">
        <v>74.97</v>
      </c>
      <c r="O361" s="2">
        <v>4.7619047620000003</v>
      </c>
      <c r="P361" s="2">
        <v>3.7484999999999999</v>
      </c>
      <c r="Q361" s="2">
        <v>5.6</v>
      </c>
      <c r="R361" s="3" t="str">
        <f t="shared" si="12"/>
        <v>March</v>
      </c>
      <c r="S361" s="3">
        <f t="shared" si="11"/>
        <v>3</v>
      </c>
      <c r="T361" s="3" t="str">
        <f>IF(tbl_sales[[#This Row],[Sales]]&gt;=500,"High Value","Standard")</f>
        <v>Standard</v>
      </c>
      <c r="U361" s="1" t="str">
        <f>IF(tbl_sales[[#This Row],[Order Size]]="High Value","High Value Order","Standard Order")</f>
        <v>Standard Order</v>
      </c>
      <c r="V361" s="1"/>
      <c r="W361" s="17" t="s">
        <v>37</v>
      </c>
      <c r="X361" s="17"/>
      <c r="Y361" s="6"/>
      <c r="Z361" s="1" t="s">
        <v>37</v>
      </c>
    </row>
    <row r="362" spans="1:26">
      <c r="A362" s="3" t="s">
        <v>2232</v>
      </c>
      <c r="B362" s="3" t="s">
        <v>22</v>
      </c>
      <c r="C362" s="3" t="s">
        <v>23</v>
      </c>
      <c r="D362" s="3" t="s">
        <v>24</v>
      </c>
      <c r="E362" s="3" t="s">
        <v>992</v>
      </c>
      <c r="F362" s="3" t="s">
        <v>117</v>
      </c>
      <c r="G362" s="2">
        <v>80.959999999999994</v>
      </c>
      <c r="H362" s="2">
        <v>8</v>
      </c>
      <c r="I362" s="2">
        <v>32.384</v>
      </c>
      <c r="J362" s="2">
        <v>680.06399999999996</v>
      </c>
      <c r="K362" s="5">
        <v>43513</v>
      </c>
      <c r="L362" s="4">
        <v>0.46666666666666667</v>
      </c>
      <c r="M362" s="3" t="s">
        <v>59</v>
      </c>
      <c r="N362" s="2">
        <v>647.67999999999995</v>
      </c>
      <c r="O362" s="2">
        <v>4.7619047620000003</v>
      </c>
      <c r="P362" s="2">
        <v>32.384</v>
      </c>
      <c r="Q362" s="2">
        <v>7.4</v>
      </c>
      <c r="R362" s="3" t="str">
        <f t="shared" si="12"/>
        <v>February</v>
      </c>
      <c r="S362" s="3">
        <f t="shared" si="11"/>
        <v>2</v>
      </c>
      <c r="T362" s="3" t="str">
        <f>IF(tbl_sales[[#This Row],[Sales]]&gt;=500,"High Value","Standard")</f>
        <v>High Value</v>
      </c>
      <c r="U362" s="1" t="str">
        <f>IF(tbl_sales[[#This Row],[Order Size]]="High Value","High Value Order","Standard Order")</f>
        <v>High Value Order</v>
      </c>
      <c r="V362" s="1"/>
      <c r="W362" s="17" t="s">
        <v>37</v>
      </c>
      <c r="X362" s="17"/>
      <c r="Y362" s="6"/>
      <c r="Z362" s="1" t="s">
        <v>37</v>
      </c>
    </row>
    <row r="363" spans="1:26">
      <c r="A363" s="3" t="s">
        <v>2238</v>
      </c>
      <c r="B363" s="3" t="s">
        <v>39</v>
      </c>
      <c r="C363" s="3" t="s">
        <v>40</v>
      </c>
      <c r="D363" s="3" t="s">
        <v>41</v>
      </c>
      <c r="E363" s="3" t="s">
        <v>25</v>
      </c>
      <c r="F363" s="3" t="s">
        <v>117</v>
      </c>
      <c r="G363" s="2">
        <v>94.47</v>
      </c>
      <c r="H363" s="2">
        <v>8</v>
      </c>
      <c r="I363" s="2">
        <v>37.787999999999997</v>
      </c>
      <c r="J363" s="2">
        <v>793.548</v>
      </c>
      <c r="K363" s="5">
        <v>43523</v>
      </c>
      <c r="L363" s="4">
        <v>0.6333333333333333</v>
      </c>
      <c r="M363" s="3" t="s">
        <v>49</v>
      </c>
      <c r="N363" s="2">
        <v>755.76</v>
      </c>
      <c r="O363" s="2">
        <v>4.7619047620000003</v>
      </c>
      <c r="P363" s="2">
        <v>37.787999999999997</v>
      </c>
      <c r="Q363" s="2">
        <v>9.1</v>
      </c>
      <c r="R363" s="3" t="str">
        <f t="shared" si="12"/>
        <v>February</v>
      </c>
      <c r="S363" s="3">
        <f t="shared" si="11"/>
        <v>2</v>
      </c>
      <c r="T363" s="3" t="str">
        <f>IF(tbl_sales[[#This Row],[Sales]]&gt;=500,"High Value","Standard")</f>
        <v>High Value</v>
      </c>
      <c r="U363" s="1" t="str">
        <f>IF(tbl_sales[[#This Row],[Order Size]]="High Value","High Value Order","Standard Order")</f>
        <v>High Value Order</v>
      </c>
      <c r="V363" s="1"/>
      <c r="W363" s="17" t="s">
        <v>37</v>
      </c>
      <c r="X363" s="17"/>
      <c r="Y363" s="6"/>
      <c r="Z363" s="1" t="s">
        <v>37</v>
      </c>
    </row>
    <row r="364" spans="1:26">
      <c r="A364" s="3" t="s">
        <v>2244</v>
      </c>
      <c r="B364" s="3" t="s">
        <v>39</v>
      </c>
      <c r="C364" s="3" t="s">
        <v>40</v>
      </c>
      <c r="D364" s="3" t="s">
        <v>41</v>
      </c>
      <c r="E364" s="3" t="s">
        <v>992</v>
      </c>
      <c r="F364" s="3" t="s">
        <v>117</v>
      </c>
      <c r="G364" s="2">
        <v>99.79</v>
      </c>
      <c r="H364" s="2">
        <v>2</v>
      </c>
      <c r="I364" s="2">
        <v>9.9789999999999992</v>
      </c>
      <c r="J364" s="2">
        <v>209.559</v>
      </c>
      <c r="K364" s="5">
        <v>43531</v>
      </c>
      <c r="L364" s="4">
        <v>0.85902777777777772</v>
      </c>
      <c r="M364" s="3" t="s">
        <v>33</v>
      </c>
      <c r="N364" s="2">
        <v>199.58</v>
      </c>
      <c r="O364" s="2">
        <v>4.7619047620000003</v>
      </c>
      <c r="P364" s="2">
        <v>9.9789999999999992</v>
      </c>
      <c r="Q364" s="2">
        <v>8</v>
      </c>
      <c r="R364" s="3" t="str">
        <f t="shared" si="12"/>
        <v>March</v>
      </c>
      <c r="S364" s="3">
        <f t="shared" si="11"/>
        <v>3</v>
      </c>
      <c r="T364" s="3" t="str">
        <f>IF(tbl_sales[[#This Row],[Sales]]&gt;=500,"High Value","Standard")</f>
        <v>Standard</v>
      </c>
      <c r="U364" s="1" t="str">
        <f>IF(tbl_sales[[#This Row],[Order Size]]="High Value","High Value Order","Standard Order")</f>
        <v>Standard Order</v>
      </c>
      <c r="V364" s="1"/>
      <c r="W364" s="17" t="s">
        <v>37</v>
      </c>
      <c r="X364" s="17"/>
      <c r="Y364" s="6"/>
      <c r="Z364" s="1" t="s">
        <v>37</v>
      </c>
    </row>
    <row r="365" spans="1:26">
      <c r="A365" s="3" t="s">
        <v>2250</v>
      </c>
      <c r="B365" s="3" t="s">
        <v>22</v>
      </c>
      <c r="C365" s="3" t="s">
        <v>23</v>
      </c>
      <c r="D365" s="3" t="s">
        <v>41</v>
      </c>
      <c r="E365" s="3" t="s">
        <v>992</v>
      </c>
      <c r="F365" s="3" t="s">
        <v>53</v>
      </c>
      <c r="G365" s="2">
        <v>73.22</v>
      </c>
      <c r="H365" s="2">
        <v>6</v>
      </c>
      <c r="I365" s="2">
        <v>21.966000000000001</v>
      </c>
      <c r="J365" s="2">
        <v>461.286</v>
      </c>
      <c r="K365" s="5">
        <v>43486</v>
      </c>
      <c r="L365" s="4">
        <v>0.73888888888888893</v>
      </c>
      <c r="M365" s="3" t="s">
        <v>49</v>
      </c>
      <c r="N365" s="2">
        <v>439.32</v>
      </c>
      <c r="O365" s="2">
        <v>4.7619047620000003</v>
      </c>
      <c r="P365" s="2">
        <v>21.966000000000001</v>
      </c>
      <c r="Q365" s="2">
        <v>7.2</v>
      </c>
      <c r="R365" s="3" t="str">
        <f t="shared" si="12"/>
        <v>January</v>
      </c>
      <c r="S365" s="3">
        <f t="shared" si="11"/>
        <v>1</v>
      </c>
      <c r="T365" s="3" t="str">
        <f>IF(tbl_sales[[#This Row],[Sales]]&gt;=500,"High Value","Standard")</f>
        <v>Standard</v>
      </c>
      <c r="U365" s="1" t="str">
        <f>IF(tbl_sales[[#This Row],[Order Size]]="High Value","High Value Order","Standard Order")</f>
        <v>Standard Order</v>
      </c>
      <c r="V365" s="1"/>
      <c r="W365" s="17" t="s">
        <v>37</v>
      </c>
      <c r="X365" s="17"/>
      <c r="Y365" s="6"/>
      <c r="Z365" s="1" t="s">
        <v>37</v>
      </c>
    </row>
    <row r="366" spans="1:26">
      <c r="A366" s="3" t="s">
        <v>2256</v>
      </c>
      <c r="B366" s="3" t="s">
        <v>39</v>
      </c>
      <c r="C366" s="3" t="s">
        <v>40</v>
      </c>
      <c r="D366" s="3" t="s">
        <v>41</v>
      </c>
      <c r="E366" s="3" t="s">
        <v>25</v>
      </c>
      <c r="F366" s="3" t="s">
        <v>117</v>
      </c>
      <c r="G366" s="2">
        <v>41.24</v>
      </c>
      <c r="H366" s="2">
        <v>4</v>
      </c>
      <c r="I366" s="2">
        <v>8.2479999999999993</v>
      </c>
      <c r="J366" s="2">
        <v>173.208</v>
      </c>
      <c r="K366" s="5">
        <v>43515</v>
      </c>
      <c r="L366" s="4">
        <v>0.68263888888888891</v>
      </c>
      <c r="M366" s="3" t="s">
        <v>49</v>
      </c>
      <c r="N366" s="2">
        <v>164.96</v>
      </c>
      <c r="O366" s="2">
        <v>4.7619047620000003</v>
      </c>
      <c r="P366" s="2">
        <v>8.2479999999999993</v>
      </c>
      <c r="Q366" s="2">
        <v>7.1</v>
      </c>
      <c r="R366" s="3" t="str">
        <f t="shared" si="12"/>
        <v>February</v>
      </c>
      <c r="S366" s="3">
        <f t="shared" si="11"/>
        <v>2</v>
      </c>
      <c r="T366" s="3" t="str">
        <f>IF(tbl_sales[[#This Row],[Sales]]&gt;=500,"High Value","Standard")</f>
        <v>Standard</v>
      </c>
      <c r="U366" s="1" t="str">
        <f>IF(tbl_sales[[#This Row],[Order Size]]="High Value","High Value Order","Standard Order")</f>
        <v>Standard Order</v>
      </c>
      <c r="V366" s="1"/>
      <c r="W366" s="17" t="s">
        <v>37</v>
      </c>
      <c r="X366" s="17"/>
      <c r="Y366" s="6"/>
      <c r="Z366" s="1" t="s">
        <v>37</v>
      </c>
    </row>
    <row r="367" spans="1:26">
      <c r="A367" s="3" t="s">
        <v>2263</v>
      </c>
      <c r="B367" s="3" t="s">
        <v>39</v>
      </c>
      <c r="C367" s="3" t="s">
        <v>40</v>
      </c>
      <c r="D367" s="3" t="s">
        <v>41</v>
      </c>
      <c r="E367" s="3" t="s">
        <v>25</v>
      </c>
      <c r="F367" s="3" t="s">
        <v>127</v>
      </c>
      <c r="G367" s="2">
        <v>81.680000000000007</v>
      </c>
      <c r="H367" s="2">
        <v>4</v>
      </c>
      <c r="I367" s="2">
        <v>16.335999999999999</v>
      </c>
      <c r="J367" s="2">
        <v>343.05599999999998</v>
      </c>
      <c r="K367" s="5">
        <v>43471</v>
      </c>
      <c r="L367" s="4">
        <v>0.5083333333333333</v>
      </c>
      <c r="M367" s="3" t="s">
        <v>49</v>
      </c>
      <c r="N367" s="2">
        <v>326.72000000000003</v>
      </c>
      <c r="O367" s="2">
        <v>4.7619047620000003</v>
      </c>
      <c r="P367" s="2">
        <v>16.335999999999999</v>
      </c>
      <c r="Q367" s="2">
        <v>9.1</v>
      </c>
      <c r="R367" s="3" t="str">
        <f t="shared" si="12"/>
        <v>January</v>
      </c>
      <c r="S367" s="3">
        <f t="shared" si="11"/>
        <v>1</v>
      </c>
      <c r="T367" s="3" t="str">
        <f>IF(tbl_sales[[#This Row],[Sales]]&gt;=500,"High Value","Standard")</f>
        <v>Standard</v>
      </c>
      <c r="U367" s="1" t="str">
        <f>IF(tbl_sales[[#This Row],[Order Size]]="High Value","High Value Order","Standard Order")</f>
        <v>Standard Order</v>
      </c>
      <c r="V367" s="1"/>
      <c r="W367" s="17" t="s">
        <v>37</v>
      </c>
      <c r="X367" s="17"/>
      <c r="Y367" s="6"/>
      <c r="Z367" s="1" t="s">
        <v>37</v>
      </c>
    </row>
    <row r="368" spans="1:26">
      <c r="A368" s="3" t="s">
        <v>2269</v>
      </c>
      <c r="B368" s="3" t="s">
        <v>39</v>
      </c>
      <c r="C368" s="3" t="s">
        <v>40</v>
      </c>
      <c r="D368" s="3" t="s">
        <v>41</v>
      </c>
      <c r="E368" s="3" t="s">
        <v>25</v>
      </c>
      <c r="F368" s="3" t="s">
        <v>42</v>
      </c>
      <c r="G368" s="2">
        <v>51.32</v>
      </c>
      <c r="H368" s="2">
        <v>9</v>
      </c>
      <c r="I368" s="2">
        <v>23.094000000000001</v>
      </c>
      <c r="J368" s="2">
        <v>484.97399999999999</v>
      </c>
      <c r="K368" s="5">
        <v>43538</v>
      </c>
      <c r="L368" s="4">
        <v>0.81458333333333333</v>
      </c>
      <c r="M368" s="3" t="s">
        <v>49</v>
      </c>
      <c r="N368" s="2">
        <v>461.88</v>
      </c>
      <c r="O368" s="2">
        <v>4.7619047620000003</v>
      </c>
      <c r="P368" s="2">
        <v>23.094000000000001</v>
      </c>
      <c r="Q368" s="2">
        <v>5.6</v>
      </c>
      <c r="R368" s="3" t="str">
        <f t="shared" si="12"/>
        <v>March</v>
      </c>
      <c r="S368" s="3">
        <f t="shared" si="11"/>
        <v>3</v>
      </c>
      <c r="T368" s="3" t="str">
        <f>IF(tbl_sales[[#This Row],[Sales]]&gt;=500,"High Value","Standard")</f>
        <v>Standard</v>
      </c>
      <c r="U368" s="1" t="str">
        <f>IF(tbl_sales[[#This Row],[Order Size]]="High Value","High Value Order","Standard Order")</f>
        <v>Standard Order</v>
      </c>
      <c r="V368" s="1"/>
      <c r="W368" s="17" t="s">
        <v>37</v>
      </c>
      <c r="X368" s="17"/>
      <c r="Y368" s="6"/>
      <c r="Z368" s="1" t="s">
        <v>37</v>
      </c>
    </row>
    <row r="369" spans="1:26">
      <c r="A369" s="3" t="s">
        <v>2275</v>
      </c>
      <c r="B369" s="3" t="s">
        <v>22</v>
      </c>
      <c r="C369" s="3" t="s">
        <v>23</v>
      </c>
      <c r="D369" s="3" t="s">
        <v>24</v>
      </c>
      <c r="E369" s="3" t="s">
        <v>992</v>
      </c>
      <c r="F369" s="3" t="s">
        <v>53</v>
      </c>
      <c r="G369" s="2">
        <v>65.94</v>
      </c>
      <c r="H369" s="2">
        <v>4</v>
      </c>
      <c r="I369" s="2">
        <v>13.188000000000001</v>
      </c>
      <c r="J369" s="2">
        <v>276.94799999999998</v>
      </c>
      <c r="K369" s="5">
        <v>43548</v>
      </c>
      <c r="L369" s="4">
        <v>0.43680555555555556</v>
      </c>
      <c r="M369" s="3" t="s">
        <v>49</v>
      </c>
      <c r="N369" s="2">
        <v>263.76</v>
      </c>
      <c r="O369" s="2">
        <v>4.7619047620000003</v>
      </c>
      <c r="P369" s="2">
        <v>13.188000000000001</v>
      </c>
      <c r="Q369" s="2">
        <v>6</v>
      </c>
      <c r="R369" s="3" t="str">
        <f t="shared" si="12"/>
        <v>March</v>
      </c>
      <c r="S369" s="3">
        <f t="shared" si="11"/>
        <v>3</v>
      </c>
      <c r="T369" s="3" t="str">
        <f>IF(tbl_sales[[#This Row],[Sales]]&gt;=500,"High Value","Standard")</f>
        <v>Standard</v>
      </c>
      <c r="U369" s="1" t="str">
        <f>IF(tbl_sales[[#This Row],[Order Size]]="High Value","High Value Order","Standard Order")</f>
        <v>Standard Order</v>
      </c>
      <c r="V369" s="1"/>
      <c r="W369" s="17" t="s">
        <v>37</v>
      </c>
      <c r="X369" s="17"/>
      <c r="Y369" s="6"/>
      <c r="Z369" s="1" t="s">
        <v>37</v>
      </c>
    </row>
    <row r="370" spans="1:26">
      <c r="A370" s="3" t="s">
        <v>2276</v>
      </c>
      <c r="B370" s="3" t="s">
        <v>39</v>
      </c>
      <c r="C370" s="3" t="s">
        <v>40</v>
      </c>
      <c r="D370" s="3" t="s">
        <v>41</v>
      </c>
      <c r="E370" s="3" t="s">
        <v>25</v>
      </c>
      <c r="F370" s="3" t="s">
        <v>72</v>
      </c>
      <c r="G370" s="2">
        <v>14.36</v>
      </c>
      <c r="H370" s="2">
        <v>10</v>
      </c>
      <c r="I370" s="2">
        <v>7.18</v>
      </c>
      <c r="J370" s="2">
        <v>150.78</v>
      </c>
      <c r="K370" s="5">
        <v>43492</v>
      </c>
      <c r="L370" s="4">
        <v>0.60277777777777775</v>
      </c>
      <c r="M370" s="3" t="s">
        <v>49</v>
      </c>
      <c r="N370" s="2">
        <v>143.6</v>
      </c>
      <c r="O370" s="2">
        <v>4.7619047620000003</v>
      </c>
      <c r="P370" s="2">
        <v>7.18</v>
      </c>
      <c r="Q370" s="2">
        <v>5.4</v>
      </c>
      <c r="R370" s="3" t="str">
        <f t="shared" si="12"/>
        <v>January</v>
      </c>
      <c r="S370" s="3">
        <f t="shared" si="11"/>
        <v>1</v>
      </c>
      <c r="T370" s="3" t="str">
        <f>IF(tbl_sales[[#This Row],[Sales]]&gt;=500,"High Value","Standard")</f>
        <v>Standard</v>
      </c>
      <c r="U370" s="1" t="str">
        <f>IF(tbl_sales[[#This Row],[Order Size]]="High Value","High Value Order","Standard Order")</f>
        <v>Standard Order</v>
      </c>
      <c r="V370" s="1"/>
      <c r="W370" s="17" t="s">
        <v>37</v>
      </c>
      <c r="X370" s="17"/>
      <c r="Y370" s="6"/>
      <c r="Z370" s="1" t="s">
        <v>37</v>
      </c>
    </row>
    <row r="371" spans="1:26">
      <c r="A371" s="3" t="s">
        <v>2282</v>
      </c>
      <c r="B371" s="3" t="s">
        <v>22</v>
      </c>
      <c r="C371" s="3" t="s">
        <v>23</v>
      </c>
      <c r="D371" s="3" t="s">
        <v>24</v>
      </c>
      <c r="E371" s="3" t="s">
        <v>992</v>
      </c>
      <c r="F371" s="3" t="s">
        <v>42</v>
      </c>
      <c r="G371" s="2">
        <v>21.5</v>
      </c>
      <c r="H371" s="2">
        <v>9</v>
      </c>
      <c r="I371" s="2">
        <v>9.6750000000000007</v>
      </c>
      <c r="J371" s="2">
        <v>203.17500000000001</v>
      </c>
      <c r="K371" s="5">
        <v>43530</v>
      </c>
      <c r="L371" s="4">
        <v>0.53194444444444444</v>
      </c>
      <c r="M371" s="3" t="s">
        <v>59</v>
      </c>
      <c r="N371" s="2">
        <v>193.5</v>
      </c>
      <c r="O371" s="2">
        <v>4.7619047620000003</v>
      </c>
      <c r="P371" s="2">
        <v>9.6750000000000007</v>
      </c>
      <c r="Q371" s="2">
        <v>7.8</v>
      </c>
      <c r="R371" s="3" t="str">
        <f t="shared" si="12"/>
        <v>March</v>
      </c>
      <c r="S371" s="3">
        <f t="shared" si="11"/>
        <v>3</v>
      </c>
      <c r="T371" s="3" t="str">
        <f>IF(tbl_sales[[#This Row],[Sales]]&gt;=500,"High Value","Standard")</f>
        <v>Standard</v>
      </c>
      <c r="U371" s="1" t="str">
        <f>IF(tbl_sales[[#This Row],[Order Size]]="High Value","High Value Order","Standard Order")</f>
        <v>Standard Order</v>
      </c>
      <c r="V371" s="1"/>
      <c r="W371" s="17" t="s">
        <v>37</v>
      </c>
      <c r="X371" s="17"/>
      <c r="Y371" s="6"/>
      <c r="Z371" s="1" t="s">
        <v>37</v>
      </c>
    </row>
    <row r="372" spans="1:26">
      <c r="A372" s="3" t="s">
        <v>2287</v>
      </c>
      <c r="B372" s="3" t="s">
        <v>115</v>
      </c>
      <c r="C372" s="3" t="s">
        <v>116</v>
      </c>
      <c r="D372" s="3" t="s">
        <v>24</v>
      </c>
      <c r="E372" s="3" t="s">
        <v>25</v>
      </c>
      <c r="F372" s="3" t="s">
        <v>42</v>
      </c>
      <c r="G372" s="2">
        <v>26.26</v>
      </c>
      <c r="H372" s="2">
        <v>7</v>
      </c>
      <c r="I372" s="2">
        <v>9.1910000000000007</v>
      </c>
      <c r="J372" s="2">
        <v>193.011</v>
      </c>
      <c r="K372" s="5">
        <v>43498</v>
      </c>
      <c r="L372" s="4">
        <v>0.81944444444444442</v>
      </c>
      <c r="M372" s="3" t="s">
        <v>49</v>
      </c>
      <c r="N372" s="2">
        <v>183.82</v>
      </c>
      <c r="O372" s="2">
        <v>4.7619047620000003</v>
      </c>
      <c r="P372" s="2">
        <v>9.1910000000000007</v>
      </c>
      <c r="Q372" s="2">
        <v>9.9</v>
      </c>
      <c r="R372" s="3" t="str">
        <f t="shared" si="12"/>
        <v>February</v>
      </c>
      <c r="S372" s="3">
        <f t="shared" si="11"/>
        <v>2</v>
      </c>
      <c r="T372" s="3" t="str">
        <f>IF(tbl_sales[[#This Row],[Sales]]&gt;=500,"High Value","Standard")</f>
        <v>Standard</v>
      </c>
      <c r="U372" s="1" t="str">
        <f>IF(tbl_sales[[#This Row],[Order Size]]="High Value","High Value Order","Standard Order")</f>
        <v>Standard Order</v>
      </c>
      <c r="V372" s="1"/>
      <c r="W372" s="17" t="s">
        <v>37</v>
      </c>
      <c r="X372" s="17"/>
      <c r="Y372" s="6"/>
      <c r="Z372" s="1" t="s">
        <v>37</v>
      </c>
    </row>
    <row r="373" spans="1:26">
      <c r="A373" s="3" t="s">
        <v>2292</v>
      </c>
      <c r="B373" s="3" t="s">
        <v>115</v>
      </c>
      <c r="C373" s="3" t="s">
        <v>116</v>
      </c>
      <c r="D373" s="3" t="s">
        <v>41</v>
      </c>
      <c r="E373" s="3" t="s">
        <v>25</v>
      </c>
      <c r="F373" s="3" t="s">
        <v>127</v>
      </c>
      <c r="G373" s="2">
        <v>60.96</v>
      </c>
      <c r="H373" s="2">
        <v>2</v>
      </c>
      <c r="I373" s="2">
        <v>6.0960000000000001</v>
      </c>
      <c r="J373" s="2">
        <v>128.01599999999999</v>
      </c>
      <c r="K373" s="5">
        <v>43490</v>
      </c>
      <c r="L373" s="4">
        <v>0.81874999999999998</v>
      </c>
      <c r="M373" s="3" t="s">
        <v>59</v>
      </c>
      <c r="N373" s="2">
        <v>121.92</v>
      </c>
      <c r="O373" s="2">
        <v>4.7619047620000003</v>
      </c>
      <c r="P373" s="2">
        <v>6.0960000000000001</v>
      </c>
      <c r="Q373" s="2">
        <v>4.9000000000000004</v>
      </c>
      <c r="R373" s="3" t="str">
        <f t="shared" si="12"/>
        <v>January</v>
      </c>
      <c r="S373" s="3">
        <f t="shared" si="11"/>
        <v>1</v>
      </c>
      <c r="T373" s="3" t="str">
        <f>IF(tbl_sales[[#This Row],[Sales]]&gt;=500,"High Value","Standard")</f>
        <v>Standard</v>
      </c>
      <c r="U373" s="1" t="str">
        <f>IF(tbl_sales[[#This Row],[Order Size]]="High Value","High Value Order","Standard Order")</f>
        <v>Standard Order</v>
      </c>
      <c r="V373" s="1"/>
      <c r="W373" s="17" t="s">
        <v>37</v>
      </c>
      <c r="X373" s="17"/>
      <c r="Y373" s="6"/>
      <c r="Z373" s="1" t="s">
        <v>37</v>
      </c>
    </row>
    <row r="374" spans="1:26">
      <c r="A374" s="3" t="s">
        <v>2297</v>
      </c>
      <c r="B374" s="3" t="s">
        <v>39</v>
      </c>
      <c r="C374" s="3" t="s">
        <v>40</v>
      </c>
      <c r="D374" s="3" t="s">
        <v>41</v>
      </c>
      <c r="E374" s="3" t="s">
        <v>25</v>
      </c>
      <c r="F374" s="3" t="s">
        <v>53</v>
      </c>
      <c r="G374" s="2">
        <v>70.11</v>
      </c>
      <c r="H374" s="2">
        <v>6</v>
      </c>
      <c r="I374" s="2">
        <v>21.033000000000001</v>
      </c>
      <c r="J374" s="2">
        <v>441.69299999999998</v>
      </c>
      <c r="K374" s="5">
        <v>43538</v>
      </c>
      <c r="L374" s="4">
        <v>0.74583333333333335</v>
      </c>
      <c r="M374" s="3" t="s">
        <v>33</v>
      </c>
      <c r="N374" s="2">
        <v>420.66</v>
      </c>
      <c r="O374" s="2">
        <v>4.7619047620000003</v>
      </c>
      <c r="P374" s="2">
        <v>21.033000000000001</v>
      </c>
      <c r="Q374" s="2">
        <v>5.2</v>
      </c>
      <c r="R374" s="3" t="str">
        <f t="shared" si="12"/>
        <v>March</v>
      </c>
      <c r="S374" s="3">
        <f t="shared" si="11"/>
        <v>3</v>
      </c>
      <c r="T374" s="3" t="str">
        <f>IF(tbl_sales[[#This Row],[Sales]]&gt;=500,"High Value","Standard")</f>
        <v>Standard</v>
      </c>
      <c r="U374" s="1" t="str">
        <f>IF(tbl_sales[[#This Row],[Order Size]]="High Value","High Value Order","Standard Order")</f>
        <v>Standard Order</v>
      </c>
      <c r="V374" s="1"/>
      <c r="W374" s="17" t="s">
        <v>37</v>
      </c>
      <c r="X374" s="17"/>
      <c r="Y374" s="6"/>
      <c r="Z374" s="1" t="s">
        <v>37</v>
      </c>
    </row>
    <row r="375" spans="1:26">
      <c r="A375" s="3" t="s">
        <v>2303</v>
      </c>
      <c r="B375" s="3" t="s">
        <v>39</v>
      </c>
      <c r="C375" s="3" t="s">
        <v>40</v>
      </c>
      <c r="D375" s="3" t="s">
        <v>41</v>
      </c>
      <c r="E375" s="3" t="s">
        <v>992</v>
      </c>
      <c r="F375" s="3" t="s">
        <v>127</v>
      </c>
      <c r="G375" s="2">
        <v>42.08</v>
      </c>
      <c r="H375" s="2">
        <v>6</v>
      </c>
      <c r="I375" s="2">
        <v>12.624000000000001</v>
      </c>
      <c r="J375" s="2">
        <v>265.10399999999998</v>
      </c>
      <c r="K375" s="5">
        <v>43494</v>
      </c>
      <c r="L375" s="4">
        <v>0.51736111111111116</v>
      </c>
      <c r="M375" s="3" t="s">
        <v>49</v>
      </c>
      <c r="N375" s="2">
        <v>252.48</v>
      </c>
      <c r="O375" s="2">
        <v>4.7619047620000003</v>
      </c>
      <c r="P375" s="2">
        <v>12.624000000000001</v>
      </c>
      <c r="Q375" s="2">
        <v>8.9</v>
      </c>
      <c r="R375" s="3" t="str">
        <f t="shared" si="12"/>
        <v>January</v>
      </c>
      <c r="S375" s="3">
        <f t="shared" si="11"/>
        <v>1</v>
      </c>
      <c r="T375" s="3" t="str">
        <f>IF(tbl_sales[[#This Row],[Sales]]&gt;=500,"High Value","Standard")</f>
        <v>Standard</v>
      </c>
      <c r="U375" s="1" t="str">
        <f>IF(tbl_sales[[#This Row],[Order Size]]="High Value","High Value Order","Standard Order")</f>
        <v>Standard Order</v>
      </c>
      <c r="V375" s="1"/>
      <c r="W375" s="17" t="s">
        <v>37</v>
      </c>
      <c r="X375" s="17"/>
      <c r="Y375" s="6"/>
      <c r="Z375" s="1" t="s">
        <v>37</v>
      </c>
    </row>
    <row r="376" spans="1:26">
      <c r="A376" s="3" t="s">
        <v>2309</v>
      </c>
      <c r="B376" s="3" t="s">
        <v>22</v>
      </c>
      <c r="C376" s="3" t="s">
        <v>23</v>
      </c>
      <c r="D376" s="3" t="s">
        <v>41</v>
      </c>
      <c r="E376" s="3" t="s">
        <v>25</v>
      </c>
      <c r="F376" s="3" t="s">
        <v>53</v>
      </c>
      <c r="G376" s="2">
        <v>67.09</v>
      </c>
      <c r="H376" s="2">
        <v>5</v>
      </c>
      <c r="I376" s="2">
        <v>16.772500000000001</v>
      </c>
      <c r="J376" s="2">
        <v>352.22250000000003</v>
      </c>
      <c r="K376" s="5">
        <v>43468</v>
      </c>
      <c r="L376" s="4">
        <v>0.69930555555555551</v>
      </c>
      <c r="M376" s="3" t="s">
        <v>59</v>
      </c>
      <c r="N376" s="2">
        <v>335.45</v>
      </c>
      <c r="O376" s="2">
        <v>4.7619047620000003</v>
      </c>
      <c r="P376" s="2">
        <v>16.772500000000001</v>
      </c>
      <c r="Q376" s="2">
        <v>9.1</v>
      </c>
      <c r="R376" s="3" t="str">
        <f t="shared" si="12"/>
        <v>January</v>
      </c>
      <c r="S376" s="3">
        <f t="shared" si="11"/>
        <v>1</v>
      </c>
      <c r="T376" s="3" t="str">
        <f>IF(tbl_sales[[#This Row],[Sales]]&gt;=500,"High Value","Standard")</f>
        <v>Standard</v>
      </c>
      <c r="U376" s="1" t="str">
        <f>IF(tbl_sales[[#This Row],[Order Size]]="High Value","High Value Order","Standard Order")</f>
        <v>Standard Order</v>
      </c>
      <c r="V376" s="1"/>
      <c r="W376" s="17" t="s">
        <v>37</v>
      </c>
      <c r="X376" s="17"/>
      <c r="Y376" s="6"/>
      <c r="Z376" s="1" t="s">
        <v>37</v>
      </c>
    </row>
    <row r="377" spans="1:26">
      <c r="A377" s="3" t="s">
        <v>2314</v>
      </c>
      <c r="B377" s="3" t="s">
        <v>22</v>
      </c>
      <c r="C377" s="3" t="s">
        <v>23</v>
      </c>
      <c r="D377" s="3" t="s">
        <v>24</v>
      </c>
      <c r="E377" s="3" t="s">
        <v>25</v>
      </c>
      <c r="F377" s="3" t="s">
        <v>127</v>
      </c>
      <c r="G377" s="2">
        <v>96.7</v>
      </c>
      <c r="H377" s="2">
        <v>5</v>
      </c>
      <c r="I377" s="2">
        <v>24.175000000000001</v>
      </c>
      <c r="J377" s="2">
        <v>507.67500000000001</v>
      </c>
      <c r="K377" s="5">
        <v>43479</v>
      </c>
      <c r="L377" s="4">
        <v>0.53611111111111109</v>
      </c>
      <c r="M377" s="3" t="s">
        <v>33</v>
      </c>
      <c r="N377" s="2">
        <v>483.5</v>
      </c>
      <c r="O377" s="2">
        <v>4.7619047620000003</v>
      </c>
      <c r="P377" s="2">
        <v>24.175000000000001</v>
      </c>
      <c r="Q377" s="2">
        <v>7</v>
      </c>
      <c r="R377" s="3" t="str">
        <f t="shared" si="12"/>
        <v>January</v>
      </c>
      <c r="S377" s="3">
        <f t="shared" si="11"/>
        <v>1</v>
      </c>
      <c r="T377" s="3" t="str">
        <f>IF(tbl_sales[[#This Row],[Sales]]&gt;=500,"High Value","Standard")</f>
        <v>High Value</v>
      </c>
      <c r="U377" s="1" t="str">
        <f>IF(tbl_sales[[#This Row],[Order Size]]="High Value","High Value Order","Standard Order")</f>
        <v>High Value Order</v>
      </c>
      <c r="V377" s="1"/>
      <c r="W377" s="17" t="s">
        <v>37</v>
      </c>
      <c r="X377" s="17"/>
      <c r="Y377" s="6"/>
      <c r="Z377" s="1" t="s">
        <v>37</v>
      </c>
    </row>
    <row r="378" spans="1:26">
      <c r="A378" s="3" t="s">
        <v>2320</v>
      </c>
      <c r="B378" s="3" t="s">
        <v>115</v>
      </c>
      <c r="C378" s="3" t="s">
        <v>116</v>
      </c>
      <c r="D378" s="3" t="s">
        <v>24</v>
      </c>
      <c r="E378" s="3" t="s">
        <v>25</v>
      </c>
      <c r="F378" s="3" t="s">
        <v>53</v>
      </c>
      <c r="G378" s="2">
        <v>35.380000000000003</v>
      </c>
      <c r="H378" s="2">
        <v>9</v>
      </c>
      <c r="I378" s="2">
        <v>15.920999999999999</v>
      </c>
      <c r="J378" s="2">
        <v>334.34100000000001</v>
      </c>
      <c r="K378" s="5">
        <v>43470</v>
      </c>
      <c r="L378" s="4">
        <v>0.82638888888888884</v>
      </c>
      <c r="M378" s="3" t="s">
        <v>59</v>
      </c>
      <c r="N378" s="2">
        <v>318.42</v>
      </c>
      <c r="O378" s="2">
        <v>4.7619047620000003</v>
      </c>
      <c r="P378" s="2">
        <v>15.920999999999999</v>
      </c>
      <c r="Q378" s="2">
        <v>9.6</v>
      </c>
      <c r="R378" s="3" t="str">
        <f t="shared" si="12"/>
        <v>January</v>
      </c>
      <c r="S378" s="3">
        <f t="shared" si="11"/>
        <v>1</v>
      </c>
      <c r="T378" s="3" t="str">
        <f>IF(tbl_sales[[#This Row],[Sales]]&gt;=500,"High Value","Standard")</f>
        <v>Standard</v>
      </c>
      <c r="U378" s="1" t="str">
        <f>IF(tbl_sales[[#This Row],[Order Size]]="High Value","High Value Order","Standard Order")</f>
        <v>Standard Order</v>
      </c>
      <c r="V378" s="1"/>
      <c r="W378" s="17" t="s">
        <v>37</v>
      </c>
      <c r="X378" s="17"/>
      <c r="Y378" s="6"/>
      <c r="Z378" s="1" t="s">
        <v>37</v>
      </c>
    </row>
    <row r="379" spans="1:26">
      <c r="A379" s="3" t="s">
        <v>2326</v>
      </c>
      <c r="B379" s="3" t="s">
        <v>39</v>
      </c>
      <c r="C379" s="3" t="s">
        <v>40</v>
      </c>
      <c r="D379" s="3" t="s">
        <v>41</v>
      </c>
      <c r="E379" s="3" t="s">
        <v>992</v>
      </c>
      <c r="F379" s="3" t="s">
        <v>72</v>
      </c>
      <c r="G379" s="2">
        <v>95.49</v>
      </c>
      <c r="H379" s="2">
        <v>7</v>
      </c>
      <c r="I379" s="2">
        <v>33.421500000000002</v>
      </c>
      <c r="J379" s="2">
        <v>701.85149999999999</v>
      </c>
      <c r="K379" s="5">
        <v>43518</v>
      </c>
      <c r="L379" s="4">
        <v>0.76180555555555551</v>
      </c>
      <c r="M379" s="3" t="s">
        <v>33</v>
      </c>
      <c r="N379" s="2">
        <v>668.43</v>
      </c>
      <c r="O379" s="2">
        <v>4.7619047620000003</v>
      </c>
      <c r="P379" s="2">
        <v>33.421500000000002</v>
      </c>
      <c r="Q379" s="2">
        <v>8.6999999999999993</v>
      </c>
      <c r="R379" s="3" t="str">
        <f t="shared" si="12"/>
        <v>February</v>
      </c>
      <c r="S379" s="3">
        <f t="shared" si="11"/>
        <v>2</v>
      </c>
      <c r="T379" s="3" t="str">
        <f>IF(tbl_sales[[#This Row],[Sales]]&gt;=500,"High Value","Standard")</f>
        <v>High Value</v>
      </c>
      <c r="U379" s="1" t="str">
        <f>IF(tbl_sales[[#This Row],[Order Size]]="High Value","High Value Order","Standard Order")</f>
        <v>High Value Order</v>
      </c>
      <c r="V379" s="1"/>
      <c r="W379" s="17" t="s">
        <v>37</v>
      </c>
      <c r="X379" s="17"/>
      <c r="Y379" s="6"/>
      <c r="Z379" s="1" t="s">
        <v>37</v>
      </c>
    </row>
    <row r="380" spans="1:26">
      <c r="A380" s="3" t="s">
        <v>2331</v>
      </c>
      <c r="B380" s="3" t="s">
        <v>39</v>
      </c>
      <c r="C380" s="3" t="s">
        <v>40</v>
      </c>
      <c r="D380" s="3" t="s">
        <v>24</v>
      </c>
      <c r="E380" s="3" t="s">
        <v>992</v>
      </c>
      <c r="F380" s="3" t="s">
        <v>127</v>
      </c>
      <c r="G380" s="2">
        <v>96.98</v>
      </c>
      <c r="H380" s="2">
        <v>4</v>
      </c>
      <c r="I380" s="2">
        <v>19.396000000000001</v>
      </c>
      <c r="J380" s="2">
        <v>407.31599999999997</v>
      </c>
      <c r="K380" s="5">
        <v>43502</v>
      </c>
      <c r="L380" s="4">
        <v>0.72222222222222221</v>
      </c>
      <c r="M380" s="3" t="s">
        <v>33</v>
      </c>
      <c r="N380" s="2">
        <v>387.92</v>
      </c>
      <c r="O380" s="2">
        <v>4.7619047620000003</v>
      </c>
      <c r="P380" s="2">
        <v>19.396000000000001</v>
      </c>
      <c r="Q380" s="2">
        <v>9.4</v>
      </c>
      <c r="R380" s="3" t="str">
        <f t="shared" si="12"/>
        <v>February</v>
      </c>
      <c r="S380" s="3">
        <f t="shared" si="11"/>
        <v>2</v>
      </c>
      <c r="T380" s="3" t="str">
        <f>IF(tbl_sales[[#This Row],[Sales]]&gt;=500,"High Value","Standard")</f>
        <v>Standard</v>
      </c>
      <c r="U380" s="1" t="str">
        <f>IF(tbl_sales[[#This Row],[Order Size]]="High Value","High Value Order","Standard Order")</f>
        <v>Standard Order</v>
      </c>
      <c r="V380" s="1"/>
      <c r="W380" s="17" t="s">
        <v>37</v>
      </c>
      <c r="X380" s="17"/>
      <c r="Y380" s="6"/>
      <c r="Z380" s="1" t="s">
        <v>37</v>
      </c>
    </row>
    <row r="381" spans="1:26">
      <c r="A381" s="3" t="s">
        <v>2336</v>
      </c>
      <c r="B381" s="3" t="s">
        <v>115</v>
      </c>
      <c r="C381" s="3" t="s">
        <v>116</v>
      </c>
      <c r="D381" s="3" t="s">
        <v>41</v>
      </c>
      <c r="E381" s="3" t="s">
        <v>25</v>
      </c>
      <c r="F381" s="3" t="s">
        <v>42</v>
      </c>
      <c r="G381" s="2">
        <v>23.65</v>
      </c>
      <c r="H381" s="2">
        <v>4</v>
      </c>
      <c r="I381" s="2">
        <v>4.7300000000000004</v>
      </c>
      <c r="J381" s="2">
        <v>99.33</v>
      </c>
      <c r="K381" s="5">
        <v>43495</v>
      </c>
      <c r="L381" s="4">
        <v>0.56388888888888888</v>
      </c>
      <c r="M381" s="3" t="s">
        <v>59</v>
      </c>
      <c r="N381" s="2">
        <v>94.6</v>
      </c>
      <c r="O381" s="2">
        <v>4.7619047620000003</v>
      </c>
      <c r="P381" s="2">
        <v>4.7300000000000004</v>
      </c>
      <c r="Q381" s="2">
        <v>4</v>
      </c>
      <c r="R381" s="3" t="str">
        <f t="shared" si="12"/>
        <v>January</v>
      </c>
      <c r="S381" s="3">
        <f t="shared" si="11"/>
        <v>1</v>
      </c>
      <c r="T381" s="3" t="str">
        <f>IF(tbl_sales[[#This Row],[Sales]]&gt;=500,"High Value","Standard")</f>
        <v>Standard</v>
      </c>
      <c r="U381" s="1" t="str">
        <f>IF(tbl_sales[[#This Row],[Order Size]]="High Value","High Value Order","Standard Order")</f>
        <v>Standard Order</v>
      </c>
      <c r="V381" s="1"/>
      <c r="W381" s="17" t="s">
        <v>37</v>
      </c>
      <c r="X381" s="17"/>
      <c r="Y381" s="6"/>
      <c r="Z381" s="1" t="s">
        <v>37</v>
      </c>
    </row>
    <row r="382" spans="1:26">
      <c r="A382" s="3" t="s">
        <v>2341</v>
      </c>
      <c r="B382" s="3" t="s">
        <v>22</v>
      </c>
      <c r="C382" s="3" t="s">
        <v>23</v>
      </c>
      <c r="D382" s="3" t="s">
        <v>24</v>
      </c>
      <c r="E382" s="3" t="s">
        <v>992</v>
      </c>
      <c r="F382" s="3" t="s">
        <v>72</v>
      </c>
      <c r="G382" s="2">
        <v>82.33</v>
      </c>
      <c r="H382" s="2">
        <v>4</v>
      </c>
      <c r="I382" s="2">
        <v>16.466000000000001</v>
      </c>
      <c r="J382" s="2">
        <v>345.786</v>
      </c>
      <c r="K382" s="5">
        <v>43476</v>
      </c>
      <c r="L382" s="4">
        <v>0.44236111111111109</v>
      </c>
      <c r="M382" s="3" t="s">
        <v>59</v>
      </c>
      <c r="N382" s="2">
        <v>329.32</v>
      </c>
      <c r="O382" s="2">
        <v>4.7619047620000003</v>
      </c>
      <c r="P382" s="2">
        <v>16.466000000000001</v>
      </c>
      <c r="Q382" s="2">
        <v>7.5</v>
      </c>
      <c r="R382" s="3" t="str">
        <f t="shared" si="12"/>
        <v>January</v>
      </c>
      <c r="S382" s="3">
        <f t="shared" si="11"/>
        <v>1</v>
      </c>
      <c r="T382" s="3" t="str">
        <f>IF(tbl_sales[[#This Row],[Sales]]&gt;=500,"High Value","Standard")</f>
        <v>Standard</v>
      </c>
      <c r="U382" s="1" t="str">
        <f>IF(tbl_sales[[#This Row],[Order Size]]="High Value","High Value Order","Standard Order")</f>
        <v>Standard Order</v>
      </c>
      <c r="V382" s="1"/>
      <c r="W382" s="17" t="s">
        <v>37</v>
      </c>
      <c r="X382" s="17"/>
      <c r="Y382" s="6"/>
      <c r="Z382" s="1" t="s">
        <v>37</v>
      </c>
    </row>
    <row r="383" spans="1:26">
      <c r="A383" s="3" t="s">
        <v>2346</v>
      </c>
      <c r="B383" s="3" t="s">
        <v>39</v>
      </c>
      <c r="C383" s="3" t="s">
        <v>40</v>
      </c>
      <c r="D383" s="3" t="s">
        <v>41</v>
      </c>
      <c r="E383" s="3" t="s">
        <v>25</v>
      </c>
      <c r="F383" s="3" t="s">
        <v>42</v>
      </c>
      <c r="G383" s="2">
        <v>26.61</v>
      </c>
      <c r="H383" s="2">
        <v>2</v>
      </c>
      <c r="I383" s="2">
        <v>2.661</v>
      </c>
      <c r="J383" s="2">
        <v>55.881</v>
      </c>
      <c r="K383" s="5">
        <v>43543</v>
      </c>
      <c r="L383" s="4">
        <v>0.60763888888888884</v>
      </c>
      <c r="M383" s="3" t="s">
        <v>49</v>
      </c>
      <c r="N383" s="2">
        <v>53.22</v>
      </c>
      <c r="O383" s="2">
        <v>4.7619047620000003</v>
      </c>
      <c r="P383" s="2">
        <v>2.661</v>
      </c>
      <c r="Q383" s="2">
        <v>4.2</v>
      </c>
      <c r="R383" s="3" t="str">
        <f t="shared" si="12"/>
        <v>March</v>
      </c>
      <c r="S383" s="3">
        <f t="shared" si="11"/>
        <v>3</v>
      </c>
      <c r="T383" s="3" t="str">
        <f>IF(tbl_sales[[#This Row],[Sales]]&gt;=500,"High Value","Standard")</f>
        <v>Standard</v>
      </c>
      <c r="U383" s="1" t="str">
        <f>IF(tbl_sales[[#This Row],[Order Size]]="High Value","High Value Order","Standard Order")</f>
        <v>Standard Order</v>
      </c>
      <c r="V383" s="1"/>
      <c r="W383" s="17" t="s">
        <v>37</v>
      </c>
      <c r="X383" s="17"/>
      <c r="Y383" s="6"/>
      <c r="Z383" s="1" t="s">
        <v>37</v>
      </c>
    </row>
    <row r="384" spans="1:26">
      <c r="A384" s="3" t="s">
        <v>2351</v>
      </c>
      <c r="B384" s="3" t="s">
        <v>115</v>
      </c>
      <c r="C384" s="3" t="s">
        <v>116</v>
      </c>
      <c r="D384" s="3" t="s">
        <v>41</v>
      </c>
      <c r="E384" s="3" t="s">
        <v>25</v>
      </c>
      <c r="F384" s="3" t="s">
        <v>117</v>
      </c>
      <c r="G384" s="2">
        <v>99.69</v>
      </c>
      <c r="H384" s="2">
        <v>5</v>
      </c>
      <c r="I384" s="2">
        <v>24.922499999999999</v>
      </c>
      <c r="J384" s="2">
        <v>523.37249999999995</v>
      </c>
      <c r="K384" s="5">
        <v>43479</v>
      </c>
      <c r="L384" s="4">
        <v>0.50624999999999998</v>
      </c>
      <c r="M384" s="3" t="s">
        <v>49</v>
      </c>
      <c r="N384" s="2">
        <v>498.45</v>
      </c>
      <c r="O384" s="2">
        <v>4.7619047620000003</v>
      </c>
      <c r="P384" s="2">
        <v>24.922499999999999</v>
      </c>
      <c r="Q384" s="2">
        <v>9.9</v>
      </c>
      <c r="R384" s="3" t="str">
        <f t="shared" si="12"/>
        <v>January</v>
      </c>
      <c r="S384" s="3">
        <f t="shared" si="11"/>
        <v>1</v>
      </c>
      <c r="T384" s="3" t="str">
        <f>IF(tbl_sales[[#This Row],[Sales]]&gt;=500,"High Value","Standard")</f>
        <v>High Value</v>
      </c>
      <c r="U384" s="1" t="str">
        <f>IF(tbl_sales[[#This Row],[Order Size]]="High Value","High Value Order","Standard Order")</f>
        <v>High Value Order</v>
      </c>
      <c r="V384" s="1"/>
      <c r="W384" s="17" t="s">
        <v>37</v>
      </c>
      <c r="X384" s="17"/>
      <c r="Y384" s="6"/>
      <c r="Z384" s="1" t="s">
        <v>37</v>
      </c>
    </row>
    <row r="385" spans="1:26">
      <c r="A385" s="3" t="s">
        <v>2356</v>
      </c>
      <c r="B385" s="3" t="s">
        <v>39</v>
      </c>
      <c r="C385" s="3" t="s">
        <v>40</v>
      </c>
      <c r="D385" s="3" t="s">
        <v>24</v>
      </c>
      <c r="E385" s="3" t="s">
        <v>25</v>
      </c>
      <c r="F385" s="3" t="s">
        <v>117</v>
      </c>
      <c r="G385" s="2">
        <v>74.89</v>
      </c>
      <c r="H385" s="2">
        <v>4</v>
      </c>
      <c r="I385" s="2">
        <v>14.978</v>
      </c>
      <c r="J385" s="2">
        <v>314.53800000000001</v>
      </c>
      <c r="K385" s="5">
        <v>43525</v>
      </c>
      <c r="L385" s="4">
        <v>0.64722222222222225</v>
      </c>
      <c r="M385" s="3" t="s">
        <v>33</v>
      </c>
      <c r="N385" s="2">
        <v>299.56</v>
      </c>
      <c r="O385" s="2">
        <v>4.7619047620000003</v>
      </c>
      <c r="P385" s="2">
        <v>14.978</v>
      </c>
      <c r="Q385" s="2">
        <v>4.2</v>
      </c>
      <c r="R385" s="3" t="str">
        <f t="shared" si="12"/>
        <v>March</v>
      </c>
      <c r="S385" s="3">
        <f t="shared" si="11"/>
        <v>3</v>
      </c>
      <c r="T385" s="3" t="str">
        <f>IF(tbl_sales[[#This Row],[Sales]]&gt;=500,"High Value","Standard")</f>
        <v>Standard</v>
      </c>
      <c r="U385" s="1" t="str">
        <f>IF(tbl_sales[[#This Row],[Order Size]]="High Value","High Value Order","Standard Order")</f>
        <v>Standard Order</v>
      </c>
      <c r="V385" s="1"/>
      <c r="W385" s="17" t="s">
        <v>37</v>
      </c>
      <c r="X385" s="17"/>
      <c r="Y385" s="6"/>
      <c r="Z385" s="1" t="s">
        <v>37</v>
      </c>
    </row>
    <row r="386" spans="1:26">
      <c r="A386" s="3" t="s">
        <v>2362</v>
      </c>
      <c r="B386" s="3" t="s">
        <v>22</v>
      </c>
      <c r="C386" s="3" t="s">
        <v>23</v>
      </c>
      <c r="D386" s="3" t="s">
        <v>41</v>
      </c>
      <c r="E386" s="3" t="s">
        <v>25</v>
      </c>
      <c r="F386" s="3" t="s">
        <v>117</v>
      </c>
      <c r="G386" s="2">
        <v>40.94</v>
      </c>
      <c r="H386" s="2">
        <v>5</v>
      </c>
      <c r="I386" s="2">
        <v>10.234999999999999</v>
      </c>
      <c r="J386" s="2">
        <v>214.935</v>
      </c>
      <c r="K386" s="5">
        <v>43471</v>
      </c>
      <c r="L386" s="4">
        <v>0.58194444444444449</v>
      </c>
      <c r="M386" s="3" t="s">
        <v>33</v>
      </c>
      <c r="N386" s="2">
        <v>204.7</v>
      </c>
      <c r="O386" s="2">
        <v>4.7619047620000003</v>
      </c>
      <c r="P386" s="2">
        <v>10.234999999999999</v>
      </c>
      <c r="Q386" s="2">
        <v>9.9</v>
      </c>
      <c r="R386" s="3" t="str">
        <f t="shared" si="12"/>
        <v>January</v>
      </c>
      <c r="S386" s="3">
        <f t="shared" ref="S386:S449" si="13">MONTH(K386)</f>
        <v>1</v>
      </c>
      <c r="T386" s="3" t="str">
        <f>IF(tbl_sales[[#This Row],[Sales]]&gt;=500,"High Value","Standard")</f>
        <v>Standard</v>
      </c>
      <c r="U386" s="1" t="str">
        <f>IF(tbl_sales[[#This Row],[Order Size]]="High Value","High Value Order","Standard Order")</f>
        <v>Standard Order</v>
      </c>
      <c r="V386" s="1"/>
      <c r="W386" s="17" t="s">
        <v>37</v>
      </c>
      <c r="X386" s="17"/>
      <c r="Y386" s="6"/>
      <c r="Z386" s="1" t="s">
        <v>37</v>
      </c>
    </row>
    <row r="387" spans="1:26">
      <c r="A387" s="3" t="s">
        <v>2367</v>
      </c>
      <c r="B387" s="3" t="s">
        <v>115</v>
      </c>
      <c r="C387" s="3" t="s">
        <v>116</v>
      </c>
      <c r="D387" s="3" t="s">
        <v>24</v>
      </c>
      <c r="E387" s="3" t="s">
        <v>992</v>
      </c>
      <c r="F387" s="3" t="s">
        <v>72</v>
      </c>
      <c r="G387" s="2">
        <v>75.819999999999993</v>
      </c>
      <c r="H387" s="2">
        <v>1</v>
      </c>
      <c r="I387" s="2">
        <v>3.7909999999999999</v>
      </c>
      <c r="J387" s="2">
        <v>79.611000000000004</v>
      </c>
      <c r="K387" s="5">
        <v>43496</v>
      </c>
      <c r="L387" s="4">
        <v>0.55486111111111114</v>
      </c>
      <c r="M387" s="3" t="s">
        <v>49</v>
      </c>
      <c r="N387" s="2">
        <v>75.819999999999993</v>
      </c>
      <c r="O387" s="2">
        <v>4.7619047620000003</v>
      </c>
      <c r="P387" s="2">
        <v>3.7909999999999999</v>
      </c>
      <c r="Q387" s="2">
        <v>5.8</v>
      </c>
      <c r="R387" s="3" t="str">
        <f t="shared" ref="R387:R450" si="14">TEXT(K387,"mmmm")</f>
        <v>January</v>
      </c>
      <c r="S387" s="3">
        <f t="shared" si="13"/>
        <v>1</v>
      </c>
      <c r="T387" s="3" t="str">
        <f>IF(tbl_sales[[#This Row],[Sales]]&gt;=500,"High Value","Standard")</f>
        <v>Standard</v>
      </c>
      <c r="U387" s="1" t="str">
        <f>IF(tbl_sales[[#This Row],[Order Size]]="High Value","High Value Order","Standard Order")</f>
        <v>Standard Order</v>
      </c>
      <c r="V387" s="1"/>
      <c r="W387" s="17" t="s">
        <v>37</v>
      </c>
      <c r="X387" s="17"/>
      <c r="Y387" s="6"/>
      <c r="Z387" s="1" t="s">
        <v>37</v>
      </c>
    </row>
    <row r="388" spans="1:26">
      <c r="A388" s="3" t="s">
        <v>2372</v>
      </c>
      <c r="B388" s="3" t="s">
        <v>39</v>
      </c>
      <c r="C388" s="3" t="s">
        <v>40</v>
      </c>
      <c r="D388" s="3" t="s">
        <v>41</v>
      </c>
      <c r="E388" s="3" t="s">
        <v>992</v>
      </c>
      <c r="F388" s="3" t="s">
        <v>117</v>
      </c>
      <c r="G388" s="2">
        <v>46.77</v>
      </c>
      <c r="H388" s="2">
        <v>6</v>
      </c>
      <c r="I388" s="2">
        <v>14.031000000000001</v>
      </c>
      <c r="J388" s="2">
        <v>294.65100000000001</v>
      </c>
      <c r="K388" s="5">
        <v>43535</v>
      </c>
      <c r="L388" s="4">
        <v>0.56736111111111109</v>
      </c>
      <c r="M388" s="3" t="s">
        <v>49</v>
      </c>
      <c r="N388" s="2">
        <v>280.62</v>
      </c>
      <c r="O388" s="2">
        <v>4.7619047620000003</v>
      </c>
      <c r="P388" s="2">
        <v>14.031000000000001</v>
      </c>
      <c r="Q388" s="2">
        <v>6</v>
      </c>
      <c r="R388" s="3" t="str">
        <f t="shared" si="14"/>
        <v>March</v>
      </c>
      <c r="S388" s="3">
        <f t="shared" si="13"/>
        <v>3</v>
      </c>
      <c r="T388" s="3" t="str">
        <f>IF(tbl_sales[[#This Row],[Sales]]&gt;=500,"High Value","Standard")</f>
        <v>Standard</v>
      </c>
      <c r="U388" s="1" t="str">
        <f>IF(tbl_sales[[#This Row],[Order Size]]="High Value","High Value Order","Standard Order")</f>
        <v>Standard Order</v>
      </c>
      <c r="V388" s="1"/>
      <c r="W388" s="17" t="s">
        <v>37</v>
      </c>
      <c r="X388" s="17"/>
      <c r="Y388" s="6"/>
      <c r="Z388" s="1" t="s">
        <v>37</v>
      </c>
    </row>
    <row r="389" spans="1:26">
      <c r="A389" s="3" t="s">
        <v>2378</v>
      </c>
      <c r="B389" s="3" t="s">
        <v>22</v>
      </c>
      <c r="C389" s="3" t="s">
        <v>23</v>
      </c>
      <c r="D389" s="3" t="s">
        <v>41</v>
      </c>
      <c r="E389" s="3" t="s">
        <v>25</v>
      </c>
      <c r="F389" s="3" t="s">
        <v>26</v>
      </c>
      <c r="G389" s="2">
        <v>32.32</v>
      </c>
      <c r="H389" s="2">
        <v>10</v>
      </c>
      <c r="I389" s="2">
        <v>16.16</v>
      </c>
      <c r="J389" s="2">
        <v>339.36</v>
      </c>
      <c r="K389" s="5">
        <v>43516</v>
      </c>
      <c r="L389" s="4">
        <v>0.7006944444444444</v>
      </c>
      <c r="M389" s="3" t="s">
        <v>59</v>
      </c>
      <c r="N389" s="2">
        <v>323.2</v>
      </c>
      <c r="O389" s="2">
        <v>4.7619047620000003</v>
      </c>
      <c r="P389" s="2">
        <v>16.16</v>
      </c>
      <c r="Q389" s="2">
        <v>10</v>
      </c>
      <c r="R389" s="3" t="str">
        <f t="shared" si="14"/>
        <v>February</v>
      </c>
      <c r="S389" s="3">
        <f t="shared" si="13"/>
        <v>2</v>
      </c>
      <c r="T389" s="3" t="str">
        <f>IF(tbl_sales[[#This Row],[Sales]]&gt;=500,"High Value","Standard")</f>
        <v>Standard</v>
      </c>
      <c r="U389" s="1" t="str">
        <f>IF(tbl_sales[[#This Row],[Order Size]]="High Value","High Value Order","Standard Order")</f>
        <v>Standard Order</v>
      </c>
      <c r="V389" s="1"/>
      <c r="W389" s="17" t="s">
        <v>37</v>
      </c>
      <c r="X389" s="17"/>
      <c r="Y389" s="6"/>
      <c r="Z389" s="1" t="s">
        <v>37</v>
      </c>
    </row>
    <row r="390" spans="1:26">
      <c r="A390" s="3" t="s">
        <v>2381</v>
      </c>
      <c r="B390" s="3" t="s">
        <v>39</v>
      </c>
      <c r="C390" s="3" t="s">
        <v>40</v>
      </c>
      <c r="D390" s="3" t="s">
        <v>24</v>
      </c>
      <c r="E390" s="3" t="s">
        <v>25</v>
      </c>
      <c r="F390" s="3" t="s">
        <v>127</v>
      </c>
      <c r="G390" s="2">
        <v>54.07</v>
      </c>
      <c r="H390" s="2">
        <v>9</v>
      </c>
      <c r="I390" s="2">
        <v>24.331499999999998</v>
      </c>
      <c r="J390" s="2">
        <v>510.9615</v>
      </c>
      <c r="K390" s="5">
        <v>43492</v>
      </c>
      <c r="L390" s="4">
        <v>0.62152777777777779</v>
      </c>
      <c r="M390" s="3" t="s">
        <v>33</v>
      </c>
      <c r="N390" s="2">
        <v>486.63</v>
      </c>
      <c r="O390" s="2">
        <v>4.7619047620000003</v>
      </c>
      <c r="P390" s="2">
        <v>24.331499999999998</v>
      </c>
      <c r="Q390" s="2">
        <v>9.5</v>
      </c>
      <c r="R390" s="3" t="str">
        <f t="shared" si="14"/>
        <v>January</v>
      </c>
      <c r="S390" s="3">
        <f t="shared" si="13"/>
        <v>1</v>
      </c>
      <c r="T390" s="3" t="str">
        <f>IF(tbl_sales[[#This Row],[Sales]]&gt;=500,"High Value","Standard")</f>
        <v>High Value</v>
      </c>
      <c r="U390" s="1" t="str">
        <f>IF(tbl_sales[[#This Row],[Order Size]]="High Value","High Value Order","Standard Order")</f>
        <v>High Value Order</v>
      </c>
      <c r="V390" s="1"/>
      <c r="W390" s="17" t="s">
        <v>37</v>
      </c>
      <c r="X390" s="17"/>
      <c r="Y390" s="6"/>
      <c r="Z390" s="1" t="s">
        <v>37</v>
      </c>
    </row>
    <row r="391" spans="1:26">
      <c r="A391" s="3" t="s">
        <v>2387</v>
      </c>
      <c r="B391" s="3" t="s">
        <v>115</v>
      </c>
      <c r="C391" s="3" t="s">
        <v>116</v>
      </c>
      <c r="D391" s="3" t="s">
        <v>41</v>
      </c>
      <c r="E391" s="3" t="s">
        <v>992</v>
      </c>
      <c r="F391" s="3" t="s">
        <v>117</v>
      </c>
      <c r="G391" s="2">
        <v>18.22</v>
      </c>
      <c r="H391" s="2">
        <v>7</v>
      </c>
      <c r="I391" s="2">
        <v>6.3769999999999998</v>
      </c>
      <c r="J391" s="2">
        <v>133.917</v>
      </c>
      <c r="K391" s="5">
        <v>43534</v>
      </c>
      <c r="L391" s="4">
        <v>0.58611111111111114</v>
      </c>
      <c r="M391" s="3" t="s">
        <v>59</v>
      </c>
      <c r="N391" s="2">
        <v>127.54</v>
      </c>
      <c r="O391" s="2">
        <v>4.7619047620000003</v>
      </c>
      <c r="P391" s="2">
        <v>6.3769999999999998</v>
      </c>
      <c r="Q391" s="2">
        <v>6.6</v>
      </c>
      <c r="R391" s="3" t="str">
        <f t="shared" si="14"/>
        <v>March</v>
      </c>
      <c r="S391" s="3">
        <f t="shared" si="13"/>
        <v>3</v>
      </c>
      <c r="T391" s="3" t="str">
        <f>IF(tbl_sales[[#This Row],[Sales]]&gt;=500,"High Value","Standard")</f>
        <v>Standard</v>
      </c>
      <c r="U391" s="1" t="str">
        <f>IF(tbl_sales[[#This Row],[Order Size]]="High Value","High Value Order","Standard Order")</f>
        <v>Standard Order</v>
      </c>
      <c r="V391" s="1"/>
      <c r="W391" s="17" t="s">
        <v>37</v>
      </c>
      <c r="X391" s="17"/>
      <c r="Y391" s="6"/>
      <c r="Z391" s="1" t="s">
        <v>37</v>
      </c>
    </row>
    <row r="392" spans="1:26">
      <c r="A392" s="3" t="s">
        <v>2392</v>
      </c>
      <c r="B392" s="3" t="s">
        <v>39</v>
      </c>
      <c r="C392" s="3" t="s">
        <v>40</v>
      </c>
      <c r="D392" s="3" t="s">
        <v>24</v>
      </c>
      <c r="E392" s="3" t="s">
        <v>25</v>
      </c>
      <c r="F392" s="3" t="s">
        <v>127</v>
      </c>
      <c r="G392" s="2">
        <v>80.48</v>
      </c>
      <c r="H392" s="2">
        <v>3</v>
      </c>
      <c r="I392" s="2">
        <v>12.071999999999999</v>
      </c>
      <c r="J392" s="2">
        <v>253.512</v>
      </c>
      <c r="K392" s="5">
        <v>43511</v>
      </c>
      <c r="L392" s="4">
        <v>0.52152777777777781</v>
      </c>
      <c r="M392" s="3" t="s">
        <v>49</v>
      </c>
      <c r="N392" s="2">
        <v>241.44</v>
      </c>
      <c r="O392" s="2">
        <v>4.7619047620000003</v>
      </c>
      <c r="P392" s="2">
        <v>12.071999999999999</v>
      </c>
      <c r="Q392" s="2">
        <v>8.1</v>
      </c>
      <c r="R392" s="3" t="str">
        <f t="shared" si="14"/>
        <v>February</v>
      </c>
      <c r="S392" s="3">
        <f t="shared" si="13"/>
        <v>2</v>
      </c>
      <c r="T392" s="3" t="str">
        <f>IF(tbl_sales[[#This Row],[Sales]]&gt;=500,"High Value","Standard")</f>
        <v>Standard</v>
      </c>
      <c r="U392" s="1" t="str">
        <f>IF(tbl_sales[[#This Row],[Order Size]]="High Value","High Value Order","Standard Order")</f>
        <v>Standard Order</v>
      </c>
      <c r="V392" s="1"/>
      <c r="W392" s="17" t="s">
        <v>37</v>
      </c>
      <c r="X392" s="17"/>
      <c r="Y392" s="6"/>
      <c r="Z392" s="1" t="s">
        <v>37</v>
      </c>
    </row>
    <row r="393" spans="1:26">
      <c r="A393" s="3" t="s">
        <v>2398</v>
      </c>
      <c r="B393" s="3" t="s">
        <v>115</v>
      </c>
      <c r="C393" s="3" t="s">
        <v>116</v>
      </c>
      <c r="D393" s="3" t="s">
        <v>41</v>
      </c>
      <c r="E393" s="3" t="s">
        <v>25</v>
      </c>
      <c r="F393" s="3" t="s">
        <v>127</v>
      </c>
      <c r="G393" s="2">
        <v>37.950000000000003</v>
      </c>
      <c r="H393" s="2">
        <v>10</v>
      </c>
      <c r="I393" s="2">
        <v>18.975000000000001</v>
      </c>
      <c r="J393" s="2">
        <v>398.47500000000002</v>
      </c>
      <c r="K393" s="5">
        <v>43491</v>
      </c>
      <c r="L393" s="4">
        <v>0.61875000000000002</v>
      </c>
      <c r="M393" s="3" t="s">
        <v>49</v>
      </c>
      <c r="N393" s="2">
        <v>379.5</v>
      </c>
      <c r="O393" s="2">
        <v>4.7619047620000003</v>
      </c>
      <c r="P393" s="2">
        <v>18.975000000000001</v>
      </c>
      <c r="Q393" s="2">
        <v>9.6999999999999993</v>
      </c>
      <c r="R393" s="3" t="str">
        <f t="shared" si="14"/>
        <v>January</v>
      </c>
      <c r="S393" s="3">
        <f t="shared" si="13"/>
        <v>1</v>
      </c>
      <c r="T393" s="3" t="str">
        <f>IF(tbl_sales[[#This Row],[Sales]]&gt;=500,"High Value","Standard")</f>
        <v>Standard</v>
      </c>
      <c r="U393" s="1" t="str">
        <f>IF(tbl_sales[[#This Row],[Order Size]]="High Value","High Value Order","Standard Order")</f>
        <v>Standard Order</v>
      </c>
      <c r="V393" s="1"/>
      <c r="W393" s="17" t="s">
        <v>37</v>
      </c>
      <c r="X393" s="17"/>
      <c r="Y393" s="6"/>
      <c r="Z393" s="1" t="s">
        <v>37</v>
      </c>
    </row>
    <row r="394" spans="1:26">
      <c r="A394" s="3" t="s">
        <v>2403</v>
      </c>
      <c r="B394" s="3" t="s">
        <v>22</v>
      </c>
      <c r="C394" s="3" t="s">
        <v>23</v>
      </c>
      <c r="D394" s="3" t="s">
        <v>24</v>
      </c>
      <c r="E394" s="3" t="s">
        <v>992</v>
      </c>
      <c r="F394" s="3" t="s">
        <v>42</v>
      </c>
      <c r="G394" s="2">
        <v>76.819999999999993</v>
      </c>
      <c r="H394" s="2">
        <v>1</v>
      </c>
      <c r="I394" s="2">
        <v>3.8410000000000002</v>
      </c>
      <c r="J394" s="2">
        <v>80.661000000000001</v>
      </c>
      <c r="K394" s="5">
        <v>43509</v>
      </c>
      <c r="L394" s="4">
        <v>0.76875000000000004</v>
      </c>
      <c r="M394" s="3" t="s">
        <v>33</v>
      </c>
      <c r="N394" s="2">
        <v>76.819999999999993</v>
      </c>
      <c r="O394" s="2">
        <v>4.7619047620000003</v>
      </c>
      <c r="P394" s="2">
        <v>3.8410000000000002</v>
      </c>
      <c r="Q394" s="2">
        <v>7.2</v>
      </c>
      <c r="R394" s="3" t="str">
        <f t="shared" si="14"/>
        <v>February</v>
      </c>
      <c r="S394" s="3">
        <f t="shared" si="13"/>
        <v>2</v>
      </c>
      <c r="T394" s="3" t="str">
        <f>IF(tbl_sales[[#This Row],[Sales]]&gt;=500,"High Value","Standard")</f>
        <v>Standard</v>
      </c>
      <c r="U394" s="1" t="str">
        <f>IF(tbl_sales[[#This Row],[Order Size]]="High Value","High Value Order","Standard Order")</f>
        <v>Standard Order</v>
      </c>
      <c r="V394" s="1"/>
      <c r="W394" s="17" t="s">
        <v>37</v>
      </c>
      <c r="X394" s="17"/>
      <c r="Y394" s="6"/>
      <c r="Z394" s="1" t="s">
        <v>37</v>
      </c>
    </row>
    <row r="395" spans="1:26">
      <c r="A395" s="3" t="s">
        <v>2407</v>
      </c>
      <c r="B395" s="3" t="s">
        <v>22</v>
      </c>
      <c r="C395" s="3" t="s">
        <v>23</v>
      </c>
      <c r="D395" s="3" t="s">
        <v>24</v>
      </c>
      <c r="E395" s="3" t="s">
        <v>25</v>
      </c>
      <c r="F395" s="3" t="s">
        <v>72</v>
      </c>
      <c r="G395" s="2">
        <v>52.26</v>
      </c>
      <c r="H395" s="2">
        <v>10</v>
      </c>
      <c r="I395" s="2">
        <v>26.13</v>
      </c>
      <c r="J395" s="2">
        <v>548.73</v>
      </c>
      <c r="K395" s="5">
        <v>43533</v>
      </c>
      <c r="L395" s="4">
        <v>0.53125</v>
      </c>
      <c r="M395" s="3" t="s">
        <v>59</v>
      </c>
      <c r="N395" s="2">
        <v>522.6</v>
      </c>
      <c r="O395" s="2">
        <v>4.7619047620000003</v>
      </c>
      <c r="P395" s="2">
        <v>26.13</v>
      </c>
      <c r="Q395" s="2">
        <v>6.2</v>
      </c>
      <c r="R395" s="3" t="str">
        <f t="shared" si="14"/>
        <v>March</v>
      </c>
      <c r="S395" s="3">
        <f t="shared" si="13"/>
        <v>3</v>
      </c>
      <c r="T395" s="3" t="str">
        <f>IF(tbl_sales[[#This Row],[Sales]]&gt;=500,"High Value","Standard")</f>
        <v>High Value</v>
      </c>
      <c r="U395" s="1" t="str">
        <f>IF(tbl_sales[[#This Row],[Order Size]]="High Value","High Value Order","Standard Order")</f>
        <v>High Value Order</v>
      </c>
      <c r="V395" s="1"/>
      <c r="W395" s="17" t="s">
        <v>37</v>
      </c>
      <c r="X395" s="17"/>
      <c r="Y395" s="6"/>
      <c r="Z395" s="1" t="s">
        <v>37</v>
      </c>
    </row>
    <row r="396" spans="1:26">
      <c r="A396" s="3" t="s">
        <v>2412</v>
      </c>
      <c r="B396" s="3" t="s">
        <v>22</v>
      </c>
      <c r="C396" s="3" t="s">
        <v>23</v>
      </c>
      <c r="D396" s="3" t="s">
        <v>41</v>
      </c>
      <c r="E396" s="3" t="s">
        <v>25</v>
      </c>
      <c r="F396" s="3" t="s">
        <v>26</v>
      </c>
      <c r="G396" s="2">
        <v>79.739999999999995</v>
      </c>
      <c r="H396" s="2">
        <v>1</v>
      </c>
      <c r="I396" s="2">
        <v>3.9870000000000001</v>
      </c>
      <c r="J396" s="2">
        <v>83.727000000000004</v>
      </c>
      <c r="K396" s="5">
        <v>43530</v>
      </c>
      <c r="L396" s="4">
        <v>0.44166666666666665</v>
      </c>
      <c r="M396" s="3" t="s">
        <v>33</v>
      </c>
      <c r="N396" s="2">
        <v>79.739999999999995</v>
      </c>
      <c r="O396" s="2">
        <v>4.7619047620000003</v>
      </c>
      <c r="P396" s="2">
        <v>3.9870000000000001</v>
      </c>
      <c r="Q396" s="2">
        <v>7.3</v>
      </c>
      <c r="R396" s="3" t="str">
        <f t="shared" si="14"/>
        <v>March</v>
      </c>
      <c r="S396" s="3">
        <f t="shared" si="13"/>
        <v>3</v>
      </c>
      <c r="T396" s="3" t="str">
        <f>IF(tbl_sales[[#This Row],[Sales]]&gt;=500,"High Value","Standard")</f>
        <v>Standard</v>
      </c>
      <c r="U396" s="1" t="str">
        <f>IF(tbl_sales[[#This Row],[Order Size]]="High Value","High Value Order","Standard Order")</f>
        <v>Standard Order</v>
      </c>
      <c r="V396" s="1"/>
      <c r="W396" s="17" t="s">
        <v>37</v>
      </c>
      <c r="X396" s="17"/>
      <c r="Y396" s="6"/>
      <c r="Z396" s="1" t="s">
        <v>37</v>
      </c>
    </row>
    <row r="397" spans="1:26">
      <c r="A397" s="3" t="s">
        <v>2416</v>
      </c>
      <c r="B397" s="3" t="s">
        <v>22</v>
      </c>
      <c r="C397" s="3" t="s">
        <v>23</v>
      </c>
      <c r="D397" s="3" t="s">
        <v>41</v>
      </c>
      <c r="E397" s="3" t="s">
        <v>25</v>
      </c>
      <c r="F397" s="3" t="s">
        <v>26</v>
      </c>
      <c r="G397" s="2">
        <v>77.5</v>
      </c>
      <c r="H397" s="2">
        <v>5</v>
      </c>
      <c r="I397" s="2">
        <v>19.375</v>
      </c>
      <c r="J397" s="2">
        <v>406.875</v>
      </c>
      <c r="K397" s="5">
        <v>43489</v>
      </c>
      <c r="L397" s="4">
        <v>0.85833333333333328</v>
      </c>
      <c r="M397" s="3" t="s">
        <v>33</v>
      </c>
      <c r="N397" s="2">
        <v>387.5</v>
      </c>
      <c r="O397" s="2">
        <v>4.7619047620000003</v>
      </c>
      <c r="P397" s="2">
        <v>19.375</v>
      </c>
      <c r="Q397" s="2">
        <v>4.3</v>
      </c>
      <c r="R397" s="3" t="str">
        <f t="shared" si="14"/>
        <v>January</v>
      </c>
      <c r="S397" s="3">
        <f t="shared" si="13"/>
        <v>1</v>
      </c>
      <c r="T397" s="3" t="str">
        <f>IF(tbl_sales[[#This Row],[Sales]]&gt;=500,"High Value","Standard")</f>
        <v>Standard</v>
      </c>
      <c r="U397" s="1" t="str">
        <f>IF(tbl_sales[[#This Row],[Order Size]]="High Value","High Value Order","Standard Order")</f>
        <v>Standard Order</v>
      </c>
      <c r="V397" s="1"/>
      <c r="W397" s="17" t="s">
        <v>37</v>
      </c>
      <c r="X397" s="17"/>
      <c r="Y397" s="6"/>
      <c r="Z397" s="1" t="s">
        <v>37</v>
      </c>
    </row>
    <row r="398" spans="1:26">
      <c r="A398" s="3" t="s">
        <v>2421</v>
      </c>
      <c r="B398" s="3" t="s">
        <v>22</v>
      </c>
      <c r="C398" s="3" t="s">
        <v>23</v>
      </c>
      <c r="D398" s="3" t="s">
        <v>41</v>
      </c>
      <c r="E398" s="3" t="s">
        <v>25</v>
      </c>
      <c r="F398" s="3" t="s">
        <v>117</v>
      </c>
      <c r="G398" s="2">
        <v>54.27</v>
      </c>
      <c r="H398" s="2">
        <v>5</v>
      </c>
      <c r="I398" s="2">
        <v>13.567500000000001</v>
      </c>
      <c r="J398" s="2">
        <v>284.91750000000002</v>
      </c>
      <c r="K398" s="5">
        <v>43537</v>
      </c>
      <c r="L398" s="4">
        <v>0.59444444444444444</v>
      </c>
      <c r="M398" s="3" t="s">
        <v>33</v>
      </c>
      <c r="N398" s="2">
        <v>271.35000000000002</v>
      </c>
      <c r="O398" s="2">
        <v>4.7619047620000003</v>
      </c>
      <c r="P398" s="2">
        <v>13.567500000000001</v>
      </c>
      <c r="Q398" s="2">
        <v>4.5999999999999996</v>
      </c>
      <c r="R398" s="3" t="str">
        <f t="shared" si="14"/>
        <v>March</v>
      </c>
      <c r="S398" s="3">
        <f t="shared" si="13"/>
        <v>3</v>
      </c>
      <c r="T398" s="3" t="str">
        <f>IF(tbl_sales[[#This Row],[Sales]]&gt;=500,"High Value","Standard")</f>
        <v>Standard</v>
      </c>
      <c r="U398" s="1" t="str">
        <f>IF(tbl_sales[[#This Row],[Order Size]]="High Value","High Value Order","Standard Order")</f>
        <v>Standard Order</v>
      </c>
      <c r="V398" s="1"/>
      <c r="W398" s="17" t="s">
        <v>37</v>
      </c>
      <c r="X398" s="17"/>
      <c r="Y398" s="6"/>
      <c r="Z398" s="1" t="s">
        <v>37</v>
      </c>
    </row>
    <row r="399" spans="1:26">
      <c r="A399" s="3" t="s">
        <v>2426</v>
      </c>
      <c r="B399" s="3" t="s">
        <v>115</v>
      </c>
      <c r="C399" s="3" t="s">
        <v>116</v>
      </c>
      <c r="D399" s="3" t="s">
        <v>41</v>
      </c>
      <c r="E399" s="3" t="s">
        <v>992</v>
      </c>
      <c r="F399" s="3" t="s">
        <v>53</v>
      </c>
      <c r="G399" s="2">
        <v>13.59</v>
      </c>
      <c r="H399" s="2">
        <v>9</v>
      </c>
      <c r="I399" s="2">
        <v>6.1154999999999999</v>
      </c>
      <c r="J399" s="2">
        <v>128.4255</v>
      </c>
      <c r="K399" s="5">
        <v>43539</v>
      </c>
      <c r="L399" s="4">
        <v>0.43472222222222223</v>
      </c>
      <c r="M399" s="3" t="s">
        <v>49</v>
      </c>
      <c r="N399" s="2">
        <v>122.31</v>
      </c>
      <c r="O399" s="2">
        <v>4.7619047620000003</v>
      </c>
      <c r="P399" s="2">
        <v>6.1154999999999999</v>
      </c>
      <c r="Q399" s="2">
        <v>5.8</v>
      </c>
      <c r="R399" s="3" t="str">
        <f t="shared" si="14"/>
        <v>March</v>
      </c>
      <c r="S399" s="3">
        <f t="shared" si="13"/>
        <v>3</v>
      </c>
      <c r="T399" s="3" t="str">
        <f>IF(tbl_sales[[#This Row],[Sales]]&gt;=500,"High Value","Standard")</f>
        <v>Standard</v>
      </c>
      <c r="U399" s="1" t="str">
        <f>IF(tbl_sales[[#This Row],[Order Size]]="High Value","High Value Order","Standard Order")</f>
        <v>Standard Order</v>
      </c>
      <c r="V399" s="1"/>
      <c r="W399" s="17" t="s">
        <v>37</v>
      </c>
      <c r="X399" s="17"/>
      <c r="Y399" s="6"/>
      <c r="Z399" s="1" t="s">
        <v>37</v>
      </c>
    </row>
    <row r="400" spans="1:26">
      <c r="A400" s="3" t="s">
        <v>2432</v>
      </c>
      <c r="B400" s="3" t="s">
        <v>115</v>
      </c>
      <c r="C400" s="3" t="s">
        <v>116</v>
      </c>
      <c r="D400" s="3" t="s">
        <v>24</v>
      </c>
      <c r="E400" s="3" t="s">
        <v>25</v>
      </c>
      <c r="F400" s="3" t="s">
        <v>26</v>
      </c>
      <c r="G400" s="2">
        <v>41.06</v>
      </c>
      <c r="H400" s="2">
        <v>6</v>
      </c>
      <c r="I400" s="2">
        <v>12.318</v>
      </c>
      <c r="J400" s="2">
        <v>258.678</v>
      </c>
      <c r="K400" s="5">
        <v>43529</v>
      </c>
      <c r="L400" s="4">
        <v>0.5625</v>
      </c>
      <c r="M400" s="3" t="s">
        <v>59</v>
      </c>
      <c r="N400" s="2">
        <v>246.36</v>
      </c>
      <c r="O400" s="2">
        <v>4.7619047620000003</v>
      </c>
      <c r="P400" s="2">
        <v>12.318</v>
      </c>
      <c r="Q400" s="2">
        <v>8.3000000000000007</v>
      </c>
      <c r="R400" s="3" t="str">
        <f t="shared" si="14"/>
        <v>March</v>
      </c>
      <c r="S400" s="3">
        <f t="shared" si="13"/>
        <v>3</v>
      </c>
      <c r="T400" s="3" t="str">
        <f>IF(tbl_sales[[#This Row],[Sales]]&gt;=500,"High Value","Standard")</f>
        <v>Standard</v>
      </c>
      <c r="U400" s="1" t="str">
        <f>IF(tbl_sales[[#This Row],[Order Size]]="High Value","High Value Order","Standard Order")</f>
        <v>Standard Order</v>
      </c>
      <c r="V400" s="1"/>
      <c r="W400" s="17" t="s">
        <v>37</v>
      </c>
      <c r="X400" s="17"/>
      <c r="Y400" s="6"/>
      <c r="Z400" s="1" t="s">
        <v>37</v>
      </c>
    </row>
    <row r="401" spans="1:26">
      <c r="A401" s="3" t="s">
        <v>2437</v>
      </c>
      <c r="B401" s="3" t="s">
        <v>115</v>
      </c>
      <c r="C401" s="3" t="s">
        <v>116</v>
      </c>
      <c r="D401" s="3" t="s">
        <v>24</v>
      </c>
      <c r="E401" s="3" t="s">
        <v>992</v>
      </c>
      <c r="F401" s="3" t="s">
        <v>42</v>
      </c>
      <c r="G401" s="2">
        <v>19.239999999999998</v>
      </c>
      <c r="H401" s="2">
        <v>9</v>
      </c>
      <c r="I401" s="2">
        <v>8.6579999999999995</v>
      </c>
      <c r="J401" s="2">
        <v>181.81800000000001</v>
      </c>
      <c r="K401" s="5">
        <v>43528</v>
      </c>
      <c r="L401" s="4">
        <v>0.68611111111111112</v>
      </c>
      <c r="M401" s="3" t="s">
        <v>49</v>
      </c>
      <c r="N401" s="2">
        <v>173.16</v>
      </c>
      <c r="O401" s="2">
        <v>4.7619047620000003</v>
      </c>
      <c r="P401" s="2">
        <v>8.6579999999999995</v>
      </c>
      <c r="Q401" s="2">
        <v>8</v>
      </c>
      <c r="R401" s="3" t="str">
        <f t="shared" si="14"/>
        <v>March</v>
      </c>
      <c r="S401" s="3">
        <f t="shared" si="13"/>
        <v>3</v>
      </c>
      <c r="T401" s="3" t="str">
        <f>IF(tbl_sales[[#This Row],[Sales]]&gt;=500,"High Value","Standard")</f>
        <v>Standard</v>
      </c>
      <c r="U401" s="1" t="str">
        <f>IF(tbl_sales[[#This Row],[Order Size]]="High Value","High Value Order","Standard Order")</f>
        <v>Standard Order</v>
      </c>
      <c r="V401" s="1"/>
      <c r="W401" s="17" t="s">
        <v>37</v>
      </c>
      <c r="X401" s="17"/>
      <c r="Y401" s="6"/>
      <c r="Z401" s="1" t="s">
        <v>37</v>
      </c>
    </row>
    <row r="402" spans="1:26">
      <c r="A402" s="3" t="s">
        <v>2442</v>
      </c>
      <c r="B402" s="3" t="s">
        <v>39</v>
      </c>
      <c r="C402" s="3" t="s">
        <v>40</v>
      </c>
      <c r="D402" s="3" t="s">
        <v>41</v>
      </c>
      <c r="E402" s="3" t="s">
        <v>25</v>
      </c>
      <c r="F402" s="3" t="s">
        <v>117</v>
      </c>
      <c r="G402" s="2">
        <v>39.43</v>
      </c>
      <c r="H402" s="2">
        <v>6</v>
      </c>
      <c r="I402" s="2">
        <v>11.829000000000001</v>
      </c>
      <c r="J402" s="2">
        <v>248.40899999999999</v>
      </c>
      <c r="K402" s="5">
        <v>43549</v>
      </c>
      <c r="L402" s="4">
        <v>0.84583333333333333</v>
      </c>
      <c r="M402" s="3" t="s">
        <v>59</v>
      </c>
      <c r="N402" s="2">
        <v>236.58</v>
      </c>
      <c r="O402" s="2">
        <v>4.7619047620000003</v>
      </c>
      <c r="P402" s="2">
        <v>11.829000000000001</v>
      </c>
      <c r="Q402" s="2">
        <v>9.4</v>
      </c>
      <c r="R402" s="3" t="str">
        <f t="shared" si="14"/>
        <v>March</v>
      </c>
      <c r="S402" s="3">
        <f t="shared" si="13"/>
        <v>3</v>
      </c>
      <c r="T402" s="3" t="str">
        <f>IF(tbl_sales[[#This Row],[Sales]]&gt;=500,"High Value","Standard")</f>
        <v>Standard</v>
      </c>
      <c r="U402" s="1" t="str">
        <f>IF(tbl_sales[[#This Row],[Order Size]]="High Value","High Value Order","Standard Order")</f>
        <v>Standard Order</v>
      </c>
      <c r="V402" s="1"/>
      <c r="W402" s="17" t="s">
        <v>37</v>
      </c>
      <c r="X402" s="17"/>
      <c r="Y402" s="6"/>
      <c r="Z402" s="1" t="s">
        <v>37</v>
      </c>
    </row>
    <row r="403" spans="1:26">
      <c r="A403" s="3" t="s">
        <v>2448</v>
      </c>
      <c r="B403" s="3" t="s">
        <v>39</v>
      </c>
      <c r="C403" s="3" t="s">
        <v>40</v>
      </c>
      <c r="D403" s="3" t="s">
        <v>41</v>
      </c>
      <c r="E403" s="3" t="s">
        <v>992</v>
      </c>
      <c r="F403" s="3" t="s">
        <v>53</v>
      </c>
      <c r="G403" s="2">
        <v>46.22</v>
      </c>
      <c r="H403" s="2">
        <v>4</v>
      </c>
      <c r="I403" s="2">
        <v>9.2439999999999998</v>
      </c>
      <c r="J403" s="2">
        <v>194.124</v>
      </c>
      <c r="K403" s="5">
        <v>43536</v>
      </c>
      <c r="L403" s="4">
        <v>0.83611111111111114</v>
      </c>
      <c r="M403" s="3" t="s">
        <v>59</v>
      </c>
      <c r="N403" s="2">
        <v>184.88</v>
      </c>
      <c r="O403" s="2">
        <v>4.7619047620000003</v>
      </c>
      <c r="P403" s="2">
        <v>9.2439999999999998</v>
      </c>
      <c r="Q403" s="2">
        <v>6.2</v>
      </c>
      <c r="R403" s="3" t="str">
        <f t="shared" si="14"/>
        <v>March</v>
      </c>
      <c r="S403" s="3">
        <f t="shared" si="13"/>
        <v>3</v>
      </c>
      <c r="T403" s="3" t="str">
        <f>IF(tbl_sales[[#This Row],[Sales]]&gt;=500,"High Value","Standard")</f>
        <v>Standard</v>
      </c>
      <c r="U403" s="1" t="str">
        <f>IF(tbl_sales[[#This Row],[Order Size]]="High Value","High Value Order","Standard Order")</f>
        <v>Standard Order</v>
      </c>
      <c r="V403" s="1"/>
      <c r="W403" s="17" t="s">
        <v>37</v>
      </c>
      <c r="X403" s="17"/>
      <c r="Y403" s="6"/>
      <c r="Z403" s="1" t="s">
        <v>37</v>
      </c>
    </row>
    <row r="404" spans="1:26">
      <c r="A404" s="3" t="s">
        <v>2454</v>
      </c>
      <c r="B404" s="3" t="s">
        <v>39</v>
      </c>
      <c r="C404" s="3" t="s">
        <v>40</v>
      </c>
      <c r="D404" s="3" t="s">
        <v>24</v>
      </c>
      <c r="E404" s="3" t="s">
        <v>992</v>
      </c>
      <c r="F404" s="3" t="s">
        <v>53</v>
      </c>
      <c r="G404" s="2">
        <v>13.98</v>
      </c>
      <c r="H404" s="2">
        <v>1</v>
      </c>
      <c r="I404" s="2">
        <v>0.69899999999999995</v>
      </c>
      <c r="J404" s="2">
        <v>14.679</v>
      </c>
      <c r="K404" s="5">
        <v>43500</v>
      </c>
      <c r="L404" s="4">
        <v>0.56805555555555554</v>
      </c>
      <c r="M404" s="3" t="s">
        <v>33</v>
      </c>
      <c r="N404" s="2">
        <v>13.98</v>
      </c>
      <c r="O404" s="2">
        <v>4.7619047620000003</v>
      </c>
      <c r="P404" s="2">
        <v>0.69899999999999995</v>
      </c>
      <c r="Q404" s="2">
        <v>9.8000000000000007</v>
      </c>
      <c r="R404" s="3" t="str">
        <f t="shared" si="14"/>
        <v>February</v>
      </c>
      <c r="S404" s="3">
        <f t="shared" si="13"/>
        <v>2</v>
      </c>
      <c r="T404" s="3" t="str">
        <f>IF(tbl_sales[[#This Row],[Sales]]&gt;=500,"High Value","Standard")</f>
        <v>Standard</v>
      </c>
      <c r="U404" s="1" t="str">
        <f>IF(tbl_sales[[#This Row],[Order Size]]="High Value","High Value Order","Standard Order")</f>
        <v>Standard Order</v>
      </c>
      <c r="V404" s="1"/>
      <c r="W404" s="17" t="s">
        <v>37</v>
      </c>
      <c r="X404" s="17"/>
      <c r="Y404" s="6"/>
      <c r="Z404" s="1" t="s">
        <v>37</v>
      </c>
    </row>
    <row r="405" spans="1:26">
      <c r="A405" s="3" t="s">
        <v>2459</v>
      </c>
      <c r="B405" s="3" t="s">
        <v>115</v>
      </c>
      <c r="C405" s="3" t="s">
        <v>116</v>
      </c>
      <c r="D405" s="3" t="s">
        <v>41</v>
      </c>
      <c r="E405" s="3" t="s">
        <v>25</v>
      </c>
      <c r="F405" s="3" t="s">
        <v>127</v>
      </c>
      <c r="G405" s="2">
        <v>39.75</v>
      </c>
      <c r="H405" s="2">
        <v>5</v>
      </c>
      <c r="I405" s="2">
        <v>9.9375</v>
      </c>
      <c r="J405" s="2">
        <v>208.6875</v>
      </c>
      <c r="K405" s="5">
        <v>43518</v>
      </c>
      <c r="L405" s="4">
        <v>0.4465277777777778</v>
      </c>
      <c r="M405" s="3" t="s">
        <v>33</v>
      </c>
      <c r="N405" s="2">
        <v>198.75</v>
      </c>
      <c r="O405" s="2">
        <v>4.7619047620000003</v>
      </c>
      <c r="P405" s="2">
        <v>9.9375</v>
      </c>
      <c r="Q405" s="2">
        <v>9.6</v>
      </c>
      <c r="R405" s="3" t="str">
        <f t="shared" si="14"/>
        <v>February</v>
      </c>
      <c r="S405" s="3">
        <f t="shared" si="13"/>
        <v>2</v>
      </c>
      <c r="T405" s="3" t="str">
        <f>IF(tbl_sales[[#This Row],[Sales]]&gt;=500,"High Value","Standard")</f>
        <v>Standard</v>
      </c>
      <c r="U405" s="1" t="str">
        <f>IF(tbl_sales[[#This Row],[Order Size]]="High Value","High Value Order","Standard Order")</f>
        <v>Standard Order</v>
      </c>
      <c r="V405" s="1"/>
      <c r="W405" s="17" t="s">
        <v>37</v>
      </c>
      <c r="X405" s="17"/>
      <c r="Y405" s="6"/>
      <c r="Z405" s="1" t="s">
        <v>37</v>
      </c>
    </row>
    <row r="406" spans="1:26">
      <c r="A406" s="3" t="s">
        <v>2464</v>
      </c>
      <c r="B406" s="3" t="s">
        <v>39</v>
      </c>
      <c r="C406" s="3" t="s">
        <v>40</v>
      </c>
      <c r="D406" s="3" t="s">
        <v>24</v>
      </c>
      <c r="E406" s="3" t="s">
        <v>25</v>
      </c>
      <c r="F406" s="3" t="s">
        <v>127</v>
      </c>
      <c r="G406" s="2">
        <v>97.79</v>
      </c>
      <c r="H406" s="2">
        <v>7</v>
      </c>
      <c r="I406" s="2">
        <v>34.226500000000001</v>
      </c>
      <c r="J406" s="2">
        <v>718.75649999999996</v>
      </c>
      <c r="K406" s="5">
        <v>43512</v>
      </c>
      <c r="L406" s="4">
        <v>0.72916666666666663</v>
      </c>
      <c r="M406" s="3" t="s">
        <v>33</v>
      </c>
      <c r="N406" s="2">
        <v>684.53</v>
      </c>
      <c r="O406" s="2">
        <v>4.7619047620000003</v>
      </c>
      <c r="P406" s="2">
        <v>34.226500000000001</v>
      </c>
      <c r="Q406" s="2">
        <v>4.9000000000000004</v>
      </c>
      <c r="R406" s="3" t="str">
        <f t="shared" si="14"/>
        <v>February</v>
      </c>
      <c r="S406" s="3">
        <f t="shared" si="13"/>
        <v>2</v>
      </c>
      <c r="T406" s="3" t="str">
        <f>IF(tbl_sales[[#This Row],[Sales]]&gt;=500,"High Value","Standard")</f>
        <v>High Value</v>
      </c>
      <c r="U406" s="1" t="str">
        <f>IF(tbl_sales[[#This Row],[Order Size]]="High Value","High Value Order","Standard Order")</f>
        <v>High Value Order</v>
      </c>
      <c r="V406" s="1"/>
      <c r="W406" s="17" t="s">
        <v>37</v>
      </c>
      <c r="X406" s="17"/>
      <c r="Y406" s="6"/>
      <c r="Z406" s="1" t="s">
        <v>37</v>
      </c>
    </row>
    <row r="407" spans="1:26">
      <c r="A407" s="3" t="s">
        <v>2470</v>
      </c>
      <c r="B407" s="3" t="s">
        <v>22</v>
      </c>
      <c r="C407" s="3" t="s">
        <v>23</v>
      </c>
      <c r="D407" s="3" t="s">
        <v>24</v>
      </c>
      <c r="E407" s="3" t="s">
        <v>992</v>
      </c>
      <c r="F407" s="3" t="s">
        <v>72</v>
      </c>
      <c r="G407" s="2">
        <v>67.260000000000005</v>
      </c>
      <c r="H407" s="2">
        <v>4</v>
      </c>
      <c r="I407" s="2">
        <v>13.452</v>
      </c>
      <c r="J407" s="2">
        <v>282.49200000000002</v>
      </c>
      <c r="K407" s="5">
        <v>43484</v>
      </c>
      <c r="L407" s="4">
        <v>0.64444444444444449</v>
      </c>
      <c r="M407" s="3" t="s">
        <v>59</v>
      </c>
      <c r="N407" s="2">
        <v>269.04000000000002</v>
      </c>
      <c r="O407" s="2">
        <v>4.7619047620000003</v>
      </c>
      <c r="P407" s="2">
        <v>13.452</v>
      </c>
      <c r="Q407" s="2">
        <v>8</v>
      </c>
      <c r="R407" s="3" t="str">
        <f t="shared" si="14"/>
        <v>January</v>
      </c>
      <c r="S407" s="3">
        <f t="shared" si="13"/>
        <v>1</v>
      </c>
      <c r="T407" s="3" t="str">
        <f>IF(tbl_sales[[#This Row],[Sales]]&gt;=500,"High Value","Standard")</f>
        <v>Standard</v>
      </c>
      <c r="U407" s="1" t="str">
        <f>IF(tbl_sales[[#This Row],[Order Size]]="High Value","High Value Order","Standard Order")</f>
        <v>Standard Order</v>
      </c>
      <c r="V407" s="1"/>
      <c r="W407" s="17" t="s">
        <v>37</v>
      </c>
      <c r="X407" s="17"/>
      <c r="Y407" s="6"/>
      <c r="Z407" s="1" t="s">
        <v>37</v>
      </c>
    </row>
    <row r="408" spans="1:26">
      <c r="A408" s="3" t="s">
        <v>2476</v>
      </c>
      <c r="B408" s="3" t="s">
        <v>22</v>
      </c>
      <c r="C408" s="3" t="s">
        <v>23</v>
      </c>
      <c r="D408" s="3" t="s">
        <v>41</v>
      </c>
      <c r="E408" s="3" t="s">
        <v>992</v>
      </c>
      <c r="F408" s="3" t="s">
        <v>117</v>
      </c>
      <c r="G408" s="2">
        <v>13.79</v>
      </c>
      <c r="H408" s="2">
        <v>5</v>
      </c>
      <c r="I408" s="2">
        <v>3.4474999999999998</v>
      </c>
      <c r="J408" s="2">
        <v>72.397499999999994</v>
      </c>
      <c r="K408" s="5">
        <v>43476</v>
      </c>
      <c r="L408" s="4">
        <v>0.79652777777777772</v>
      </c>
      <c r="M408" s="3" t="s">
        <v>59</v>
      </c>
      <c r="N408" s="2">
        <v>68.95</v>
      </c>
      <c r="O408" s="2">
        <v>4.7619047620000003</v>
      </c>
      <c r="P408" s="2">
        <v>3.4474999999999998</v>
      </c>
      <c r="Q408" s="2">
        <v>7.8</v>
      </c>
      <c r="R408" s="3" t="str">
        <f t="shared" si="14"/>
        <v>January</v>
      </c>
      <c r="S408" s="3">
        <f t="shared" si="13"/>
        <v>1</v>
      </c>
      <c r="T408" s="3" t="str">
        <f>IF(tbl_sales[[#This Row],[Sales]]&gt;=500,"High Value","Standard")</f>
        <v>Standard</v>
      </c>
      <c r="U408" s="1" t="str">
        <f>IF(tbl_sales[[#This Row],[Order Size]]="High Value","High Value Order","Standard Order")</f>
        <v>Standard Order</v>
      </c>
      <c r="V408" s="1"/>
      <c r="W408" s="17" t="s">
        <v>37</v>
      </c>
      <c r="X408" s="17"/>
      <c r="Y408" s="6"/>
      <c r="Z408" s="1" t="s">
        <v>37</v>
      </c>
    </row>
    <row r="409" spans="1:26">
      <c r="A409" s="3" t="s">
        <v>2482</v>
      </c>
      <c r="B409" s="3" t="s">
        <v>115</v>
      </c>
      <c r="C409" s="3" t="s">
        <v>116</v>
      </c>
      <c r="D409" s="3" t="s">
        <v>24</v>
      </c>
      <c r="E409" s="3" t="s">
        <v>25</v>
      </c>
      <c r="F409" s="3" t="s">
        <v>127</v>
      </c>
      <c r="G409" s="2">
        <v>68.709999999999994</v>
      </c>
      <c r="H409" s="2">
        <v>4</v>
      </c>
      <c r="I409" s="2">
        <v>13.742000000000001</v>
      </c>
      <c r="J409" s="2">
        <v>288.58199999999999</v>
      </c>
      <c r="K409" s="5">
        <v>43469</v>
      </c>
      <c r="L409" s="4">
        <v>0.79236111111111107</v>
      </c>
      <c r="M409" s="3" t="s">
        <v>49</v>
      </c>
      <c r="N409" s="2">
        <v>274.83999999999997</v>
      </c>
      <c r="O409" s="2">
        <v>4.7619047620000003</v>
      </c>
      <c r="P409" s="2">
        <v>13.742000000000001</v>
      </c>
      <c r="Q409" s="2">
        <v>4.0999999999999996</v>
      </c>
      <c r="R409" s="3" t="str">
        <f t="shared" si="14"/>
        <v>January</v>
      </c>
      <c r="S409" s="3">
        <f t="shared" si="13"/>
        <v>1</v>
      </c>
      <c r="T409" s="3" t="str">
        <f>IF(tbl_sales[[#This Row],[Sales]]&gt;=500,"High Value","Standard")</f>
        <v>Standard</v>
      </c>
      <c r="U409" s="1" t="str">
        <f>IF(tbl_sales[[#This Row],[Order Size]]="High Value","High Value Order","Standard Order")</f>
        <v>Standard Order</v>
      </c>
      <c r="V409" s="1"/>
      <c r="W409" s="17" t="s">
        <v>37</v>
      </c>
      <c r="X409" s="17"/>
      <c r="Y409" s="6"/>
      <c r="Z409" s="1" t="s">
        <v>37</v>
      </c>
    </row>
    <row r="410" spans="1:26">
      <c r="A410" s="3" t="s">
        <v>2487</v>
      </c>
      <c r="B410" s="3" t="s">
        <v>22</v>
      </c>
      <c r="C410" s="3" t="s">
        <v>23</v>
      </c>
      <c r="D410" s="3" t="s">
        <v>41</v>
      </c>
      <c r="E410" s="3" t="s">
        <v>25</v>
      </c>
      <c r="F410" s="3" t="s">
        <v>53</v>
      </c>
      <c r="G410" s="2">
        <v>56.53</v>
      </c>
      <c r="H410" s="2">
        <v>4</v>
      </c>
      <c r="I410" s="2">
        <v>11.305999999999999</v>
      </c>
      <c r="J410" s="2">
        <v>237.42599999999999</v>
      </c>
      <c r="K410" s="5">
        <v>43528</v>
      </c>
      <c r="L410" s="4">
        <v>0.82499999999999996</v>
      </c>
      <c r="M410" s="3" t="s">
        <v>33</v>
      </c>
      <c r="N410" s="2">
        <v>226.12</v>
      </c>
      <c r="O410" s="2">
        <v>4.7619047620000003</v>
      </c>
      <c r="P410" s="2">
        <v>11.305999999999999</v>
      </c>
      <c r="Q410" s="2">
        <v>5.5</v>
      </c>
      <c r="R410" s="3" t="str">
        <f t="shared" si="14"/>
        <v>March</v>
      </c>
      <c r="S410" s="3">
        <f t="shared" si="13"/>
        <v>3</v>
      </c>
      <c r="T410" s="3" t="str">
        <f>IF(tbl_sales[[#This Row],[Sales]]&gt;=500,"High Value","Standard")</f>
        <v>Standard</v>
      </c>
      <c r="U410" s="1" t="str">
        <f>IF(tbl_sales[[#This Row],[Order Size]]="High Value","High Value Order","Standard Order")</f>
        <v>Standard Order</v>
      </c>
      <c r="V410" s="1"/>
      <c r="W410" s="17" t="s">
        <v>37</v>
      </c>
      <c r="X410" s="17"/>
      <c r="Y410" s="6"/>
      <c r="Z410" s="1" t="s">
        <v>37</v>
      </c>
    </row>
    <row r="411" spans="1:26">
      <c r="A411" s="3" t="s">
        <v>2492</v>
      </c>
      <c r="B411" s="3" t="s">
        <v>39</v>
      </c>
      <c r="C411" s="3" t="s">
        <v>40</v>
      </c>
      <c r="D411" s="3" t="s">
        <v>41</v>
      </c>
      <c r="E411" s="3" t="s">
        <v>25</v>
      </c>
      <c r="F411" s="3" t="s">
        <v>127</v>
      </c>
      <c r="G411" s="2">
        <v>23.82</v>
      </c>
      <c r="H411" s="2">
        <v>5</v>
      </c>
      <c r="I411" s="2">
        <v>5.9550000000000001</v>
      </c>
      <c r="J411" s="2">
        <v>125.05500000000001</v>
      </c>
      <c r="K411" s="5">
        <v>43493</v>
      </c>
      <c r="L411" s="4">
        <v>0.80833333333333335</v>
      </c>
      <c r="M411" s="3" t="s">
        <v>33</v>
      </c>
      <c r="N411" s="2">
        <v>119.1</v>
      </c>
      <c r="O411" s="2">
        <v>4.7619047620000003</v>
      </c>
      <c r="P411" s="2">
        <v>5.9550000000000001</v>
      </c>
      <c r="Q411" s="2">
        <v>5.4</v>
      </c>
      <c r="R411" s="3" t="str">
        <f t="shared" si="14"/>
        <v>January</v>
      </c>
      <c r="S411" s="3">
        <f t="shared" si="13"/>
        <v>1</v>
      </c>
      <c r="T411" s="3" t="str">
        <f>IF(tbl_sales[[#This Row],[Sales]]&gt;=500,"High Value","Standard")</f>
        <v>Standard</v>
      </c>
      <c r="U411" s="1" t="str">
        <f>IF(tbl_sales[[#This Row],[Order Size]]="High Value","High Value Order","Standard Order")</f>
        <v>Standard Order</v>
      </c>
      <c r="V411" s="1"/>
      <c r="W411" s="17" t="s">
        <v>37</v>
      </c>
      <c r="X411" s="17"/>
      <c r="Y411" s="6"/>
      <c r="Z411" s="1" t="s">
        <v>37</v>
      </c>
    </row>
    <row r="412" spans="1:26">
      <c r="A412" s="3" t="s">
        <v>2497</v>
      </c>
      <c r="B412" s="3" t="s">
        <v>115</v>
      </c>
      <c r="C412" s="3" t="s">
        <v>116</v>
      </c>
      <c r="D412" s="3" t="s">
        <v>41</v>
      </c>
      <c r="E412" s="3" t="s">
        <v>25</v>
      </c>
      <c r="F412" s="3" t="s">
        <v>26</v>
      </c>
      <c r="G412" s="2">
        <v>34.21</v>
      </c>
      <c r="H412" s="2">
        <v>10</v>
      </c>
      <c r="I412" s="2">
        <v>17.105</v>
      </c>
      <c r="J412" s="2">
        <v>359.20499999999998</v>
      </c>
      <c r="K412" s="5">
        <v>43467</v>
      </c>
      <c r="L412" s="4">
        <v>0.54166666666666663</v>
      </c>
      <c r="M412" s="3" t="s">
        <v>49</v>
      </c>
      <c r="N412" s="2">
        <v>342.1</v>
      </c>
      <c r="O412" s="2">
        <v>4.7619047620000003</v>
      </c>
      <c r="P412" s="2">
        <v>17.105</v>
      </c>
      <c r="Q412" s="2">
        <v>5.0999999999999996</v>
      </c>
      <c r="R412" s="3" t="str">
        <f t="shared" si="14"/>
        <v>January</v>
      </c>
      <c r="S412" s="3">
        <f t="shared" si="13"/>
        <v>1</v>
      </c>
      <c r="T412" s="3" t="str">
        <f>IF(tbl_sales[[#This Row],[Sales]]&gt;=500,"High Value","Standard")</f>
        <v>Standard</v>
      </c>
      <c r="U412" s="1" t="str">
        <f>IF(tbl_sales[[#This Row],[Order Size]]="High Value","High Value Order","Standard Order")</f>
        <v>Standard Order</v>
      </c>
      <c r="V412" s="1"/>
      <c r="W412" s="17" t="s">
        <v>37</v>
      </c>
      <c r="X412" s="17"/>
      <c r="Y412" s="6"/>
      <c r="Z412" s="1" t="s">
        <v>37</v>
      </c>
    </row>
    <row r="413" spans="1:26">
      <c r="A413" s="3" t="s">
        <v>2502</v>
      </c>
      <c r="B413" s="3" t="s">
        <v>115</v>
      </c>
      <c r="C413" s="3" t="s">
        <v>116</v>
      </c>
      <c r="D413" s="3" t="s">
        <v>41</v>
      </c>
      <c r="E413" s="3" t="s">
        <v>992</v>
      </c>
      <c r="F413" s="3" t="s">
        <v>72</v>
      </c>
      <c r="G413" s="2">
        <v>21.87</v>
      </c>
      <c r="H413" s="2">
        <v>2</v>
      </c>
      <c r="I413" s="2">
        <v>2.1869999999999998</v>
      </c>
      <c r="J413" s="2">
        <v>45.927</v>
      </c>
      <c r="K413" s="5">
        <v>43490</v>
      </c>
      <c r="L413" s="4">
        <v>0.60347222222222219</v>
      </c>
      <c r="M413" s="3" t="s">
        <v>33</v>
      </c>
      <c r="N413" s="2">
        <v>43.74</v>
      </c>
      <c r="O413" s="2">
        <v>4.7619047620000003</v>
      </c>
      <c r="P413" s="2">
        <v>2.1869999999999998</v>
      </c>
      <c r="Q413" s="2">
        <v>6.9</v>
      </c>
      <c r="R413" s="3" t="str">
        <f t="shared" si="14"/>
        <v>January</v>
      </c>
      <c r="S413" s="3">
        <f t="shared" si="13"/>
        <v>1</v>
      </c>
      <c r="T413" s="3" t="str">
        <f>IF(tbl_sales[[#This Row],[Sales]]&gt;=500,"High Value","Standard")</f>
        <v>Standard</v>
      </c>
      <c r="U413" s="1" t="str">
        <f>IF(tbl_sales[[#This Row],[Order Size]]="High Value","High Value Order","Standard Order")</f>
        <v>Standard Order</v>
      </c>
      <c r="V413" s="1"/>
      <c r="W413" s="17" t="s">
        <v>37</v>
      </c>
      <c r="X413" s="17"/>
      <c r="Y413" s="6"/>
      <c r="Z413" s="1" t="s">
        <v>37</v>
      </c>
    </row>
    <row r="414" spans="1:26">
      <c r="A414" s="3" t="s">
        <v>2507</v>
      </c>
      <c r="B414" s="3" t="s">
        <v>22</v>
      </c>
      <c r="C414" s="3" t="s">
        <v>23</v>
      </c>
      <c r="D414" s="3" t="s">
        <v>24</v>
      </c>
      <c r="E414" s="3" t="s">
        <v>992</v>
      </c>
      <c r="F414" s="3" t="s">
        <v>26</v>
      </c>
      <c r="G414" s="2">
        <v>20.97</v>
      </c>
      <c r="H414" s="2">
        <v>5</v>
      </c>
      <c r="I414" s="2">
        <v>5.2424999999999997</v>
      </c>
      <c r="J414" s="2">
        <v>110.0925</v>
      </c>
      <c r="K414" s="5">
        <v>43469</v>
      </c>
      <c r="L414" s="4">
        <v>0.55625000000000002</v>
      </c>
      <c r="M414" s="3" t="s">
        <v>49</v>
      </c>
      <c r="N414" s="2">
        <v>104.85</v>
      </c>
      <c r="O414" s="2">
        <v>4.7619047620000003</v>
      </c>
      <c r="P414" s="2">
        <v>5.2424999999999997</v>
      </c>
      <c r="Q414" s="2">
        <v>7.8</v>
      </c>
      <c r="R414" s="3" t="str">
        <f t="shared" si="14"/>
        <v>January</v>
      </c>
      <c r="S414" s="3">
        <f t="shared" si="13"/>
        <v>1</v>
      </c>
      <c r="T414" s="3" t="str">
        <f>IF(tbl_sales[[#This Row],[Sales]]&gt;=500,"High Value","Standard")</f>
        <v>Standard</v>
      </c>
      <c r="U414" s="1" t="str">
        <f>IF(tbl_sales[[#This Row],[Order Size]]="High Value","High Value Order","Standard Order")</f>
        <v>Standard Order</v>
      </c>
      <c r="V414" s="1"/>
      <c r="W414" s="17" t="s">
        <v>37</v>
      </c>
      <c r="X414" s="17"/>
      <c r="Y414" s="6"/>
      <c r="Z414" s="1" t="s">
        <v>37</v>
      </c>
    </row>
    <row r="415" spans="1:26">
      <c r="A415" s="3" t="s">
        <v>2512</v>
      </c>
      <c r="B415" s="3" t="s">
        <v>22</v>
      </c>
      <c r="C415" s="3" t="s">
        <v>23</v>
      </c>
      <c r="D415" s="3" t="s">
        <v>41</v>
      </c>
      <c r="E415" s="3" t="s">
        <v>992</v>
      </c>
      <c r="F415" s="3" t="s">
        <v>72</v>
      </c>
      <c r="G415" s="2">
        <v>25.84</v>
      </c>
      <c r="H415" s="2">
        <v>3</v>
      </c>
      <c r="I415" s="2">
        <v>3.8759999999999999</v>
      </c>
      <c r="J415" s="2">
        <v>81.396000000000001</v>
      </c>
      <c r="K415" s="5">
        <v>43534</v>
      </c>
      <c r="L415" s="4">
        <v>0.78819444444444442</v>
      </c>
      <c r="M415" s="3" t="s">
        <v>33</v>
      </c>
      <c r="N415" s="2">
        <v>77.52</v>
      </c>
      <c r="O415" s="2">
        <v>4.7619047620000003</v>
      </c>
      <c r="P415" s="2">
        <v>3.8759999999999999</v>
      </c>
      <c r="Q415" s="2">
        <v>6.6</v>
      </c>
      <c r="R415" s="3" t="str">
        <f t="shared" si="14"/>
        <v>March</v>
      </c>
      <c r="S415" s="3">
        <f t="shared" si="13"/>
        <v>3</v>
      </c>
      <c r="T415" s="3" t="str">
        <f>IF(tbl_sales[[#This Row],[Sales]]&gt;=500,"High Value","Standard")</f>
        <v>Standard</v>
      </c>
      <c r="U415" s="1" t="str">
        <f>IF(tbl_sales[[#This Row],[Order Size]]="High Value","High Value Order","Standard Order")</f>
        <v>Standard Order</v>
      </c>
      <c r="V415" s="1"/>
      <c r="W415" s="17" t="s">
        <v>37</v>
      </c>
      <c r="X415" s="17"/>
      <c r="Y415" s="6"/>
      <c r="Z415" s="1" t="s">
        <v>37</v>
      </c>
    </row>
    <row r="416" spans="1:26">
      <c r="A416" s="3" t="s">
        <v>2518</v>
      </c>
      <c r="B416" s="3" t="s">
        <v>22</v>
      </c>
      <c r="C416" s="3" t="s">
        <v>23</v>
      </c>
      <c r="D416" s="3" t="s">
        <v>41</v>
      </c>
      <c r="E416" s="3" t="s">
        <v>992</v>
      </c>
      <c r="F416" s="3" t="s">
        <v>53</v>
      </c>
      <c r="G416" s="2">
        <v>50.93</v>
      </c>
      <c r="H416" s="2">
        <v>8</v>
      </c>
      <c r="I416" s="2">
        <v>20.372</v>
      </c>
      <c r="J416" s="2">
        <v>427.81200000000001</v>
      </c>
      <c r="K416" s="5">
        <v>43546</v>
      </c>
      <c r="L416" s="4">
        <v>0.81666666666666665</v>
      </c>
      <c r="M416" s="3" t="s">
        <v>33</v>
      </c>
      <c r="N416" s="2">
        <v>407.44</v>
      </c>
      <c r="O416" s="2">
        <v>4.7619047620000003</v>
      </c>
      <c r="P416" s="2">
        <v>20.372</v>
      </c>
      <c r="Q416" s="2">
        <v>9.1999999999999993</v>
      </c>
      <c r="R416" s="3" t="str">
        <f t="shared" si="14"/>
        <v>March</v>
      </c>
      <c r="S416" s="3">
        <f t="shared" si="13"/>
        <v>3</v>
      </c>
      <c r="T416" s="3" t="str">
        <f>IF(tbl_sales[[#This Row],[Sales]]&gt;=500,"High Value","Standard")</f>
        <v>Standard</v>
      </c>
      <c r="U416" s="1" t="str">
        <f>IF(tbl_sales[[#This Row],[Order Size]]="High Value","High Value Order","Standard Order")</f>
        <v>Standard Order</v>
      </c>
      <c r="V416" s="1"/>
      <c r="W416" s="17" t="s">
        <v>37</v>
      </c>
      <c r="X416" s="17"/>
      <c r="Y416" s="6"/>
      <c r="Z416" s="1" t="s">
        <v>37</v>
      </c>
    </row>
    <row r="417" spans="1:26">
      <c r="A417" s="3" t="s">
        <v>2524</v>
      </c>
      <c r="B417" s="3" t="s">
        <v>115</v>
      </c>
      <c r="C417" s="3" t="s">
        <v>116</v>
      </c>
      <c r="D417" s="3" t="s">
        <v>41</v>
      </c>
      <c r="E417" s="3" t="s">
        <v>992</v>
      </c>
      <c r="F417" s="3" t="s">
        <v>26</v>
      </c>
      <c r="G417" s="2">
        <v>96.11</v>
      </c>
      <c r="H417" s="2">
        <v>1</v>
      </c>
      <c r="I417" s="2">
        <v>4.8055000000000003</v>
      </c>
      <c r="J417" s="2">
        <v>100.91549999999999</v>
      </c>
      <c r="K417" s="5">
        <v>43490</v>
      </c>
      <c r="L417" s="4">
        <v>0.68611111111111112</v>
      </c>
      <c r="M417" s="3" t="s">
        <v>33</v>
      </c>
      <c r="N417" s="2">
        <v>96.11</v>
      </c>
      <c r="O417" s="2">
        <v>4.7619047620000003</v>
      </c>
      <c r="P417" s="2">
        <v>4.8055000000000003</v>
      </c>
      <c r="Q417" s="2">
        <v>7.8</v>
      </c>
      <c r="R417" s="3" t="str">
        <f t="shared" si="14"/>
        <v>January</v>
      </c>
      <c r="S417" s="3">
        <f t="shared" si="13"/>
        <v>1</v>
      </c>
      <c r="T417" s="3" t="str">
        <f>IF(tbl_sales[[#This Row],[Sales]]&gt;=500,"High Value","Standard")</f>
        <v>Standard</v>
      </c>
      <c r="U417" s="1" t="str">
        <f>IF(tbl_sales[[#This Row],[Order Size]]="High Value","High Value Order","Standard Order")</f>
        <v>Standard Order</v>
      </c>
      <c r="V417" s="1"/>
      <c r="W417" s="17" t="s">
        <v>37</v>
      </c>
      <c r="X417" s="17"/>
      <c r="Y417" s="6"/>
      <c r="Z417" s="1" t="s">
        <v>37</v>
      </c>
    </row>
    <row r="418" spans="1:26">
      <c r="A418" s="3" t="s">
        <v>2528</v>
      </c>
      <c r="B418" s="3" t="s">
        <v>39</v>
      </c>
      <c r="C418" s="3" t="s">
        <v>40</v>
      </c>
      <c r="D418" s="3" t="s">
        <v>41</v>
      </c>
      <c r="E418" s="3" t="s">
        <v>25</v>
      </c>
      <c r="F418" s="3" t="s">
        <v>53</v>
      </c>
      <c r="G418" s="2">
        <v>45.38</v>
      </c>
      <c r="H418" s="2">
        <v>4</v>
      </c>
      <c r="I418" s="2">
        <v>9.0760000000000005</v>
      </c>
      <c r="J418" s="2">
        <v>190.596</v>
      </c>
      <c r="K418" s="5">
        <v>43473</v>
      </c>
      <c r="L418" s="4">
        <v>0.57499999999999996</v>
      </c>
      <c r="M418" s="3" t="s">
        <v>59</v>
      </c>
      <c r="N418" s="2">
        <v>181.52</v>
      </c>
      <c r="O418" s="2">
        <v>4.7619047620000003</v>
      </c>
      <c r="P418" s="2">
        <v>9.0760000000000005</v>
      </c>
      <c r="Q418" s="2">
        <v>8.6999999999999993</v>
      </c>
      <c r="R418" s="3" t="str">
        <f t="shared" si="14"/>
        <v>January</v>
      </c>
      <c r="S418" s="3">
        <f t="shared" si="13"/>
        <v>1</v>
      </c>
      <c r="T418" s="3" t="str">
        <f>IF(tbl_sales[[#This Row],[Sales]]&gt;=500,"High Value","Standard")</f>
        <v>Standard</v>
      </c>
      <c r="U418" s="1" t="str">
        <f>IF(tbl_sales[[#This Row],[Order Size]]="High Value","High Value Order","Standard Order")</f>
        <v>Standard Order</v>
      </c>
      <c r="V418" s="1"/>
      <c r="W418" s="17" t="s">
        <v>37</v>
      </c>
      <c r="X418" s="17"/>
      <c r="Y418" s="6"/>
      <c r="Z418" s="1" t="s">
        <v>37</v>
      </c>
    </row>
    <row r="419" spans="1:26">
      <c r="A419" s="3" t="s">
        <v>2533</v>
      </c>
      <c r="B419" s="3" t="s">
        <v>39</v>
      </c>
      <c r="C419" s="3" t="s">
        <v>40</v>
      </c>
      <c r="D419" s="3" t="s">
        <v>24</v>
      </c>
      <c r="E419" s="3" t="s">
        <v>25</v>
      </c>
      <c r="F419" s="3" t="s">
        <v>26</v>
      </c>
      <c r="G419" s="2">
        <v>81.510000000000005</v>
      </c>
      <c r="H419" s="2">
        <v>1</v>
      </c>
      <c r="I419" s="2">
        <v>4.0754999999999999</v>
      </c>
      <c r="J419" s="2">
        <v>85.585499999999996</v>
      </c>
      <c r="K419" s="5">
        <v>43487</v>
      </c>
      <c r="L419" s="4">
        <v>0.45624999999999999</v>
      </c>
      <c r="M419" s="3" t="s">
        <v>33</v>
      </c>
      <c r="N419" s="2">
        <v>81.510000000000005</v>
      </c>
      <c r="O419" s="2">
        <v>4.7619047620000003</v>
      </c>
      <c r="P419" s="2">
        <v>4.0754999999999999</v>
      </c>
      <c r="Q419" s="2">
        <v>9.1999999999999993</v>
      </c>
      <c r="R419" s="3" t="str">
        <f t="shared" si="14"/>
        <v>January</v>
      </c>
      <c r="S419" s="3">
        <f t="shared" si="13"/>
        <v>1</v>
      </c>
      <c r="T419" s="3" t="str">
        <f>IF(tbl_sales[[#This Row],[Sales]]&gt;=500,"High Value","Standard")</f>
        <v>Standard</v>
      </c>
      <c r="U419" s="1" t="str">
        <f>IF(tbl_sales[[#This Row],[Order Size]]="High Value","High Value Order","Standard Order")</f>
        <v>Standard Order</v>
      </c>
      <c r="V419" s="1"/>
      <c r="W419" s="17" t="s">
        <v>37</v>
      </c>
      <c r="X419" s="17"/>
      <c r="Y419" s="6"/>
      <c r="Z419" s="1" t="s">
        <v>37</v>
      </c>
    </row>
    <row r="420" spans="1:26">
      <c r="A420" s="3" t="s">
        <v>2538</v>
      </c>
      <c r="B420" s="3" t="s">
        <v>115</v>
      </c>
      <c r="C420" s="3" t="s">
        <v>116</v>
      </c>
      <c r="D420" s="3" t="s">
        <v>41</v>
      </c>
      <c r="E420" s="3" t="s">
        <v>25</v>
      </c>
      <c r="F420" s="3" t="s">
        <v>26</v>
      </c>
      <c r="G420" s="2">
        <v>57.22</v>
      </c>
      <c r="H420" s="2">
        <v>2</v>
      </c>
      <c r="I420" s="2">
        <v>5.7220000000000004</v>
      </c>
      <c r="J420" s="2">
        <v>120.16200000000001</v>
      </c>
      <c r="K420" s="5">
        <v>43477</v>
      </c>
      <c r="L420" s="4">
        <v>0.71736111111111112</v>
      </c>
      <c r="M420" s="3" t="s">
        <v>33</v>
      </c>
      <c r="N420" s="2">
        <v>114.44</v>
      </c>
      <c r="O420" s="2">
        <v>4.7619047620000003</v>
      </c>
      <c r="P420" s="2">
        <v>5.7220000000000004</v>
      </c>
      <c r="Q420" s="2">
        <v>8.3000000000000007</v>
      </c>
      <c r="R420" s="3" t="str">
        <f t="shared" si="14"/>
        <v>January</v>
      </c>
      <c r="S420" s="3">
        <f t="shared" si="13"/>
        <v>1</v>
      </c>
      <c r="T420" s="3" t="str">
        <f>IF(tbl_sales[[#This Row],[Sales]]&gt;=500,"High Value","Standard")</f>
        <v>Standard</v>
      </c>
      <c r="U420" s="1" t="str">
        <f>IF(tbl_sales[[#This Row],[Order Size]]="High Value","High Value Order","Standard Order")</f>
        <v>Standard Order</v>
      </c>
      <c r="V420" s="1"/>
      <c r="W420" s="17" t="s">
        <v>37</v>
      </c>
      <c r="X420" s="17"/>
      <c r="Y420" s="6"/>
      <c r="Z420" s="1" t="s">
        <v>37</v>
      </c>
    </row>
    <row r="421" spans="1:26">
      <c r="A421" s="3" t="s">
        <v>2544</v>
      </c>
      <c r="B421" s="3" t="s">
        <v>22</v>
      </c>
      <c r="C421" s="3" t="s">
        <v>23</v>
      </c>
      <c r="D421" s="3" t="s">
        <v>24</v>
      </c>
      <c r="E421" s="3" t="s">
        <v>25</v>
      </c>
      <c r="F421" s="3" t="s">
        <v>42</v>
      </c>
      <c r="G421" s="2">
        <v>25.22</v>
      </c>
      <c r="H421" s="2">
        <v>7</v>
      </c>
      <c r="I421" s="2">
        <v>8.827</v>
      </c>
      <c r="J421" s="2">
        <v>185.36699999999999</v>
      </c>
      <c r="K421" s="5">
        <v>43500</v>
      </c>
      <c r="L421" s="4">
        <v>0.43263888888888891</v>
      </c>
      <c r="M421" s="3" t="s">
        <v>49</v>
      </c>
      <c r="N421" s="2">
        <v>176.54</v>
      </c>
      <c r="O421" s="2">
        <v>4.7619047620000003</v>
      </c>
      <c r="P421" s="2">
        <v>8.827</v>
      </c>
      <c r="Q421" s="2">
        <v>8.1999999999999993</v>
      </c>
      <c r="R421" s="3" t="str">
        <f t="shared" si="14"/>
        <v>February</v>
      </c>
      <c r="S421" s="3">
        <f t="shared" si="13"/>
        <v>2</v>
      </c>
      <c r="T421" s="3" t="str">
        <f>IF(tbl_sales[[#This Row],[Sales]]&gt;=500,"High Value","Standard")</f>
        <v>Standard</v>
      </c>
      <c r="U421" s="1" t="str">
        <f>IF(tbl_sales[[#This Row],[Order Size]]="High Value","High Value Order","Standard Order")</f>
        <v>Standard Order</v>
      </c>
      <c r="V421" s="1"/>
      <c r="W421" s="17" t="s">
        <v>37</v>
      </c>
      <c r="X421" s="17"/>
      <c r="Y421" s="6"/>
      <c r="Z421" s="1" t="s">
        <v>37</v>
      </c>
    </row>
    <row r="422" spans="1:26">
      <c r="A422" s="3" t="s">
        <v>2549</v>
      </c>
      <c r="B422" s="3" t="s">
        <v>39</v>
      </c>
      <c r="C422" s="3" t="s">
        <v>40</v>
      </c>
      <c r="D422" s="3" t="s">
        <v>24</v>
      </c>
      <c r="E422" s="3" t="s">
        <v>25</v>
      </c>
      <c r="F422" s="3" t="s">
        <v>117</v>
      </c>
      <c r="G422" s="2">
        <v>38.6</v>
      </c>
      <c r="H422" s="2">
        <v>3</v>
      </c>
      <c r="I422" s="2">
        <v>5.79</v>
      </c>
      <c r="J422" s="2">
        <v>121.59</v>
      </c>
      <c r="K422" s="5">
        <v>43552</v>
      </c>
      <c r="L422" s="4">
        <v>0.58125000000000004</v>
      </c>
      <c r="M422" s="3" t="s">
        <v>33</v>
      </c>
      <c r="N422" s="2">
        <v>115.8</v>
      </c>
      <c r="O422" s="2">
        <v>4.7619047620000003</v>
      </c>
      <c r="P422" s="2">
        <v>5.79</v>
      </c>
      <c r="Q422" s="2">
        <v>7.5</v>
      </c>
      <c r="R422" s="3" t="str">
        <f t="shared" si="14"/>
        <v>March</v>
      </c>
      <c r="S422" s="3">
        <f t="shared" si="13"/>
        <v>3</v>
      </c>
      <c r="T422" s="3" t="str">
        <f>IF(tbl_sales[[#This Row],[Sales]]&gt;=500,"High Value","Standard")</f>
        <v>Standard</v>
      </c>
      <c r="U422" s="1" t="str">
        <f>IF(tbl_sales[[#This Row],[Order Size]]="High Value","High Value Order","Standard Order")</f>
        <v>Standard Order</v>
      </c>
      <c r="V422" s="1"/>
      <c r="W422" s="17" t="s">
        <v>37</v>
      </c>
      <c r="X422" s="17"/>
      <c r="Y422" s="6"/>
      <c r="Z422" s="1" t="s">
        <v>37</v>
      </c>
    </row>
    <row r="423" spans="1:26">
      <c r="A423" s="3" t="s">
        <v>2555</v>
      </c>
      <c r="B423" s="3" t="s">
        <v>39</v>
      </c>
      <c r="C423" s="3" t="s">
        <v>40</v>
      </c>
      <c r="D423" s="3" t="s">
        <v>41</v>
      </c>
      <c r="E423" s="3" t="s">
        <v>25</v>
      </c>
      <c r="F423" s="3" t="s">
        <v>42</v>
      </c>
      <c r="G423" s="2">
        <v>84.05</v>
      </c>
      <c r="H423" s="2">
        <v>3</v>
      </c>
      <c r="I423" s="2">
        <v>12.6075</v>
      </c>
      <c r="J423" s="2">
        <v>264.75749999999999</v>
      </c>
      <c r="K423" s="5">
        <v>43488</v>
      </c>
      <c r="L423" s="4">
        <v>0.56180555555555556</v>
      </c>
      <c r="M423" s="3" t="s">
        <v>49</v>
      </c>
      <c r="N423" s="2">
        <v>252.15</v>
      </c>
      <c r="O423" s="2">
        <v>4.7619047620000003</v>
      </c>
      <c r="P423" s="2">
        <v>12.6075</v>
      </c>
      <c r="Q423" s="2">
        <v>9.8000000000000007</v>
      </c>
      <c r="R423" s="3" t="str">
        <f t="shared" si="14"/>
        <v>January</v>
      </c>
      <c r="S423" s="3">
        <f t="shared" si="13"/>
        <v>1</v>
      </c>
      <c r="T423" s="3" t="str">
        <f>IF(tbl_sales[[#This Row],[Sales]]&gt;=500,"High Value","Standard")</f>
        <v>Standard</v>
      </c>
      <c r="U423" s="1" t="str">
        <f>IF(tbl_sales[[#This Row],[Order Size]]="High Value","High Value Order","Standard Order")</f>
        <v>Standard Order</v>
      </c>
      <c r="V423" s="1"/>
      <c r="W423" s="17" t="s">
        <v>37</v>
      </c>
      <c r="X423" s="17"/>
      <c r="Y423" s="6"/>
      <c r="Z423" s="1" t="s">
        <v>37</v>
      </c>
    </row>
    <row r="424" spans="1:26">
      <c r="A424" s="3" t="s">
        <v>2560</v>
      </c>
      <c r="B424" s="3" t="s">
        <v>39</v>
      </c>
      <c r="C424" s="3" t="s">
        <v>40</v>
      </c>
      <c r="D424" s="3" t="s">
        <v>24</v>
      </c>
      <c r="E424" s="3" t="s">
        <v>25</v>
      </c>
      <c r="F424" s="3" t="s">
        <v>127</v>
      </c>
      <c r="G424" s="2">
        <v>97.21</v>
      </c>
      <c r="H424" s="2">
        <v>10</v>
      </c>
      <c r="I424" s="2">
        <v>48.604999999999997</v>
      </c>
      <c r="J424" s="2">
        <v>1020.705</v>
      </c>
      <c r="K424" s="5">
        <v>43504</v>
      </c>
      <c r="L424" s="4">
        <v>0.54166666666666663</v>
      </c>
      <c r="M424" s="3" t="s">
        <v>59</v>
      </c>
      <c r="N424" s="2">
        <v>972.1</v>
      </c>
      <c r="O424" s="2">
        <v>4.7619047620000003</v>
      </c>
      <c r="P424" s="2">
        <v>48.604999999999997</v>
      </c>
      <c r="Q424" s="2">
        <v>8.6999999999999993</v>
      </c>
      <c r="R424" s="3" t="str">
        <f t="shared" si="14"/>
        <v>February</v>
      </c>
      <c r="S424" s="3">
        <f t="shared" si="13"/>
        <v>2</v>
      </c>
      <c r="T424" s="3" t="str">
        <f>IF(tbl_sales[[#This Row],[Sales]]&gt;=500,"High Value","Standard")</f>
        <v>High Value</v>
      </c>
      <c r="U424" s="1" t="str">
        <f>IF(tbl_sales[[#This Row],[Order Size]]="High Value","High Value Order","Standard Order")</f>
        <v>High Value Order</v>
      </c>
      <c r="V424" s="1"/>
      <c r="W424" s="17" t="s">
        <v>37</v>
      </c>
      <c r="X424" s="17"/>
      <c r="Y424" s="6"/>
      <c r="Z424" s="1" t="s">
        <v>37</v>
      </c>
    </row>
    <row r="425" spans="1:26">
      <c r="A425" s="3" t="s">
        <v>2565</v>
      </c>
      <c r="B425" s="3" t="s">
        <v>115</v>
      </c>
      <c r="C425" s="3" t="s">
        <v>116</v>
      </c>
      <c r="D425" s="3" t="s">
        <v>24</v>
      </c>
      <c r="E425" s="3" t="s">
        <v>992</v>
      </c>
      <c r="F425" s="3" t="s">
        <v>127</v>
      </c>
      <c r="G425" s="2">
        <v>25.42</v>
      </c>
      <c r="H425" s="2">
        <v>8</v>
      </c>
      <c r="I425" s="2">
        <v>10.167999999999999</v>
      </c>
      <c r="J425" s="2">
        <v>213.52799999999999</v>
      </c>
      <c r="K425" s="5">
        <v>43543</v>
      </c>
      <c r="L425" s="4">
        <v>0.8208333333333333</v>
      </c>
      <c r="M425" s="3" t="s">
        <v>59</v>
      </c>
      <c r="N425" s="2">
        <v>203.36</v>
      </c>
      <c r="O425" s="2">
        <v>4.7619047620000003</v>
      </c>
      <c r="P425" s="2">
        <v>10.167999999999999</v>
      </c>
      <c r="Q425" s="2">
        <v>6.7</v>
      </c>
      <c r="R425" s="3" t="str">
        <f t="shared" si="14"/>
        <v>March</v>
      </c>
      <c r="S425" s="3">
        <f t="shared" si="13"/>
        <v>3</v>
      </c>
      <c r="T425" s="3" t="str">
        <f>IF(tbl_sales[[#This Row],[Sales]]&gt;=500,"High Value","Standard")</f>
        <v>Standard</v>
      </c>
      <c r="U425" s="1" t="str">
        <f>IF(tbl_sales[[#This Row],[Order Size]]="High Value","High Value Order","Standard Order")</f>
        <v>Standard Order</v>
      </c>
      <c r="V425" s="1"/>
      <c r="W425" s="17" t="s">
        <v>37</v>
      </c>
      <c r="X425" s="17"/>
      <c r="Y425" s="6"/>
      <c r="Z425" s="1" t="s">
        <v>37</v>
      </c>
    </row>
    <row r="426" spans="1:26">
      <c r="A426" s="3" t="s">
        <v>2570</v>
      </c>
      <c r="B426" s="3" t="s">
        <v>39</v>
      </c>
      <c r="C426" s="3" t="s">
        <v>40</v>
      </c>
      <c r="D426" s="3" t="s">
        <v>41</v>
      </c>
      <c r="E426" s="3" t="s">
        <v>992</v>
      </c>
      <c r="F426" s="3" t="s">
        <v>127</v>
      </c>
      <c r="G426" s="2">
        <v>16.28</v>
      </c>
      <c r="H426" s="2">
        <v>1</v>
      </c>
      <c r="I426" s="2">
        <v>0.81399999999999995</v>
      </c>
      <c r="J426" s="2">
        <v>17.094000000000001</v>
      </c>
      <c r="K426" s="5">
        <v>43533</v>
      </c>
      <c r="L426" s="4">
        <v>0.65</v>
      </c>
      <c r="M426" s="3" t="s">
        <v>49</v>
      </c>
      <c r="N426" s="2">
        <v>16.28</v>
      </c>
      <c r="O426" s="2">
        <v>4.7619047620000003</v>
      </c>
      <c r="P426" s="2">
        <v>0.81399999999999995</v>
      </c>
      <c r="Q426" s="2">
        <v>5</v>
      </c>
      <c r="R426" s="3" t="str">
        <f t="shared" si="14"/>
        <v>March</v>
      </c>
      <c r="S426" s="3">
        <f t="shared" si="13"/>
        <v>3</v>
      </c>
      <c r="T426" s="3" t="str">
        <f>IF(tbl_sales[[#This Row],[Sales]]&gt;=500,"High Value","Standard")</f>
        <v>Standard</v>
      </c>
      <c r="U426" s="1" t="str">
        <f>IF(tbl_sales[[#This Row],[Order Size]]="High Value","High Value Order","Standard Order")</f>
        <v>Standard Order</v>
      </c>
      <c r="V426" s="1"/>
      <c r="W426" s="17" t="s">
        <v>37</v>
      </c>
      <c r="X426" s="17"/>
      <c r="Y426" s="6"/>
      <c r="Z426" s="1" t="s">
        <v>37</v>
      </c>
    </row>
    <row r="427" spans="1:26">
      <c r="A427" s="3" t="s">
        <v>2574</v>
      </c>
      <c r="B427" s="3" t="s">
        <v>115</v>
      </c>
      <c r="C427" s="3" t="s">
        <v>116</v>
      </c>
      <c r="D427" s="3" t="s">
        <v>24</v>
      </c>
      <c r="E427" s="3" t="s">
        <v>992</v>
      </c>
      <c r="F427" s="3" t="s">
        <v>127</v>
      </c>
      <c r="G427" s="2">
        <v>40.61</v>
      </c>
      <c r="H427" s="2">
        <v>9</v>
      </c>
      <c r="I427" s="2">
        <v>18.2745</v>
      </c>
      <c r="J427" s="2">
        <v>383.7645</v>
      </c>
      <c r="K427" s="5">
        <v>43467</v>
      </c>
      <c r="L427" s="4">
        <v>0.56944444444444442</v>
      </c>
      <c r="M427" s="3" t="s">
        <v>49</v>
      </c>
      <c r="N427" s="2">
        <v>365.49</v>
      </c>
      <c r="O427" s="2">
        <v>4.7619047620000003</v>
      </c>
      <c r="P427" s="2">
        <v>18.2745</v>
      </c>
      <c r="Q427" s="2">
        <v>7</v>
      </c>
      <c r="R427" s="3" t="str">
        <f t="shared" si="14"/>
        <v>January</v>
      </c>
      <c r="S427" s="3">
        <f t="shared" si="13"/>
        <v>1</v>
      </c>
      <c r="T427" s="3" t="str">
        <f>IF(tbl_sales[[#This Row],[Sales]]&gt;=500,"High Value","Standard")</f>
        <v>Standard</v>
      </c>
      <c r="U427" s="1" t="str">
        <f>IF(tbl_sales[[#This Row],[Order Size]]="High Value","High Value Order","Standard Order")</f>
        <v>Standard Order</v>
      </c>
      <c r="V427" s="1"/>
      <c r="W427" s="17" t="s">
        <v>37</v>
      </c>
      <c r="X427" s="17"/>
      <c r="Y427" s="6"/>
      <c r="Z427" s="1" t="s">
        <v>37</v>
      </c>
    </row>
    <row r="428" spans="1:26">
      <c r="A428" s="3" t="s">
        <v>2579</v>
      </c>
      <c r="B428" s="3" t="s">
        <v>22</v>
      </c>
      <c r="C428" s="3" t="s">
        <v>23</v>
      </c>
      <c r="D428" s="3" t="s">
        <v>24</v>
      </c>
      <c r="E428" s="3" t="s">
        <v>992</v>
      </c>
      <c r="F428" s="3" t="s">
        <v>26</v>
      </c>
      <c r="G428" s="2">
        <v>53.17</v>
      </c>
      <c r="H428" s="2">
        <v>7</v>
      </c>
      <c r="I428" s="2">
        <v>18.609500000000001</v>
      </c>
      <c r="J428" s="2">
        <v>390.79950000000002</v>
      </c>
      <c r="K428" s="5">
        <v>43486</v>
      </c>
      <c r="L428" s="4">
        <v>0.75069444444444444</v>
      </c>
      <c r="M428" s="3" t="s">
        <v>49</v>
      </c>
      <c r="N428" s="2">
        <v>372.19</v>
      </c>
      <c r="O428" s="2">
        <v>4.7619047620000003</v>
      </c>
      <c r="P428" s="2">
        <v>18.609500000000001</v>
      </c>
      <c r="Q428" s="2">
        <v>8.9</v>
      </c>
      <c r="R428" s="3" t="str">
        <f t="shared" si="14"/>
        <v>January</v>
      </c>
      <c r="S428" s="3">
        <f t="shared" si="13"/>
        <v>1</v>
      </c>
      <c r="T428" s="3" t="str">
        <f>IF(tbl_sales[[#This Row],[Sales]]&gt;=500,"High Value","Standard")</f>
        <v>Standard</v>
      </c>
      <c r="U428" s="1" t="str">
        <f>IF(tbl_sales[[#This Row],[Order Size]]="High Value","High Value Order","Standard Order")</f>
        <v>Standard Order</v>
      </c>
      <c r="V428" s="1"/>
      <c r="W428" s="17" t="s">
        <v>37</v>
      </c>
      <c r="X428" s="17"/>
      <c r="Y428" s="6"/>
      <c r="Z428" s="1" t="s">
        <v>37</v>
      </c>
    </row>
    <row r="429" spans="1:26">
      <c r="A429" s="3" t="s">
        <v>2584</v>
      </c>
      <c r="B429" s="3" t="s">
        <v>115</v>
      </c>
      <c r="C429" s="3" t="s">
        <v>116</v>
      </c>
      <c r="D429" s="3" t="s">
        <v>24</v>
      </c>
      <c r="E429" s="3" t="s">
        <v>25</v>
      </c>
      <c r="F429" s="3" t="s">
        <v>117</v>
      </c>
      <c r="G429" s="2">
        <v>20.87</v>
      </c>
      <c r="H429" s="2">
        <v>3</v>
      </c>
      <c r="I429" s="2">
        <v>3.1305000000000001</v>
      </c>
      <c r="J429" s="2">
        <v>65.740499999999997</v>
      </c>
      <c r="K429" s="5">
        <v>43544</v>
      </c>
      <c r="L429" s="4">
        <v>0.57847222222222228</v>
      </c>
      <c r="M429" s="3" t="s">
        <v>59</v>
      </c>
      <c r="N429" s="2">
        <v>62.61</v>
      </c>
      <c r="O429" s="2">
        <v>4.7619047620000003</v>
      </c>
      <c r="P429" s="2">
        <v>3.1305000000000001</v>
      </c>
      <c r="Q429" s="2">
        <v>8</v>
      </c>
      <c r="R429" s="3" t="str">
        <f t="shared" si="14"/>
        <v>March</v>
      </c>
      <c r="S429" s="3">
        <f t="shared" si="13"/>
        <v>3</v>
      </c>
      <c r="T429" s="3" t="str">
        <f>IF(tbl_sales[[#This Row],[Sales]]&gt;=500,"High Value","Standard")</f>
        <v>Standard</v>
      </c>
      <c r="U429" s="1" t="str">
        <f>IF(tbl_sales[[#This Row],[Order Size]]="High Value","High Value Order","Standard Order")</f>
        <v>Standard Order</v>
      </c>
      <c r="V429" s="1"/>
      <c r="W429" s="17" t="s">
        <v>37</v>
      </c>
      <c r="X429" s="17"/>
      <c r="Y429" s="6"/>
      <c r="Z429" s="1" t="s">
        <v>37</v>
      </c>
    </row>
    <row r="430" spans="1:26">
      <c r="A430" s="3" t="s">
        <v>2590</v>
      </c>
      <c r="B430" s="3" t="s">
        <v>115</v>
      </c>
      <c r="C430" s="3" t="s">
        <v>116</v>
      </c>
      <c r="D430" s="3" t="s">
        <v>41</v>
      </c>
      <c r="E430" s="3" t="s">
        <v>992</v>
      </c>
      <c r="F430" s="3" t="s">
        <v>72</v>
      </c>
      <c r="G430" s="2">
        <v>67.27</v>
      </c>
      <c r="H430" s="2">
        <v>5</v>
      </c>
      <c r="I430" s="2">
        <v>16.817499999999999</v>
      </c>
      <c r="J430" s="2">
        <v>353.16750000000002</v>
      </c>
      <c r="K430" s="5">
        <v>43523</v>
      </c>
      <c r="L430" s="4">
        <v>0.7270833333333333</v>
      </c>
      <c r="M430" s="3" t="s">
        <v>49</v>
      </c>
      <c r="N430" s="2">
        <v>336.35</v>
      </c>
      <c r="O430" s="2">
        <v>4.7619047620000003</v>
      </c>
      <c r="P430" s="2">
        <v>16.817499999999999</v>
      </c>
      <c r="Q430" s="2">
        <v>6.9</v>
      </c>
      <c r="R430" s="3" t="str">
        <f t="shared" si="14"/>
        <v>February</v>
      </c>
      <c r="S430" s="3">
        <f t="shared" si="13"/>
        <v>2</v>
      </c>
      <c r="T430" s="3" t="str">
        <f>IF(tbl_sales[[#This Row],[Sales]]&gt;=500,"High Value","Standard")</f>
        <v>Standard</v>
      </c>
      <c r="U430" s="1" t="str">
        <f>IF(tbl_sales[[#This Row],[Order Size]]="High Value","High Value Order","Standard Order")</f>
        <v>Standard Order</v>
      </c>
      <c r="V430" s="1"/>
      <c r="W430" s="17" t="s">
        <v>37</v>
      </c>
      <c r="X430" s="17"/>
      <c r="Y430" s="6"/>
      <c r="Z430" s="1" t="s">
        <v>37</v>
      </c>
    </row>
    <row r="431" spans="1:26">
      <c r="A431" s="3" t="s">
        <v>2595</v>
      </c>
      <c r="B431" s="3" t="s">
        <v>22</v>
      </c>
      <c r="C431" s="3" t="s">
        <v>23</v>
      </c>
      <c r="D431" s="3" t="s">
        <v>24</v>
      </c>
      <c r="E431" s="3" t="s">
        <v>25</v>
      </c>
      <c r="F431" s="3" t="s">
        <v>53</v>
      </c>
      <c r="G431" s="2">
        <v>90.65</v>
      </c>
      <c r="H431" s="2">
        <v>10</v>
      </c>
      <c r="I431" s="2">
        <v>45.325000000000003</v>
      </c>
      <c r="J431" s="2">
        <v>951.82500000000005</v>
      </c>
      <c r="K431" s="5">
        <v>43532</v>
      </c>
      <c r="L431" s="4">
        <v>0.45347222222222222</v>
      </c>
      <c r="M431" s="3" t="s">
        <v>33</v>
      </c>
      <c r="N431" s="2">
        <v>906.5</v>
      </c>
      <c r="O431" s="2">
        <v>4.7619047620000003</v>
      </c>
      <c r="P431" s="2">
        <v>45.325000000000003</v>
      </c>
      <c r="Q431" s="2">
        <v>7.3</v>
      </c>
      <c r="R431" s="3" t="str">
        <f t="shared" si="14"/>
        <v>March</v>
      </c>
      <c r="S431" s="3">
        <f t="shared" si="13"/>
        <v>3</v>
      </c>
      <c r="T431" s="3" t="str">
        <f>IF(tbl_sales[[#This Row],[Sales]]&gt;=500,"High Value","Standard")</f>
        <v>High Value</v>
      </c>
      <c r="U431" s="1" t="str">
        <f>IF(tbl_sales[[#This Row],[Order Size]]="High Value","High Value Order","Standard Order")</f>
        <v>High Value Order</v>
      </c>
      <c r="V431" s="1"/>
      <c r="W431" s="17" t="s">
        <v>37</v>
      </c>
      <c r="X431" s="17"/>
      <c r="Y431" s="6"/>
      <c r="Z431" s="1" t="s">
        <v>37</v>
      </c>
    </row>
    <row r="432" spans="1:26">
      <c r="A432" s="3" t="s">
        <v>2600</v>
      </c>
      <c r="B432" s="3" t="s">
        <v>115</v>
      </c>
      <c r="C432" s="3" t="s">
        <v>116</v>
      </c>
      <c r="D432" s="3" t="s">
        <v>41</v>
      </c>
      <c r="E432" s="3" t="s">
        <v>992</v>
      </c>
      <c r="F432" s="3" t="s">
        <v>127</v>
      </c>
      <c r="G432" s="2">
        <v>69.08</v>
      </c>
      <c r="H432" s="2">
        <v>2</v>
      </c>
      <c r="I432" s="2">
        <v>6.9080000000000004</v>
      </c>
      <c r="J432" s="2">
        <v>145.06800000000001</v>
      </c>
      <c r="K432" s="5">
        <v>43496</v>
      </c>
      <c r="L432" s="4">
        <v>0.82499999999999996</v>
      </c>
      <c r="M432" s="3" t="s">
        <v>59</v>
      </c>
      <c r="N432" s="2">
        <v>138.16</v>
      </c>
      <c r="O432" s="2">
        <v>4.7619047620000003</v>
      </c>
      <c r="P432" s="2">
        <v>6.9080000000000004</v>
      </c>
      <c r="Q432" s="2">
        <v>6.9</v>
      </c>
      <c r="R432" s="3" t="str">
        <f t="shared" si="14"/>
        <v>January</v>
      </c>
      <c r="S432" s="3">
        <f t="shared" si="13"/>
        <v>1</v>
      </c>
      <c r="T432" s="3" t="str">
        <f>IF(tbl_sales[[#This Row],[Sales]]&gt;=500,"High Value","Standard")</f>
        <v>Standard</v>
      </c>
      <c r="U432" s="1" t="str">
        <f>IF(tbl_sales[[#This Row],[Order Size]]="High Value","High Value Order","Standard Order")</f>
        <v>Standard Order</v>
      </c>
      <c r="V432" s="1"/>
      <c r="W432" s="17" t="s">
        <v>37</v>
      </c>
      <c r="X432" s="17"/>
      <c r="Y432" s="6"/>
      <c r="Z432" s="1" t="s">
        <v>37</v>
      </c>
    </row>
    <row r="433" spans="1:26">
      <c r="A433" s="3" t="s">
        <v>2605</v>
      </c>
      <c r="B433" s="3" t="s">
        <v>39</v>
      </c>
      <c r="C433" s="3" t="s">
        <v>40</v>
      </c>
      <c r="D433" s="3" t="s">
        <v>41</v>
      </c>
      <c r="E433" s="3" t="s">
        <v>992</v>
      </c>
      <c r="F433" s="3" t="s">
        <v>117</v>
      </c>
      <c r="G433" s="2">
        <v>43.27</v>
      </c>
      <c r="H433" s="2">
        <v>2</v>
      </c>
      <c r="I433" s="2">
        <v>4.327</v>
      </c>
      <c r="J433" s="2">
        <v>90.867000000000004</v>
      </c>
      <c r="K433" s="5">
        <v>43532</v>
      </c>
      <c r="L433" s="4">
        <v>0.70347222222222228</v>
      </c>
      <c r="M433" s="3" t="s">
        <v>33</v>
      </c>
      <c r="N433" s="2">
        <v>86.54</v>
      </c>
      <c r="O433" s="2">
        <v>4.7619047620000003</v>
      </c>
      <c r="P433" s="2">
        <v>4.327</v>
      </c>
      <c r="Q433" s="2">
        <v>5.7</v>
      </c>
      <c r="R433" s="3" t="str">
        <f t="shared" si="14"/>
        <v>March</v>
      </c>
      <c r="S433" s="3">
        <f t="shared" si="13"/>
        <v>3</v>
      </c>
      <c r="T433" s="3" t="str">
        <f>IF(tbl_sales[[#This Row],[Sales]]&gt;=500,"High Value","Standard")</f>
        <v>Standard</v>
      </c>
      <c r="U433" s="1" t="str">
        <f>IF(tbl_sales[[#This Row],[Order Size]]="High Value","High Value Order","Standard Order")</f>
        <v>Standard Order</v>
      </c>
      <c r="V433" s="1"/>
      <c r="W433" s="17" t="s">
        <v>37</v>
      </c>
      <c r="X433" s="17"/>
      <c r="Y433" s="6"/>
      <c r="Z433" s="1" t="s">
        <v>37</v>
      </c>
    </row>
    <row r="434" spans="1:26">
      <c r="A434" s="3" t="s">
        <v>2611</v>
      </c>
      <c r="B434" s="3" t="s">
        <v>22</v>
      </c>
      <c r="C434" s="3" t="s">
        <v>23</v>
      </c>
      <c r="D434" s="3" t="s">
        <v>41</v>
      </c>
      <c r="E434" s="3" t="s">
        <v>25</v>
      </c>
      <c r="F434" s="3" t="s">
        <v>42</v>
      </c>
      <c r="G434" s="2">
        <v>23.46</v>
      </c>
      <c r="H434" s="2">
        <v>6</v>
      </c>
      <c r="I434" s="2">
        <v>7.0380000000000003</v>
      </c>
      <c r="J434" s="2">
        <v>147.798</v>
      </c>
      <c r="K434" s="5">
        <v>43478</v>
      </c>
      <c r="L434" s="4">
        <v>0.80138888888888893</v>
      </c>
      <c r="M434" s="3" t="s">
        <v>33</v>
      </c>
      <c r="N434" s="2">
        <v>140.76</v>
      </c>
      <c r="O434" s="2">
        <v>4.7619047620000003</v>
      </c>
      <c r="P434" s="2">
        <v>7.0380000000000003</v>
      </c>
      <c r="Q434" s="2">
        <v>6.4</v>
      </c>
      <c r="R434" s="3" t="str">
        <f t="shared" si="14"/>
        <v>January</v>
      </c>
      <c r="S434" s="3">
        <f t="shared" si="13"/>
        <v>1</v>
      </c>
      <c r="T434" s="3" t="str">
        <f>IF(tbl_sales[[#This Row],[Sales]]&gt;=500,"High Value","Standard")</f>
        <v>Standard</v>
      </c>
      <c r="U434" s="1" t="str">
        <f>IF(tbl_sales[[#This Row],[Order Size]]="High Value","High Value Order","Standard Order")</f>
        <v>Standard Order</v>
      </c>
      <c r="V434" s="1"/>
      <c r="W434" s="17" t="s">
        <v>37</v>
      </c>
      <c r="X434" s="17"/>
      <c r="Y434" s="6"/>
      <c r="Z434" s="1" t="s">
        <v>37</v>
      </c>
    </row>
    <row r="435" spans="1:26">
      <c r="A435" s="3" t="s">
        <v>2616</v>
      </c>
      <c r="B435" s="3" t="s">
        <v>115</v>
      </c>
      <c r="C435" s="3" t="s">
        <v>116</v>
      </c>
      <c r="D435" s="3" t="s">
        <v>41</v>
      </c>
      <c r="E435" s="3" t="s">
        <v>992</v>
      </c>
      <c r="F435" s="3" t="s">
        <v>127</v>
      </c>
      <c r="G435" s="2">
        <v>95.54</v>
      </c>
      <c r="H435" s="2">
        <v>7</v>
      </c>
      <c r="I435" s="2">
        <v>33.439</v>
      </c>
      <c r="J435" s="2">
        <v>702.21900000000005</v>
      </c>
      <c r="K435" s="5">
        <v>43533</v>
      </c>
      <c r="L435" s="4">
        <v>0.60833333333333328</v>
      </c>
      <c r="M435" s="3" t="s">
        <v>59</v>
      </c>
      <c r="N435" s="2">
        <v>668.78</v>
      </c>
      <c r="O435" s="2">
        <v>4.7619047620000003</v>
      </c>
      <c r="P435" s="2">
        <v>33.439</v>
      </c>
      <c r="Q435" s="2">
        <v>9.6</v>
      </c>
      <c r="R435" s="3" t="str">
        <f t="shared" si="14"/>
        <v>March</v>
      </c>
      <c r="S435" s="3">
        <f t="shared" si="13"/>
        <v>3</v>
      </c>
      <c r="T435" s="3" t="str">
        <f>IF(tbl_sales[[#This Row],[Sales]]&gt;=500,"High Value","Standard")</f>
        <v>High Value</v>
      </c>
      <c r="U435" s="1" t="str">
        <f>IF(tbl_sales[[#This Row],[Order Size]]="High Value","High Value Order","Standard Order")</f>
        <v>High Value Order</v>
      </c>
      <c r="V435" s="1"/>
      <c r="W435" s="17" t="s">
        <v>37</v>
      </c>
      <c r="X435" s="17"/>
      <c r="Y435" s="6"/>
      <c r="Z435" s="1" t="s">
        <v>37</v>
      </c>
    </row>
    <row r="436" spans="1:26">
      <c r="A436" s="3" t="s">
        <v>2621</v>
      </c>
      <c r="B436" s="3" t="s">
        <v>115</v>
      </c>
      <c r="C436" s="3" t="s">
        <v>116</v>
      </c>
      <c r="D436" s="3" t="s">
        <v>41</v>
      </c>
      <c r="E436" s="3" t="s">
        <v>25</v>
      </c>
      <c r="F436" s="3" t="s">
        <v>127</v>
      </c>
      <c r="G436" s="2">
        <v>47.44</v>
      </c>
      <c r="H436" s="2">
        <v>1</v>
      </c>
      <c r="I436" s="2">
        <v>2.3719999999999999</v>
      </c>
      <c r="J436" s="2">
        <v>49.811999999999998</v>
      </c>
      <c r="K436" s="5">
        <v>43518</v>
      </c>
      <c r="L436" s="4">
        <v>0.7631944444444444</v>
      </c>
      <c r="M436" s="3" t="s">
        <v>59</v>
      </c>
      <c r="N436" s="2">
        <v>47.44</v>
      </c>
      <c r="O436" s="2">
        <v>4.7619047620000003</v>
      </c>
      <c r="P436" s="2">
        <v>2.3719999999999999</v>
      </c>
      <c r="Q436" s="2">
        <v>6.8</v>
      </c>
      <c r="R436" s="3" t="str">
        <f t="shared" si="14"/>
        <v>February</v>
      </c>
      <c r="S436" s="3">
        <f t="shared" si="13"/>
        <v>2</v>
      </c>
      <c r="T436" s="3" t="str">
        <f>IF(tbl_sales[[#This Row],[Sales]]&gt;=500,"High Value","Standard")</f>
        <v>Standard</v>
      </c>
      <c r="U436" s="1" t="str">
        <f>IF(tbl_sales[[#This Row],[Order Size]]="High Value","High Value Order","Standard Order")</f>
        <v>Standard Order</v>
      </c>
      <c r="V436" s="1"/>
      <c r="W436" s="17" t="s">
        <v>37</v>
      </c>
      <c r="X436" s="17"/>
      <c r="Y436" s="6"/>
      <c r="Z436" s="1" t="s">
        <v>37</v>
      </c>
    </row>
    <row r="437" spans="1:26">
      <c r="A437" s="3" t="s">
        <v>2625</v>
      </c>
      <c r="B437" s="3" t="s">
        <v>39</v>
      </c>
      <c r="C437" s="3" t="s">
        <v>40</v>
      </c>
      <c r="D437" s="3" t="s">
        <v>41</v>
      </c>
      <c r="E437" s="3" t="s">
        <v>992</v>
      </c>
      <c r="F437" s="3" t="s">
        <v>72</v>
      </c>
      <c r="G437" s="2">
        <v>99.24</v>
      </c>
      <c r="H437" s="2">
        <v>9</v>
      </c>
      <c r="I437" s="2">
        <v>44.658000000000001</v>
      </c>
      <c r="J437" s="2">
        <v>937.81799999999998</v>
      </c>
      <c r="K437" s="5">
        <v>43543</v>
      </c>
      <c r="L437" s="4">
        <v>0.79791666666666672</v>
      </c>
      <c r="M437" s="3" t="s">
        <v>33</v>
      </c>
      <c r="N437" s="2">
        <v>893.16</v>
      </c>
      <c r="O437" s="2">
        <v>4.7619047620000003</v>
      </c>
      <c r="P437" s="2">
        <v>44.658000000000001</v>
      </c>
      <c r="Q437" s="2">
        <v>9</v>
      </c>
      <c r="R437" s="3" t="str">
        <f t="shared" si="14"/>
        <v>March</v>
      </c>
      <c r="S437" s="3">
        <f t="shared" si="13"/>
        <v>3</v>
      </c>
      <c r="T437" s="3" t="str">
        <f>IF(tbl_sales[[#This Row],[Sales]]&gt;=500,"High Value","Standard")</f>
        <v>High Value</v>
      </c>
      <c r="U437" s="1" t="str">
        <f>IF(tbl_sales[[#This Row],[Order Size]]="High Value","High Value Order","Standard Order")</f>
        <v>High Value Order</v>
      </c>
      <c r="V437" s="1"/>
      <c r="W437" s="17" t="s">
        <v>37</v>
      </c>
      <c r="X437" s="17"/>
      <c r="Y437" s="6"/>
      <c r="Z437" s="1" t="s">
        <v>37</v>
      </c>
    </row>
    <row r="438" spans="1:26">
      <c r="A438" s="3" t="s">
        <v>2630</v>
      </c>
      <c r="B438" s="3" t="s">
        <v>39</v>
      </c>
      <c r="C438" s="3" t="s">
        <v>40</v>
      </c>
      <c r="D438" s="3" t="s">
        <v>24</v>
      </c>
      <c r="E438" s="3" t="s">
        <v>992</v>
      </c>
      <c r="F438" s="3" t="s">
        <v>72</v>
      </c>
      <c r="G438" s="2">
        <v>82.93</v>
      </c>
      <c r="H438" s="2">
        <v>4</v>
      </c>
      <c r="I438" s="2">
        <v>16.585999999999999</v>
      </c>
      <c r="J438" s="2">
        <v>348.30599999999998</v>
      </c>
      <c r="K438" s="5">
        <v>43485</v>
      </c>
      <c r="L438" s="4">
        <v>0.70208333333333328</v>
      </c>
      <c r="M438" s="3" t="s">
        <v>33</v>
      </c>
      <c r="N438" s="2">
        <v>331.72</v>
      </c>
      <c r="O438" s="2">
        <v>4.7619047620000003</v>
      </c>
      <c r="P438" s="2">
        <v>16.585999999999999</v>
      </c>
      <c r="Q438" s="2">
        <v>9.6</v>
      </c>
      <c r="R438" s="3" t="str">
        <f t="shared" si="14"/>
        <v>January</v>
      </c>
      <c r="S438" s="3">
        <f t="shared" si="13"/>
        <v>1</v>
      </c>
      <c r="T438" s="3" t="str">
        <f>IF(tbl_sales[[#This Row],[Sales]]&gt;=500,"High Value","Standard")</f>
        <v>Standard</v>
      </c>
      <c r="U438" s="1" t="str">
        <f>IF(tbl_sales[[#This Row],[Order Size]]="High Value","High Value Order","Standard Order")</f>
        <v>Standard Order</v>
      </c>
      <c r="V438" s="1"/>
      <c r="W438" s="17" t="s">
        <v>37</v>
      </c>
      <c r="X438" s="17"/>
      <c r="Y438" s="6"/>
      <c r="Z438" s="1" t="s">
        <v>37</v>
      </c>
    </row>
    <row r="439" spans="1:26">
      <c r="A439" s="3" t="s">
        <v>2636</v>
      </c>
      <c r="B439" s="3" t="s">
        <v>22</v>
      </c>
      <c r="C439" s="3" t="s">
        <v>23</v>
      </c>
      <c r="D439" s="3" t="s">
        <v>41</v>
      </c>
      <c r="E439" s="3" t="s">
        <v>992</v>
      </c>
      <c r="F439" s="3" t="s">
        <v>53</v>
      </c>
      <c r="G439" s="2">
        <v>33.99</v>
      </c>
      <c r="H439" s="2">
        <v>6</v>
      </c>
      <c r="I439" s="2">
        <v>10.196999999999999</v>
      </c>
      <c r="J439" s="2">
        <v>214.137</v>
      </c>
      <c r="K439" s="5">
        <v>43532</v>
      </c>
      <c r="L439" s="4">
        <v>0.65069444444444446</v>
      </c>
      <c r="M439" s="3" t="s">
        <v>59</v>
      </c>
      <c r="N439" s="2">
        <v>203.94</v>
      </c>
      <c r="O439" s="2">
        <v>4.7619047620000003</v>
      </c>
      <c r="P439" s="2">
        <v>10.196999999999999</v>
      </c>
      <c r="Q439" s="2">
        <v>7.7</v>
      </c>
      <c r="R439" s="3" t="str">
        <f t="shared" si="14"/>
        <v>March</v>
      </c>
      <c r="S439" s="3">
        <f t="shared" si="13"/>
        <v>3</v>
      </c>
      <c r="T439" s="3" t="str">
        <f>IF(tbl_sales[[#This Row],[Sales]]&gt;=500,"High Value","Standard")</f>
        <v>Standard</v>
      </c>
      <c r="U439" s="1" t="str">
        <f>IF(tbl_sales[[#This Row],[Order Size]]="High Value","High Value Order","Standard Order")</f>
        <v>Standard Order</v>
      </c>
      <c r="V439" s="1"/>
      <c r="W439" s="17" t="s">
        <v>37</v>
      </c>
      <c r="X439" s="17"/>
      <c r="Y439" s="6"/>
      <c r="Z439" s="1" t="s">
        <v>37</v>
      </c>
    </row>
    <row r="440" spans="1:26">
      <c r="A440" s="3" t="s">
        <v>2642</v>
      </c>
      <c r="B440" s="3" t="s">
        <v>39</v>
      </c>
      <c r="C440" s="3" t="s">
        <v>40</v>
      </c>
      <c r="D440" s="3" t="s">
        <v>24</v>
      </c>
      <c r="E440" s="3" t="s">
        <v>992</v>
      </c>
      <c r="F440" s="3" t="s">
        <v>117</v>
      </c>
      <c r="G440" s="2">
        <v>17.04</v>
      </c>
      <c r="H440" s="2">
        <v>4</v>
      </c>
      <c r="I440" s="2">
        <v>3.4079999999999999</v>
      </c>
      <c r="J440" s="2">
        <v>71.567999999999998</v>
      </c>
      <c r="K440" s="5">
        <v>43532</v>
      </c>
      <c r="L440" s="4">
        <v>0.84375</v>
      </c>
      <c r="M440" s="3" t="s">
        <v>33</v>
      </c>
      <c r="N440" s="2">
        <v>68.16</v>
      </c>
      <c r="O440" s="2">
        <v>4.7619047620000003</v>
      </c>
      <c r="P440" s="2">
        <v>3.4079999999999999</v>
      </c>
      <c r="Q440" s="2">
        <v>7</v>
      </c>
      <c r="R440" s="3" t="str">
        <f t="shared" si="14"/>
        <v>March</v>
      </c>
      <c r="S440" s="3">
        <f t="shared" si="13"/>
        <v>3</v>
      </c>
      <c r="T440" s="3" t="str">
        <f>IF(tbl_sales[[#This Row],[Sales]]&gt;=500,"High Value","Standard")</f>
        <v>Standard</v>
      </c>
      <c r="U440" s="1" t="str">
        <f>IF(tbl_sales[[#This Row],[Order Size]]="High Value","High Value Order","Standard Order")</f>
        <v>Standard Order</v>
      </c>
      <c r="V440" s="1"/>
      <c r="W440" s="17" t="s">
        <v>37</v>
      </c>
      <c r="X440" s="17"/>
      <c r="Y440" s="6"/>
      <c r="Z440" s="1" t="s">
        <v>37</v>
      </c>
    </row>
    <row r="441" spans="1:26">
      <c r="A441" s="3" t="s">
        <v>2648</v>
      </c>
      <c r="B441" s="3" t="s">
        <v>39</v>
      </c>
      <c r="C441" s="3" t="s">
        <v>40</v>
      </c>
      <c r="D441" s="3" t="s">
        <v>41</v>
      </c>
      <c r="E441" s="3" t="s">
        <v>25</v>
      </c>
      <c r="F441" s="3" t="s">
        <v>42</v>
      </c>
      <c r="G441" s="2">
        <v>40.86</v>
      </c>
      <c r="H441" s="2">
        <v>8</v>
      </c>
      <c r="I441" s="2">
        <v>16.344000000000001</v>
      </c>
      <c r="J441" s="2">
        <v>343.22399999999999</v>
      </c>
      <c r="K441" s="5">
        <v>43503</v>
      </c>
      <c r="L441" s="4">
        <v>0.60972222222222228</v>
      </c>
      <c r="M441" s="3" t="s">
        <v>59</v>
      </c>
      <c r="N441" s="2">
        <v>326.88</v>
      </c>
      <c r="O441" s="2">
        <v>4.7619047620000003</v>
      </c>
      <c r="P441" s="2">
        <v>16.344000000000001</v>
      </c>
      <c r="Q441" s="2">
        <v>6.5</v>
      </c>
      <c r="R441" s="3" t="str">
        <f t="shared" si="14"/>
        <v>February</v>
      </c>
      <c r="S441" s="3">
        <f t="shared" si="13"/>
        <v>2</v>
      </c>
      <c r="T441" s="3" t="str">
        <f>IF(tbl_sales[[#This Row],[Sales]]&gt;=500,"High Value","Standard")</f>
        <v>Standard</v>
      </c>
      <c r="U441" s="1" t="str">
        <f>IF(tbl_sales[[#This Row],[Order Size]]="High Value","High Value Order","Standard Order")</f>
        <v>Standard Order</v>
      </c>
      <c r="V441" s="1"/>
      <c r="W441" s="17" t="s">
        <v>37</v>
      </c>
      <c r="X441" s="17"/>
      <c r="Y441" s="6"/>
      <c r="Z441" s="1" t="s">
        <v>37</v>
      </c>
    </row>
    <row r="442" spans="1:26">
      <c r="A442" s="3" t="s">
        <v>2653</v>
      </c>
      <c r="B442" s="3" t="s">
        <v>39</v>
      </c>
      <c r="C442" s="3" t="s">
        <v>40</v>
      </c>
      <c r="D442" s="3" t="s">
        <v>24</v>
      </c>
      <c r="E442" s="3" t="s">
        <v>992</v>
      </c>
      <c r="F442" s="3" t="s">
        <v>117</v>
      </c>
      <c r="G442" s="2">
        <v>17.440000000000001</v>
      </c>
      <c r="H442" s="2">
        <v>5</v>
      </c>
      <c r="I442" s="2">
        <v>4.3600000000000003</v>
      </c>
      <c r="J442" s="2">
        <v>91.56</v>
      </c>
      <c r="K442" s="5">
        <v>43480</v>
      </c>
      <c r="L442" s="4">
        <v>0.80902777777777779</v>
      </c>
      <c r="M442" s="3" t="s">
        <v>49</v>
      </c>
      <c r="N442" s="2">
        <v>87.2</v>
      </c>
      <c r="O442" s="2">
        <v>4.7619047620000003</v>
      </c>
      <c r="P442" s="2">
        <v>4.3600000000000003</v>
      </c>
      <c r="Q442" s="2">
        <v>8.1</v>
      </c>
      <c r="R442" s="3" t="str">
        <f t="shared" si="14"/>
        <v>January</v>
      </c>
      <c r="S442" s="3">
        <f t="shared" si="13"/>
        <v>1</v>
      </c>
      <c r="T442" s="3" t="str">
        <f>IF(tbl_sales[[#This Row],[Sales]]&gt;=500,"High Value","Standard")</f>
        <v>Standard</v>
      </c>
      <c r="U442" s="1" t="str">
        <f>IF(tbl_sales[[#This Row],[Order Size]]="High Value","High Value Order","Standard Order")</f>
        <v>Standard Order</v>
      </c>
      <c r="V442" s="1"/>
      <c r="W442" s="17" t="s">
        <v>37</v>
      </c>
      <c r="X442" s="17"/>
      <c r="Y442" s="6"/>
      <c r="Z442" s="1" t="s">
        <v>37</v>
      </c>
    </row>
    <row r="443" spans="1:26">
      <c r="A443" s="3" t="s">
        <v>2657</v>
      </c>
      <c r="B443" s="3" t="s">
        <v>115</v>
      </c>
      <c r="C443" s="3" t="s">
        <v>116</v>
      </c>
      <c r="D443" s="3" t="s">
        <v>24</v>
      </c>
      <c r="E443" s="3" t="s">
        <v>25</v>
      </c>
      <c r="F443" s="3" t="s">
        <v>72</v>
      </c>
      <c r="G443" s="2">
        <v>88.43</v>
      </c>
      <c r="H443" s="2">
        <v>8</v>
      </c>
      <c r="I443" s="2">
        <v>35.372</v>
      </c>
      <c r="J443" s="2">
        <v>742.81200000000001</v>
      </c>
      <c r="K443" s="5">
        <v>43546</v>
      </c>
      <c r="L443" s="4">
        <v>0.81597222222222221</v>
      </c>
      <c r="M443" s="3" t="s">
        <v>59</v>
      </c>
      <c r="N443" s="2">
        <v>707.44</v>
      </c>
      <c r="O443" s="2">
        <v>4.7619047620000003</v>
      </c>
      <c r="P443" s="2">
        <v>35.372</v>
      </c>
      <c r="Q443" s="2">
        <v>4.3</v>
      </c>
      <c r="R443" s="3" t="str">
        <f t="shared" si="14"/>
        <v>March</v>
      </c>
      <c r="S443" s="3">
        <f t="shared" si="13"/>
        <v>3</v>
      </c>
      <c r="T443" s="3" t="str">
        <f>IF(tbl_sales[[#This Row],[Sales]]&gt;=500,"High Value","Standard")</f>
        <v>High Value</v>
      </c>
      <c r="U443" s="1" t="str">
        <f>IF(tbl_sales[[#This Row],[Order Size]]="High Value","High Value Order","Standard Order")</f>
        <v>High Value Order</v>
      </c>
      <c r="V443" s="1"/>
      <c r="W443" s="17" t="s">
        <v>37</v>
      </c>
      <c r="X443" s="17"/>
      <c r="Y443" s="6"/>
      <c r="Z443" s="1" t="s">
        <v>37</v>
      </c>
    </row>
    <row r="444" spans="1:26">
      <c r="A444" s="3" t="s">
        <v>2663</v>
      </c>
      <c r="B444" s="3" t="s">
        <v>22</v>
      </c>
      <c r="C444" s="3" t="s">
        <v>23</v>
      </c>
      <c r="D444" s="3" t="s">
        <v>24</v>
      </c>
      <c r="E444" s="3" t="s">
        <v>25</v>
      </c>
      <c r="F444" s="3" t="s">
        <v>53</v>
      </c>
      <c r="G444" s="2">
        <v>89.21</v>
      </c>
      <c r="H444" s="2">
        <v>9</v>
      </c>
      <c r="I444" s="2">
        <v>40.144500000000001</v>
      </c>
      <c r="J444" s="2">
        <v>843.03449999999998</v>
      </c>
      <c r="K444" s="5">
        <v>43480</v>
      </c>
      <c r="L444" s="4">
        <v>0.65416666666666667</v>
      </c>
      <c r="M444" s="3" t="s">
        <v>59</v>
      </c>
      <c r="N444" s="2">
        <v>802.89</v>
      </c>
      <c r="O444" s="2">
        <v>4.7619047620000003</v>
      </c>
      <c r="P444" s="2">
        <v>40.144500000000001</v>
      </c>
      <c r="Q444" s="2">
        <v>6.5</v>
      </c>
      <c r="R444" s="3" t="str">
        <f t="shared" si="14"/>
        <v>January</v>
      </c>
      <c r="S444" s="3">
        <f t="shared" si="13"/>
        <v>1</v>
      </c>
      <c r="T444" s="3" t="str">
        <f>IF(tbl_sales[[#This Row],[Sales]]&gt;=500,"High Value","Standard")</f>
        <v>High Value</v>
      </c>
      <c r="U444" s="1" t="str">
        <f>IF(tbl_sales[[#This Row],[Order Size]]="High Value","High Value Order","Standard Order")</f>
        <v>High Value Order</v>
      </c>
      <c r="V444" s="1"/>
      <c r="W444" s="17" t="s">
        <v>37</v>
      </c>
      <c r="X444" s="17"/>
      <c r="Y444" s="6"/>
      <c r="Z444" s="1" t="s">
        <v>37</v>
      </c>
    </row>
    <row r="445" spans="1:26">
      <c r="A445" s="3" t="s">
        <v>2669</v>
      </c>
      <c r="B445" s="3" t="s">
        <v>39</v>
      </c>
      <c r="C445" s="3" t="s">
        <v>40</v>
      </c>
      <c r="D445" s="3" t="s">
        <v>41</v>
      </c>
      <c r="E445" s="3" t="s">
        <v>992</v>
      </c>
      <c r="F445" s="3" t="s">
        <v>127</v>
      </c>
      <c r="G445" s="2">
        <v>12.78</v>
      </c>
      <c r="H445" s="2">
        <v>1</v>
      </c>
      <c r="I445" s="2">
        <v>0.63900000000000001</v>
      </c>
      <c r="J445" s="2">
        <v>13.419</v>
      </c>
      <c r="K445" s="5">
        <v>43473</v>
      </c>
      <c r="L445" s="4">
        <v>0.59097222222222223</v>
      </c>
      <c r="M445" s="3" t="s">
        <v>33</v>
      </c>
      <c r="N445" s="2">
        <v>12.78</v>
      </c>
      <c r="O445" s="2">
        <v>4.7619047620000003</v>
      </c>
      <c r="P445" s="2">
        <v>0.63900000000000001</v>
      </c>
      <c r="Q445" s="2">
        <v>9.5</v>
      </c>
      <c r="R445" s="3" t="str">
        <f t="shared" si="14"/>
        <v>January</v>
      </c>
      <c r="S445" s="3">
        <f t="shared" si="13"/>
        <v>1</v>
      </c>
      <c r="T445" s="3" t="str">
        <f>IF(tbl_sales[[#This Row],[Sales]]&gt;=500,"High Value","Standard")</f>
        <v>Standard</v>
      </c>
      <c r="U445" s="1" t="str">
        <f>IF(tbl_sales[[#This Row],[Order Size]]="High Value","High Value Order","Standard Order")</f>
        <v>Standard Order</v>
      </c>
      <c r="V445" s="1"/>
      <c r="W445" s="17" t="s">
        <v>37</v>
      </c>
      <c r="X445" s="17"/>
      <c r="Y445" s="6"/>
      <c r="Z445" s="1" t="s">
        <v>37</v>
      </c>
    </row>
    <row r="446" spans="1:26">
      <c r="A446" s="3" t="s">
        <v>2674</v>
      </c>
      <c r="B446" s="3" t="s">
        <v>22</v>
      </c>
      <c r="C446" s="3" t="s">
        <v>23</v>
      </c>
      <c r="D446" s="3" t="s">
        <v>41</v>
      </c>
      <c r="E446" s="3" t="s">
        <v>25</v>
      </c>
      <c r="F446" s="3" t="s">
        <v>72</v>
      </c>
      <c r="G446" s="2">
        <v>19.100000000000001</v>
      </c>
      <c r="H446" s="2">
        <v>7</v>
      </c>
      <c r="I446" s="2">
        <v>6.6849999999999996</v>
      </c>
      <c r="J446" s="2">
        <v>140.38499999999999</v>
      </c>
      <c r="K446" s="5">
        <v>43480</v>
      </c>
      <c r="L446" s="4">
        <v>0.4465277777777778</v>
      </c>
      <c r="M446" s="3" t="s">
        <v>49</v>
      </c>
      <c r="N446" s="2">
        <v>133.69999999999999</v>
      </c>
      <c r="O446" s="2">
        <v>4.7619047620000003</v>
      </c>
      <c r="P446" s="2">
        <v>6.6849999999999996</v>
      </c>
      <c r="Q446" s="2">
        <v>9.6999999999999993</v>
      </c>
      <c r="R446" s="3" t="str">
        <f t="shared" si="14"/>
        <v>January</v>
      </c>
      <c r="S446" s="3">
        <f t="shared" si="13"/>
        <v>1</v>
      </c>
      <c r="T446" s="3" t="str">
        <f>IF(tbl_sales[[#This Row],[Sales]]&gt;=500,"High Value","Standard")</f>
        <v>Standard</v>
      </c>
      <c r="U446" s="1" t="str">
        <f>IF(tbl_sales[[#This Row],[Order Size]]="High Value","High Value Order","Standard Order")</f>
        <v>Standard Order</v>
      </c>
      <c r="V446" s="1"/>
      <c r="W446" s="17" t="s">
        <v>37</v>
      </c>
      <c r="X446" s="17"/>
      <c r="Y446" s="6"/>
      <c r="Z446" s="1" t="s">
        <v>37</v>
      </c>
    </row>
    <row r="447" spans="1:26">
      <c r="A447" s="3" t="s">
        <v>2679</v>
      </c>
      <c r="B447" s="3" t="s">
        <v>115</v>
      </c>
      <c r="C447" s="3" t="s">
        <v>116</v>
      </c>
      <c r="D447" s="3" t="s">
        <v>24</v>
      </c>
      <c r="E447" s="3" t="s">
        <v>25</v>
      </c>
      <c r="F447" s="3" t="s">
        <v>26</v>
      </c>
      <c r="G447" s="2">
        <v>19.149999999999999</v>
      </c>
      <c r="H447" s="2">
        <v>1</v>
      </c>
      <c r="I447" s="2">
        <v>0.95750000000000002</v>
      </c>
      <c r="J447" s="2">
        <v>20.107500000000002</v>
      </c>
      <c r="K447" s="5">
        <v>43493</v>
      </c>
      <c r="L447" s="4">
        <v>0.74861111111111112</v>
      </c>
      <c r="M447" s="3" t="s">
        <v>59</v>
      </c>
      <c r="N447" s="2">
        <v>19.149999999999999</v>
      </c>
      <c r="O447" s="2">
        <v>4.7619047620000003</v>
      </c>
      <c r="P447" s="2">
        <v>0.95750000000000002</v>
      </c>
      <c r="Q447" s="2">
        <v>9.5</v>
      </c>
      <c r="R447" s="3" t="str">
        <f t="shared" si="14"/>
        <v>January</v>
      </c>
      <c r="S447" s="3">
        <f t="shared" si="13"/>
        <v>1</v>
      </c>
      <c r="T447" s="3" t="str">
        <f>IF(tbl_sales[[#This Row],[Sales]]&gt;=500,"High Value","Standard")</f>
        <v>Standard</v>
      </c>
      <c r="U447" s="1" t="str">
        <f>IF(tbl_sales[[#This Row],[Order Size]]="High Value","High Value Order","Standard Order")</f>
        <v>Standard Order</v>
      </c>
      <c r="V447" s="1"/>
      <c r="W447" s="17" t="s">
        <v>37</v>
      </c>
      <c r="X447" s="17"/>
      <c r="Y447" s="6"/>
      <c r="Z447" s="1" t="s">
        <v>37</v>
      </c>
    </row>
    <row r="448" spans="1:26">
      <c r="A448" s="3" t="s">
        <v>2683</v>
      </c>
      <c r="B448" s="3" t="s">
        <v>39</v>
      </c>
      <c r="C448" s="3" t="s">
        <v>40</v>
      </c>
      <c r="D448" s="3" t="s">
        <v>24</v>
      </c>
      <c r="E448" s="3" t="s">
        <v>992</v>
      </c>
      <c r="F448" s="3" t="s">
        <v>117</v>
      </c>
      <c r="G448" s="2">
        <v>27.66</v>
      </c>
      <c r="H448" s="2">
        <v>10</v>
      </c>
      <c r="I448" s="2">
        <v>13.83</v>
      </c>
      <c r="J448" s="2">
        <v>290.43</v>
      </c>
      <c r="K448" s="5">
        <v>43510</v>
      </c>
      <c r="L448" s="4">
        <v>0.47638888888888886</v>
      </c>
      <c r="M448" s="3" t="s">
        <v>59</v>
      </c>
      <c r="N448" s="2">
        <v>276.60000000000002</v>
      </c>
      <c r="O448" s="2">
        <v>4.7619047620000003</v>
      </c>
      <c r="P448" s="2">
        <v>13.83</v>
      </c>
      <c r="Q448" s="2">
        <v>8.9</v>
      </c>
      <c r="R448" s="3" t="str">
        <f t="shared" si="14"/>
        <v>February</v>
      </c>
      <c r="S448" s="3">
        <f t="shared" si="13"/>
        <v>2</v>
      </c>
      <c r="T448" s="3" t="str">
        <f>IF(tbl_sales[[#This Row],[Sales]]&gt;=500,"High Value","Standard")</f>
        <v>Standard</v>
      </c>
      <c r="U448" s="1" t="str">
        <f>IF(tbl_sales[[#This Row],[Order Size]]="High Value","High Value Order","Standard Order")</f>
        <v>Standard Order</v>
      </c>
      <c r="V448" s="1"/>
      <c r="W448" s="17" t="s">
        <v>37</v>
      </c>
      <c r="X448" s="17"/>
      <c r="Y448" s="6"/>
      <c r="Z448" s="1" t="s">
        <v>37</v>
      </c>
    </row>
    <row r="449" spans="1:26">
      <c r="A449" s="3" t="s">
        <v>2688</v>
      </c>
      <c r="B449" s="3" t="s">
        <v>39</v>
      </c>
      <c r="C449" s="3" t="s">
        <v>40</v>
      </c>
      <c r="D449" s="3" t="s">
        <v>41</v>
      </c>
      <c r="E449" s="3" t="s">
        <v>992</v>
      </c>
      <c r="F449" s="3" t="s">
        <v>127</v>
      </c>
      <c r="G449" s="2">
        <v>45.74</v>
      </c>
      <c r="H449" s="2">
        <v>3</v>
      </c>
      <c r="I449" s="2">
        <v>6.8609999999999998</v>
      </c>
      <c r="J449" s="2">
        <v>144.08099999999999</v>
      </c>
      <c r="K449" s="5">
        <v>43534</v>
      </c>
      <c r="L449" s="4">
        <v>0.73472222222222228</v>
      </c>
      <c r="M449" s="3" t="s">
        <v>59</v>
      </c>
      <c r="N449" s="2">
        <v>137.22</v>
      </c>
      <c r="O449" s="2">
        <v>4.7619047620000003</v>
      </c>
      <c r="P449" s="2">
        <v>6.8609999999999998</v>
      </c>
      <c r="Q449" s="2">
        <v>6.5</v>
      </c>
      <c r="R449" s="3" t="str">
        <f t="shared" si="14"/>
        <v>March</v>
      </c>
      <c r="S449" s="3">
        <f t="shared" si="13"/>
        <v>3</v>
      </c>
      <c r="T449" s="3" t="str">
        <f>IF(tbl_sales[[#This Row],[Sales]]&gt;=500,"High Value","Standard")</f>
        <v>Standard</v>
      </c>
      <c r="U449" s="1" t="str">
        <f>IF(tbl_sales[[#This Row],[Order Size]]="High Value","High Value Order","Standard Order")</f>
        <v>Standard Order</v>
      </c>
      <c r="V449" s="1"/>
      <c r="W449" s="17" t="s">
        <v>37</v>
      </c>
      <c r="X449" s="17"/>
      <c r="Y449" s="6"/>
      <c r="Z449" s="1" t="s">
        <v>37</v>
      </c>
    </row>
    <row r="450" spans="1:26">
      <c r="A450" s="3" t="s">
        <v>2693</v>
      </c>
      <c r="B450" s="3" t="s">
        <v>115</v>
      </c>
      <c r="C450" s="3" t="s">
        <v>116</v>
      </c>
      <c r="D450" s="3" t="s">
        <v>24</v>
      </c>
      <c r="E450" s="3" t="s">
        <v>25</v>
      </c>
      <c r="F450" s="3" t="s">
        <v>26</v>
      </c>
      <c r="G450" s="2">
        <v>27.07</v>
      </c>
      <c r="H450" s="2">
        <v>1</v>
      </c>
      <c r="I450" s="2">
        <v>1.3534999999999999</v>
      </c>
      <c r="J450" s="2">
        <v>28.423500000000001</v>
      </c>
      <c r="K450" s="5">
        <v>43477</v>
      </c>
      <c r="L450" s="4">
        <v>0.83819444444444446</v>
      </c>
      <c r="M450" s="3" t="s">
        <v>59</v>
      </c>
      <c r="N450" s="2">
        <v>27.07</v>
      </c>
      <c r="O450" s="2">
        <v>4.7619047620000003</v>
      </c>
      <c r="P450" s="2">
        <v>1.3534999999999999</v>
      </c>
      <c r="Q450" s="2">
        <v>5.3</v>
      </c>
      <c r="R450" s="3" t="str">
        <f t="shared" si="14"/>
        <v>January</v>
      </c>
      <c r="S450" s="3">
        <f t="shared" ref="S450:S513" si="15">MONTH(K450)</f>
        <v>1</v>
      </c>
      <c r="T450" s="3" t="str">
        <f>IF(tbl_sales[[#This Row],[Sales]]&gt;=500,"High Value","Standard")</f>
        <v>Standard</v>
      </c>
      <c r="U450" s="1" t="str">
        <f>IF(tbl_sales[[#This Row],[Order Size]]="High Value","High Value Order","Standard Order")</f>
        <v>Standard Order</v>
      </c>
      <c r="V450" s="1"/>
      <c r="W450" s="17" t="s">
        <v>37</v>
      </c>
      <c r="X450" s="17"/>
      <c r="Y450" s="6"/>
      <c r="Z450" s="1" t="s">
        <v>37</v>
      </c>
    </row>
    <row r="451" spans="1:26">
      <c r="A451" s="3" t="s">
        <v>2697</v>
      </c>
      <c r="B451" s="3" t="s">
        <v>115</v>
      </c>
      <c r="C451" s="3" t="s">
        <v>116</v>
      </c>
      <c r="D451" s="3" t="s">
        <v>24</v>
      </c>
      <c r="E451" s="3" t="s">
        <v>25</v>
      </c>
      <c r="F451" s="3" t="s">
        <v>72</v>
      </c>
      <c r="G451" s="2">
        <v>39.119999999999997</v>
      </c>
      <c r="H451" s="2">
        <v>1</v>
      </c>
      <c r="I451" s="2">
        <v>1.956</v>
      </c>
      <c r="J451" s="2">
        <v>41.076000000000001</v>
      </c>
      <c r="K451" s="5">
        <v>43550</v>
      </c>
      <c r="L451" s="4">
        <v>0.4597222222222222</v>
      </c>
      <c r="M451" s="3" t="s">
        <v>59</v>
      </c>
      <c r="N451" s="2">
        <v>39.119999999999997</v>
      </c>
      <c r="O451" s="2">
        <v>4.7619047620000003</v>
      </c>
      <c r="P451" s="2">
        <v>1.956</v>
      </c>
      <c r="Q451" s="2">
        <v>9.6</v>
      </c>
      <c r="R451" s="3" t="str">
        <f t="shared" ref="R451:R514" si="16">TEXT(K451,"mmmm")</f>
        <v>March</v>
      </c>
      <c r="S451" s="3">
        <f t="shared" si="15"/>
        <v>3</v>
      </c>
      <c r="T451" s="3" t="str">
        <f>IF(tbl_sales[[#This Row],[Sales]]&gt;=500,"High Value","Standard")</f>
        <v>Standard</v>
      </c>
      <c r="U451" s="1" t="str">
        <f>IF(tbl_sales[[#This Row],[Order Size]]="High Value","High Value Order","Standard Order")</f>
        <v>Standard Order</v>
      </c>
      <c r="V451" s="1"/>
      <c r="W451" s="17" t="s">
        <v>37</v>
      </c>
      <c r="X451" s="17"/>
      <c r="Y451" s="6"/>
      <c r="Z451" s="1" t="s">
        <v>37</v>
      </c>
    </row>
    <row r="452" spans="1:26">
      <c r="A452" s="3" t="s">
        <v>2702</v>
      </c>
      <c r="B452" s="3" t="s">
        <v>115</v>
      </c>
      <c r="C452" s="3" t="s">
        <v>116</v>
      </c>
      <c r="D452" s="3" t="s">
        <v>41</v>
      </c>
      <c r="E452" s="3" t="s">
        <v>25</v>
      </c>
      <c r="F452" s="3" t="s">
        <v>42</v>
      </c>
      <c r="G452" s="2">
        <v>74.709999999999994</v>
      </c>
      <c r="H452" s="2">
        <v>6</v>
      </c>
      <c r="I452" s="2">
        <v>22.413</v>
      </c>
      <c r="J452" s="2">
        <v>470.673</v>
      </c>
      <c r="K452" s="5">
        <v>43466</v>
      </c>
      <c r="L452" s="4">
        <v>0.79652777777777772</v>
      </c>
      <c r="M452" s="3" t="s">
        <v>49</v>
      </c>
      <c r="N452" s="2">
        <v>448.26</v>
      </c>
      <c r="O452" s="2">
        <v>4.7619047620000003</v>
      </c>
      <c r="P452" s="2">
        <v>22.413</v>
      </c>
      <c r="Q452" s="2">
        <v>6.7</v>
      </c>
      <c r="R452" s="3" t="str">
        <f t="shared" si="16"/>
        <v>January</v>
      </c>
      <c r="S452" s="3">
        <f t="shared" si="15"/>
        <v>1</v>
      </c>
      <c r="T452" s="3" t="str">
        <f>IF(tbl_sales[[#This Row],[Sales]]&gt;=500,"High Value","Standard")</f>
        <v>Standard</v>
      </c>
      <c r="U452" s="1" t="str">
        <f>IF(tbl_sales[[#This Row],[Order Size]]="High Value","High Value Order","Standard Order")</f>
        <v>Standard Order</v>
      </c>
      <c r="V452" s="1"/>
      <c r="W452" s="17" t="s">
        <v>37</v>
      </c>
      <c r="X452" s="17"/>
      <c r="Y452" s="6"/>
      <c r="Z452" s="1" t="s">
        <v>37</v>
      </c>
    </row>
    <row r="453" spans="1:26">
      <c r="A453" s="3" t="s">
        <v>2707</v>
      </c>
      <c r="B453" s="3" t="s">
        <v>115</v>
      </c>
      <c r="C453" s="3" t="s">
        <v>116</v>
      </c>
      <c r="D453" s="3" t="s">
        <v>41</v>
      </c>
      <c r="E453" s="3" t="s">
        <v>992</v>
      </c>
      <c r="F453" s="3" t="s">
        <v>42</v>
      </c>
      <c r="G453" s="2">
        <v>22.01</v>
      </c>
      <c r="H453" s="2">
        <v>6</v>
      </c>
      <c r="I453" s="2">
        <v>6.6029999999999998</v>
      </c>
      <c r="J453" s="2">
        <v>138.66300000000001</v>
      </c>
      <c r="K453" s="5">
        <v>43467</v>
      </c>
      <c r="L453" s="4">
        <v>0.78472222222222221</v>
      </c>
      <c r="M453" s="3" t="s">
        <v>49</v>
      </c>
      <c r="N453" s="2">
        <v>132.06</v>
      </c>
      <c r="O453" s="2">
        <v>4.7619047620000003</v>
      </c>
      <c r="P453" s="2">
        <v>6.6029999999999998</v>
      </c>
      <c r="Q453" s="2">
        <v>7.6</v>
      </c>
      <c r="R453" s="3" t="str">
        <f t="shared" si="16"/>
        <v>January</v>
      </c>
      <c r="S453" s="3">
        <f t="shared" si="15"/>
        <v>1</v>
      </c>
      <c r="T453" s="3" t="str">
        <f>IF(tbl_sales[[#This Row],[Sales]]&gt;=500,"High Value","Standard")</f>
        <v>Standard</v>
      </c>
      <c r="U453" s="1" t="str">
        <f>IF(tbl_sales[[#This Row],[Order Size]]="High Value","High Value Order","Standard Order")</f>
        <v>Standard Order</v>
      </c>
      <c r="V453" s="1"/>
      <c r="W453" s="17" t="s">
        <v>37</v>
      </c>
      <c r="X453" s="17"/>
      <c r="Y453" s="6"/>
      <c r="Z453" s="1" t="s">
        <v>37</v>
      </c>
    </row>
    <row r="454" spans="1:26">
      <c r="A454" s="3" t="s">
        <v>2711</v>
      </c>
      <c r="B454" s="3" t="s">
        <v>22</v>
      </c>
      <c r="C454" s="3" t="s">
        <v>23</v>
      </c>
      <c r="D454" s="3" t="s">
        <v>41</v>
      </c>
      <c r="E454" s="3" t="s">
        <v>25</v>
      </c>
      <c r="F454" s="3" t="s">
        <v>117</v>
      </c>
      <c r="G454" s="2">
        <v>63.61</v>
      </c>
      <c r="H454" s="2">
        <v>5</v>
      </c>
      <c r="I454" s="2">
        <v>15.9025</v>
      </c>
      <c r="J454" s="2">
        <v>333.95249999999999</v>
      </c>
      <c r="K454" s="5">
        <v>43540</v>
      </c>
      <c r="L454" s="4">
        <v>0.52986111111111112</v>
      </c>
      <c r="M454" s="3" t="s">
        <v>33</v>
      </c>
      <c r="N454" s="2">
        <v>318.05</v>
      </c>
      <c r="O454" s="2">
        <v>4.7619047620000003</v>
      </c>
      <c r="P454" s="2">
        <v>15.9025</v>
      </c>
      <c r="Q454" s="2">
        <v>4.8</v>
      </c>
      <c r="R454" s="3" t="str">
        <f t="shared" si="16"/>
        <v>March</v>
      </c>
      <c r="S454" s="3">
        <f t="shared" si="15"/>
        <v>3</v>
      </c>
      <c r="T454" s="3" t="str">
        <f>IF(tbl_sales[[#This Row],[Sales]]&gt;=500,"High Value","Standard")</f>
        <v>Standard</v>
      </c>
      <c r="U454" s="1" t="str">
        <f>IF(tbl_sales[[#This Row],[Order Size]]="High Value","High Value Order","Standard Order")</f>
        <v>Standard Order</v>
      </c>
      <c r="V454" s="1"/>
      <c r="W454" s="17" t="s">
        <v>37</v>
      </c>
      <c r="X454" s="17"/>
      <c r="Y454" s="6"/>
      <c r="Z454" s="1" t="s">
        <v>37</v>
      </c>
    </row>
    <row r="455" spans="1:26">
      <c r="A455" s="3" t="s">
        <v>2716</v>
      </c>
      <c r="B455" s="3" t="s">
        <v>22</v>
      </c>
      <c r="C455" s="3" t="s">
        <v>23</v>
      </c>
      <c r="D455" s="3" t="s">
        <v>41</v>
      </c>
      <c r="E455" s="3" t="s">
        <v>992</v>
      </c>
      <c r="F455" s="3" t="s">
        <v>26</v>
      </c>
      <c r="G455" s="2">
        <v>25</v>
      </c>
      <c r="H455" s="2">
        <v>1</v>
      </c>
      <c r="I455" s="2">
        <v>1.25</v>
      </c>
      <c r="J455" s="2">
        <v>26.25</v>
      </c>
      <c r="K455" s="5">
        <v>43527</v>
      </c>
      <c r="L455" s="4">
        <v>0.63124999999999998</v>
      </c>
      <c r="M455" s="3" t="s">
        <v>33</v>
      </c>
      <c r="N455" s="2">
        <v>25</v>
      </c>
      <c r="O455" s="2">
        <v>4.7619047620000003</v>
      </c>
      <c r="P455" s="2">
        <v>1.25</v>
      </c>
      <c r="Q455" s="2">
        <v>5.5</v>
      </c>
      <c r="R455" s="3" t="str">
        <f t="shared" si="16"/>
        <v>March</v>
      </c>
      <c r="S455" s="3">
        <f t="shared" si="15"/>
        <v>3</v>
      </c>
      <c r="T455" s="3" t="str">
        <f>IF(tbl_sales[[#This Row],[Sales]]&gt;=500,"High Value","Standard")</f>
        <v>Standard</v>
      </c>
      <c r="U455" s="1" t="str">
        <f>IF(tbl_sales[[#This Row],[Order Size]]="High Value","High Value Order","Standard Order")</f>
        <v>Standard Order</v>
      </c>
      <c r="V455" s="1"/>
      <c r="W455" s="17" t="s">
        <v>37</v>
      </c>
      <c r="X455" s="17"/>
      <c r="Y455" s="6"/>
      <c r="Z455" s="1" t="s">
        <v>37</v>
      </c>
    </row>
    <row r="456" spans="1:26">
      <c r="A456" s="3" t="s">
        <v>2721</v>
      </c>
      <c r="B456" s="3" t="s">
        <v>22</v>
      </c>
      <c r="C456" s="3" t="s">
        <v>23</v>
      </c>
      <c r="D456" s="3" t="s">
        <v>24</v>
      </c>
      <c r="E456" s="3" t="s">
        <v>992</v>
      </c>
      <c r="F456" s="3" t="s">
        <v>42</v>
      </c>
      <c r="G456" s="2">
        <v>20.77</v>
      </c>
      <c r="H456" s="2">
        <v>4</v>
      </c>
      <c r="I456" s="2">
        <v>4.1539999999999999</v>
      </c>
      <c r="J456" s="2">
        <v>87.233999999999995</v>
      </c>
      <c r="K456" s="5">
        <v>43496</v>
      </c>
      <c r="L456" s="4">
        <v>0.57430555555555551</v>
      </c>
      <c r="M456" s="3" t="s">
        <v>49</v>
      </c>
      <c r="N456" s="2">
        <v>83.08</v>
      </c>
      <c r="O456" s="2">
        <v>4.7619047620000003</v>
      </c>
      <c r="P456" s="2">
        <v>4.1539999999999999</v>
      </c>
      <c r="Q456" s="2">
        <v>4.7</v>
      </c>
      <c r="R456" s="3" t="str">
        <f t="shared" si="16"/>
        <v>January</v>
      </c>
      <c r="S456" s="3">
        <f t="shared" si="15"/>
        <v>1</v>
      </c>
      <c r="T456" s="3" t="str">
        <f>IF(tbl_sales[[#This Row],[Sales]]&gt;=500,"High Value","Standard")</f>
        <v>Standard</v>
      </c>
      <c r="U456" s="1" t="str">
        <f>IF(tbl_sales[[#This Row],[Order Size]]="High Value","High Value Order","Standard Order")</f>
        <v>Standard Order</v>
      </c>
      <c r="V456" s="1"/>
      <c r="W456" s="17" t="s">
        <v>37</v>
      </c>
      <c r="X456" s="17"/>
      <c r="Y456" s="6"/>
      <c r="Z456" s="1" t="s">
        <v>37</v>
      </c>
    </row>
    <row r="457" spans="1:26">
      <c r="A457" s="3" t="s">
        <v>2727</v>
      </c>
      <c r="B457" s="3" t="s">
        <v>115</v>
      </c>
      <c r="C457" s="3" t="s">
        <v>116</v>
      </c>
      <c r="D457" s="3" t="s">
        <v>24</v>
      </c>
      <c r="E457" s="3" t="s">
        <v>25</v>
      </c>
      <c r="F457" s="3" t="s">
        <v>127</v>
      </c>
      <c r="G457" s="2">
        <v>29.56</v>
      </c>
      <c r="H457" s="2">
        <v>5</v>
      </c>
      <c r="I457" s="2">
        <v>7.39</v>
      </c>
      <c r="J457" s="2">
        <v>155.19</v>
      </c>
      <c r="K457" s="5">
        <v>43509</v>
      </c>
      <c r="L457" s="4">
        <v>0.70763888888888893</v>
      </c>
      <c r="M457" s="3" t="s">
        <v>49</v>
      </c>
      <c r="N457" s="2">
        <v>147.80000000000001</v>
      </c>
      <c r="O457" s="2">
        <v>4.7619047620000003</v>
      </c>
      <c r="P457" s="2">
        <v>7.39</v>
      </c>
      <c r="Q457" s="2">
        <v>6.9</v>
      </c>
      <c r="R457" s="3" t="str">
        <f t="shared" si="16"/>
        <v>February</v>
      </c>
      <c r="S457" s="3">
        <f t="shared" si="15"/>
        <v>2</v>
      </c>
      <c r="T457" s="3" t="str">
        <f>IF(tbl_sales[[#This Row],[Sales]]&gt;=500,"High Value","Standard")</f>
        <v>Standard</v>
      </c>
      <c r="U457" s="1" t="str">
        <f>IF(tbl_sales[[#This Row],[Order Size]]="High Value","High Value Order","Standard Order")</f>
        <v>Standard Order</v>
      </c>
      <c r="V457" s="1"/>
      <c r="W457" s="17" t="s">
        <v>37</v>
      </c>
      <c r="X457" s="17"/>
      <c r="Y457" s="6"/>
      <c r="Z457" s="1" t="s">
        <v>37</v>
      </c>
    </row>
    <row r="458" spans="1:26">
      <c r="A458" s="3" t="s">
        <v>2733</v>
      </c>
      <c r="B458" s="3" t="s">
        <v>115</v>
      </c>
      <c r="C458" s="3" t="s">
        <v>116</v>
      </c>
      <c r="D458" s="3" t="s">
        <v>24</v>
      </c>
      <c r="E458" s="3" t="s">
        <v>25</v>
      </c>
      <c r="F458" s="3" t="s">
        <v>117</v>
      </c>
      <c r="G458" s="2">
        <v>77.400000000000006</v>
      </c>
      <c r="H458" s="2">
        <v>9</v>
      </c>
      <c r="I458" s="2">
        <v>34.83</v>
      </c>
      <c r="J458" s="2">
        <v>731.43</v>
      </c>
      <c r="K458" s="5">
        <v>43511</v>
      </c>
      <c r="L458" s="4">
        <v>0.59375</v>
      </c>
      <c r="M458" s="3" t="s">
        <v>59</v>
      </c>
      <c r="N458" s="2">
        <v>696.6</v>
      </c>
      <c r="O458" s="2">
        <v>4.7619047620000003</v>
      </c>
      <c r="P458" s="2">
        <v>34.83</v>
      </c>
      <c r="Q458" s="2">
        <v>4.5</v>
      </c>
      <c r="R458" s="3" t="str">
        <f t="shared" si="16"/>
        <v>February</v>
      </c>
      <c r="S458" s="3">
        <f t="shared" si="15"/>
        <v>2</v>
      </c>
      <c r="T458" s="3" t="str">
        <f>IF(tbl_sales[[#This Row],[Sales]]&gt;=500,"High Value","Standard")</f>
        <v>High Value</v>
      </c>
      <c r="U458" s="1" t="str">
        <f>IF(tbl_sales[[#This Row],[Order Size]]="High Value","High Value Order","Standard Order")</f>
        <v>High Value Order</v>
      </c>
      <c r="V458" s="1"/>
      <c r="W458" s="17" t="s">
        <v>37</v>
      </c>
      <c r="X458" s="17"/>
      <c r="Y458" s="6"/>
      <c r="Z458" s="1" t="s">
        <v>37</v>
      </c>
    </row>
    <row r="459" spans="1:26">
      <c r="A459" s="3" t="s">
        <v>2739</v>
      </c>
      <c r="B459" s="3" t="s">
        <v>115</v>
      </c>
      <c r="C459" s="3" t="s">
        <v>116</v>
      </c>
      <c r="D459" s="3" t="s">
        <v>41</v>
      </c>
      <c r="E459" s="3" t="s">
        <v>992</v>
      </c>
      <c r="F459" s="3" t="s">
        <v>42</v>
      </c>
      <c r="G459" s="2">
        <v>79.39</v>
      </c>
      <c r="H459" s="2">
        <v>10</v>
      </c>
      <c r="I459" s="2">
        <v>39.695</v>
      </c>
      <c r="J459" s="2">
        <v>833.59500000000003</v>
      </c>
      <c r="K459" s="5">
        <v>43503</v>
      </c>
      <c r="L459" s="4">
        <v>0.85</v>
      </c>
      <c r="M459" s="3" t="s">
        <v>49</v>
      </c>
      <c r="N459" s="2">
        <v>793.9</v>
      </c>
      <c r="O459" s="2">
        <v>4.7619047620000003</v>
      </c>
      <c r="P459" s="2">
        <v>39.695</v>
      </c>
      <c r="Q459" s="2">
        <v>6.2</v>
      </c>
      <c r="R459" s="3" t="str">
        <f t="shared" si="16"/>
        <v>February</v>
      </c>
      <c r="S459" s="3">
        <f t="shared" si="15"/>
        <v>2</v>
      </c>
      <c r="T459" s="3" t="str">
        <f>IF(tbl_sales[[#This Row],[Sales]]&gt;=500,"High Value","Standard")</f>
        <v>High Value</v>
      </c>
      <c r="U459" s="1" t="str">
        <f>IF(tbl_sales[[#This Row],[Order Size]]="High Value","High Value Order","Standard Order")</f>
        <v>High Value Order</v>
      </c>
      <c r="V459" s="1"/>
      <c r="W459" s="17" t="s">
        <v>37</v>
      </c>
      <c r="X459" s="17"/>
      <c r="Y459" s="6"/>
      <c r="Z459" s="1" t="s">
        <v>37</v>
      </c>
    </row>
    <row r="460" spans="1:26">
      <c r="A460" s="3" t="s">
        <v>2744</v>
      </c>
      <c r="B460" s="3" t="s">
        <v>39</v>
      </c>
      <c r="C460" s="3" t="s">
        <v>40</v>
      </c>
      <c r="D460" s="3" t="s">
        <v>24</v>
      </c>
      <c r="E460" s="3" t="s">
        <v>25</v>
      </c>
      <c r="F460" s="3" t="s">
        <v>42</v>
      </c>
      <c r="G460" s="2">
        <v>46.57</v>
      </c>
      <c r="H460" s="2">
        <v>10</v>
      </c>
      <c r="I460" s="2">
        <v>23.285</v>
      </c>
      <c r="J460" s="2">
        <v>488.98500000000001</v>
      </c>
      <c r="K460" s="5">
        <v>43492</v>
      </c>
      <c r="L460" s="4">
        <v>0.58194444444444449</v>
      </c>
      <c r="M460" s="3" t="s">
        <v>49</v>
      </c>
      <c r="N460" s="2">
        <v>465.7</v>
      </c>
      <c r="O460" s="2">
        <v>4.7619047620000003</v>
      </c>
      <c r="P460" s="2">
        <v>23.285</v>
      </c>
      <c r="Q460" s="2">
        <v>7.6</v>
      </c>
      <c r="R460" s="3" t="str">
        <f t="shared" si="16"/>
        <v>January</v>
      </c>
      <c r="S460" s="3">
        <f t="shared" si="15"/>
        <v>1</v>
      </c>
      <c r="T460" s="3" t="str">
        <f>IF(tbl_sales[[#This Row],[Sales]]&gt;=500,"High Value","Standard")</f>
        <v>Standard</v>
      </c>
      <c r="U460" s="1" t="str">
        <f>IF(tbl_sales[[#This Row],[Order Size]]="High Value","High Value Order","Standard Order")</f>
        <v>Standard Order</v>
      </c>
      <c r="V460" s="1"/>
      <c r="W460" s="17" t="s">
        <v>37</v>
      </c>
      <c r="X460" s="17"/>
      <c r="Y460" s="6"/>
      <c r="Z460" s="1" t="s">
        <v>37</v>
      </c>
    </row>
    <row r="461" spans="1:26">
      <c r="A461" s="3" t="s">
        <v>2749</v>
      </c>
      <c r="B461" s="3" t="s">
        <v>39</v>
      </c>
      <c r="C461" s="3" t="s">
        <v>40</v>
      </c>
      <c r="D461" s="3" t="s">
        <v>41</v>
      </c>
      <c r="E461" s="3" t="s">
        <v>992</v>
      </c>
      <c r="F461" s="3" t="s">
        <v>117</v>
      </c>
      <c r="G461" s="2">
        <v>35.89</v>
      </c>
      <c r="H461" s="2">
        <v>1</v>
      </c>
      <c r="I461" s="2">
        <v>1.7945</v>
      </c>
      <c r="J461" s="2">
        <v>37.6845</v>
      </c>
      <c r="K461" s="5">
        <v>43519</v>
      </c>
      <c r="L461" s="4">
        <v>0.70277777777777772</v>
      </c>
      <c r="M461" s="3" t="s">
        <v>59</v>
      </c>
      <c r="N461" s="2">
        <v>35.89</v>
      </c>
      <c r="O461" s="2">
        <v>4.7619047620000003</v>
      </c>
      <c r="P461" s="2">
        <v>1.7945</v>
      </c>
      <c r="Q461" s="2">
        <v>7.9</v>
      </c>
      <c r="R461" s="3" t="str">
        <f t="shared" si="16"/>
        <v>February</v>
      </c>
      <c r="S461" s="3">
        <f t="shared" si="15"/>
        <v>2</v>
      </c>
      <c r="T461" s="3" t="str">
        <f>IF(tbl_sales[[#This Row],[Sales]]&gt;=500,"High Value","Standard")</f>
        <v>Standard</v>
      </c>
      <c r="U461" s="1" t="str">
        <f>IF(tbl_sales[[#This Row],[Order Size]]="High Value","High Value Order","Standard Order")</f>
        <v>Standard Order</v>
      </c>
      <c r="V461" s="1"/>
      <c r="W461" s="17" t="s">
        <v>37</v>
      </c>
      <c r="X461" s="17"/>
      <c r="Y461" s="6"/>
      <c r="Z461" s="1" t="s">
        <v>37</v>
      </c>
    </row>
    <row r="462" spans="1:26">
      <c r="A462" s="3" t="s">
        <v>2753</v>
      </c>
      <c r="B462" s="3" t="s">
        <v>39</v>
      </c>
      <c r="C462" s="3" t="s">
        <v>40</v>
      </c>
      <c r="D462" s="3" t="s">
        <v>41</v>
      </c>
      <c r="E462" s="3" t="s">
        <v>992</v>
      </c>
      <c r="F462" s="3" t="s">
        <v>117</v>
      </c>
      <c r="G462" s="2">
        <v>40.520000000000003</v>
      </c>
      <c r="H462" s="2">
        <v>5</v>
      </c>
      <c r="I462" s="2">
        <v>10.130000000000001</v>
      </c>
      <c r="J462" s="2">
        <v>212.73</v>
      </c>
      <c r="K462" s="5">
        <v>43499</v>
      </c>
      <c r="L462" s="4">
        <v>0.6381944444444444</v>
      </c>
      <c r="M462" s="3" t="s">
        <v>49</v>
      </c>
      <c r="N462" s="2">
        <v>202.6</v>
      </c>
      <c r="O462" s="2">
        <v>4.7619047620000003</v>
      </c>
      <c r="P462" s="2">
        <v>10.130000000000001</v>
      </c>
      <c r="Q462" s="2">
        <v>4.5</v>
      </c>
      <c r="R462" s="3" t="str">
        <f t="shared" si="16"/>
        <v>February</v>
      </c>
      <c r="S462" s="3">
        <f t="shared" si="15"/>
        <v>2</v>
      </c>
      <c r="T462" s="3" t="str">
        <f>IF(tbl_sales[[#This Row],[Sales]]&gt;=500,"High Value","Standard")</f>
        <v>Standard</v>
      </c>
      <c r="U462" s="1" t="str">
        <f>IF(tbl_sales[[#This Row],[Order Size]]="High Value","High Value Order","Standard Order")</f>
        <v>Standard Order</v>
      </c>
      <c r="V462" s="1"/>
      <c r="W462" s="17" t="s">
        <v>37</v>
      </c>
      <c r="X462" s="17"/>
      <c r="Y462" s="6"/>
      <c r="Z462" s="1" t="s">
        <v>37</v>
      </c>
    </row>
    <row r="463" spans="1:26">
      <c r="A463" s="3" t="s">
        <v>2759</v>
      </c>
      <c r="B463" s="3" t="s">
        <v>115</v>
      </c>
      <c r="C463" s="3" t="s">
        <v>116</v>
      </c>
      <c r="D463" s="3" t="s">
        <v>24</v>
      </c>
      <c r="E463" s="3" t="s">
        <v>25</v>
      </c>
      <c r="F463" s="3" t="s">
        <v>117</v>
      </c>
      <c r="G463" s="2">
        <v>73.05</v>
      </c>
      <c r="H463" s="2">
        <v>10</v>
      </c>
      <c r="I463" s="2">
        <v>36.524999999999999</v>
      </c>
      <c r="J463" s="2">
        <v>767.02499999999998</v>
      </c>
      <c r="K463" s="5">
        <v>43527</v>
      </c>
      <c r="L463" s="4">
        <v>0.51736111111111116</v>
      </c>
      <c r="M463" s="3" t="s">
        <v>59</v>
      </c>
      <c r="N463" s="2">
        <v>730.5</v>
      </c>
      <c r="O463" s="2">
        <v>4.7619047620000003</v>
      </c>
      <c r="P463" s="2">
        <v>36.524999999999999</v>
      </c>
      <c r="Q463" s="2">
        <v>8.6999999999999993</v>
      </c>
      <c r="R463" s="3" t="str">
        <f t="shared" si="16"/>
        <v>March</v>
      </c>
      <c r="S463" s="3">
        <f t="shared" si="15"/>
        <v>3</v>
      </c>
      <c r="T463" s="3" t="str">
        <f>IF(tbl_sales[[#This Row],[Sales]]&gt;=500,"High Value","Standard")</f>
        <v>High Value</v>
      </c>
      <c r="U463" s="1" t="str">
        <f>IF(tbl_sales[[#This Row],[Order Size]]="High Value","High Value Order","Standard Order")</f>
        <v>High Value Order</v>
      </c>
      <c r="V463" s="1"/>
      <c r="W463" s="17" t="s">
        <v>37</v>
      </c>
      <c r="X463" s="17"/>
      <c r="Y463" s="6"/>
      <c r="Z463" s="1" t="s">
        <v>37</v>
      </c>
    </row>
    <row r="464" spans="1:26">
      <c r="A464" s="3" t="s">
        <v>2764</v>
      </c>
      <c r="B464" s="3" t="s">
        <v>39</v>
      </c>
      <c r="C464" s="3" t="s">
        <v>40</v>
      </c>
      <c r="D464" s="3" t="s">
        <v>41</v>
      </c>
      <c r="E464" s="3" t="s">
        <v>25</v>
      </c>
      <c r="F464" s="3" t="s">
        <v>72</v>
      </c>
      <c r="G464" s="2">
        <v>73.95</v>
      </c>
      <c r="H464" s="2">
        <v>4</v>
      </c>
      <c r="I464" s="2">
        <v>14.79</v>
      </c>
      <c r="J464" s="2">
        <v>310.58999999999997</v>
      </c>
      <c r="K464" s="5">
        <v>43499</v>
      </c>
      <c r="L464" s="4">
        <v>0.41805555555555557</v>
      </c>
      <c r="M464" s="3" t="s">
        <v>49</v>
      </c>
      <c r="N464" s="2">
        <v>295.8</v>
      </c>
      <c r="O464" s="2">
        <v>4.7619047620000003</v>
      </c>
      <c r="P464" s="2">
        <v>14.79</v>
      </c>
      <c r="Q464" s="2">
        <v>6.1</v>
      </c>
      <c r="R464" s="3" t="str">
        <f t="shared" si="16"/>
        <v>February</v>
      </c>
      <c r="S464" s="3">
        <f t="shared" si="15"/>
        <v>2</v>
      </c>
      <c r="T464" s="3" t="str">
        <f>IF(tbl_sales[[#This Row],[Sales]]&gt;=500,"High Value","Standard")</f>
        <v>Standard</v>
      </c>
      <c r="U464" s="1" t="str">
        <f>IF(tbl_sales[[#This Row],[Order Size]]="High Value","High Value Order","Standard Order")</f>
        <v>Standard Order</v>
      </c>
      <c r="V464" s="1"/>
      <c r="W464" s="17" t="s">
        <v>37</v>
      </c>
      <c r="X464" s="17"/>
      <c r="Y464" s="6"/>
      <c r="Z464" s="1" t="s">
        <v>37</v>
      </c>
    </row>
    <row r="465" spans="1:26">
      <c r="A465" s="3" t="s">
        <v>2769</v>
      </c>
      <c r="B465" s="3" t="s">
        <v>39</v>
      </c>
      <c r="C465" s="3" t="s">
        <v>40</v>
      </c>
      <c r="D465" s="3" t="s">
        <v>24</v>
      </c>
      <c r="E465" s="3" t="s">
        <v>25</v>
      </c>
      <c r="F465" s="3" t="s">
        <v>117</v>
      </c>
      <c r="G465" s="2">
        <v>22.62</v>
      </c>
      <c r="H465" s="2">
        <v>1</v>
      </c>
      <c r="I465" s="2">
        <v>1.131</v>
      </c>
      <c r="J465" s="2">
        <v>23.751000000000001</v>
      </c>
      <c r="K465" s="5">
        <v>43541</v>
      </c>
      <c r="L465" s="4">
        <v>0.79027777777777775</v>
      </c>
      <c r="M465" s="3" t="s">
        <v>49</v>
      </c>
      <c r="N465" s="2">
        <v>22.62</v>
      </c>
      <c r="O465" s="2">
        <v>4.7619047620000003</v>
      </c>
      <c r="P465" s="2">
        <v>1.131</v>
      </c>
      <c r="Q465" s="2">
        <v>6.4</v>
      </c>
      <c r="R465" s="3" t="str">
        <f t="shared" si="16"/>
        <v>March</v>
      </c>
      <c r="S465" s="3">
        <f t="shared" si="15"/>
        <v>3</v>
      </c>
      <c r="T465" s="3" t="str">
        <f>IF(tbl_sales[[#This Row],[Sales]]&gt;=500,"High Value","Standard")</f>
        <v>Standard</v>
      </c>
      <c r="U465" s="1" t="str">
        <f>IF(tbl_sales[[#This Row],[Order Size]]="High Value","High Value Order","Standard Order")</f>
        <v>Standard Order</v>
      </c>
      <c r="V465" s="1"/>
      <c r="W465" s="17" t="s">
        <v>37</v>
      </c>
      <c r="X465" s="17"/>
      <c r="Y465" s="6"/>
      <c r="Z465" s="1" t="s">
        <v>37</v>
      </c>
    </row>
    <row r="466" spans="1:26">
      <c r="A466" s="3" t="s">
        <v>2773</v>
      </c>
      <c r="B466" s="3" t="s">
        <v>22</v>
      </c>
      <c r="C466" s="3" t="s">
        <v>23</v>
      </c>
      <c r="D466" s="3" t="s">
        <v>24</v>
      </c>
      <c r="E466" s="3" t="s">
        <v>992</v>
      </c>
      <c r="F466" s="3" t="s">
        <v>117</v>
      </c>
      <c r="G466" s="2">
        <v>51.34</v>
      </c>
      <c r="H466" s="2">
        <v>5</v>
      </c>
      <c r="I466" s="2">
        <v>12.835000000000001</v>
      </c>
      <c r="J466" s="2">
        <v>269.53500000000003</v>
      </c>
      <c r="K466" s="5">
        <v>43552</v>
      </c>
      <c r="L466" s="4">
        <v>0.64652777777777781</v>
      </c>
      <c r="M466" s="3" t="s">
        <v>59</v>
      </c>
      <c r="N466" s="2">
        <v>256.7</v>
      </c>
      <c r="O466" s="2">
        <v>4.7619047620000003</v>
      </c>
      <c r="P466" s="2">
        <v>12.835000000000001</v>
      </c>
      <c r="Q466" s="2">
        <v>9.1</v>
      </c>
      <c r="R466" s="3" t="str">
        <f t="shared" si="16"/>
        <v>March</v>
      </c>
      <c r="S466" s="3">
        <f t="shared" si="15"/>
        <v>3</v>
      </c>
      <c r="T466" s="3" t="str">
        <f>IF(tbl_sales[[#This Row],[Sales]]&gt;=500,"High Value","Standard")</f>
        <v>Standard</v>
      </c>
      <c r="U466" s="1" t="str">
        <f>IF(tbl_sales[[#This Row],[Order Size]]="High Value","High Value Order","Standard Order")</f>
        <v>Standard Order</v>
      </c>
      <c r="V466" s="1"/>
      <c r="W466" s="17" t="s">
        <v>37</v>
      </c>
      <c r="X466" s="17"/>
      <c r="Y466" s="6"/>
      <c r="Z466" s="1" t="s">
        <v>37</v>
      </c>
    </row>
    <row r="467" spans="1:26">
      <c r="A467" s="3" t="s">
        <v>2778</v>
      </c>
      <c r="B467" s="3" t="s">
        <v>39</v>
      </c>
      <c r="C467" s="3" t="s">
        <v>40</v>
      </c>
      <c r="D467" s="3" t="s">
        <v>24</v>
      </c>
      <c r="E467" s="3" t="s">
        <v>25</v>
      </c>
      <c r="F467" s="3" t="s">
        <v>72</v>
      </c>
      <c r="G467" s="2">
        <v>54.55</v>
      </c>
      <c r="H467" s="2">
        <v>10</v>
      </c>
      <c r="I467" s="2">
        <v>27.274999999999999</v>
      </c>
      <c r="J467" s="2">
        <v>572.77499999999998</v>
      </c>
      <c r="K467" s="5">
        <v>43526</v>
      </c>
      <c r="L467" s="4">
        <v>0.47361111111111109</v>
      </c>
      <c r="M467" s="3" t="s">
        <v>59</v>
      </c>
      <c r="N467" s="2">
        <v>545.5</v>
      </c>
      <c r="O467" s="2">
        <v>4.7619047620000003</v>
      </c>
      <c r="P467" s="2">
        <v>27.274999999999999</v>
      </c>
      <c r="Q467" s="2">
        <v>7.1</v>
      </c>
      <c r="R467" s="3" t="str">
        <f t="shared" si="16"/>
        <v>March</v>
      </c>
      <c r="S467" s="3">
        <f t="shared" si="15"/>
        <v>3</v>
      </c>
      <c r="T467" s="3" t="str">
        <f>IF(tbl_sales[[#This Row],[Sales]]&gt;=500,"High Value","Standard")</f>
        <v>High Value</v>
      </c>
      <c r="U467" s="1" t="str">
        <f>IF(tbl_sales[[#This Row],[Order Size]]="High Value","High Value Order","Standard Order")</f>
        <v>High Value Order</v>
      </c>
      <c r="V467" s="1"/>
      <c r="W467" s="17" t="s">
        <v>37</v>
      </c>
      <c r="X467" s="17"/>
      <c r="Y467" s="6"/>
      <c r="Z467" s="1" t="s">
        <v>37</v>
      </c>
    </row>
    <row r="468" spans="1:26">
      <c r="A468" s="3" t="s">
        <v>2783</v>
      </c>
      <c r="B468" s="3" t="s">
        <v>39</v>
      </c>
      <c r="C468" s="3" t="s">
        <v>40</v>
      </c>
      <c r="D468" s="3" t="s">
        <v>24</v>
      </c>
      <c r="E468" s="3" t="s">
        <v>25</v>
      </c>
      <c r="F468" s="3" t="s">
        <v>26</v>
      </c>
      <c r="G468" s="2">
        <v>37.15</v>
      </c>
      <c r="H468" s="2">
        <v>7</v>
      </c>
      <c r="I468" s="2">
        <v>13.0025</v>
      </c>
      <c r="J468" s="2">
        <v>273.05250000000001</v>
      </c>
      <c r="K468" s="5">
        <v>43504</v>
      </c>
      <c r="L468" s="4">
        <v>0.55000000000000004</v>
      </c>
      <c r="M468" s="3" t="s">
        <v>59</v>
      </c>
      <c r="N468" s="2">
        <v>260.05</v>
      </c>
      <c r="O468" s="2">
        <v>4.7619047620000003</v>
      </c>
      <c r="P468" s="2">
        <v>13.0025</v>
      </c>
      <c r="Q468" s="2">
        <v>7.7</v>
      </c>
      <c r="R468" s="3" t="str">
        <f t="shared" si="16"/>
        <v>February</v>
      </c>
      <c r="S468" s="3">
        <f t="shared" si="15"/>
        <v>2</v>
      </c>
      <c r="T468" s="3" t="str">
        <f>IF(tbl_sales[[#This Row],[Sales]]&gt;=500,"High Value","Standard")</f>
        <v>Standard</v>
      </c>
      <c r="U468" s="1" t="str">
        <f>IF(tbl_sales[[#This Row],[Order Size]]="High Value","High Value Order","Standard Order")</f>
        <v>Standard Order</v>
      </c>
      <c r="V468" s="1"/>
      <c r="W468" s="17" t="s">
        <v>37</v>
      </c>
      <c r="X468" s="17"/>
      <c r="Y468" s="6"/>
      <c r="Z468" s="1" t="s">
        <v>37</v>
      </c>
    </row>
    <row r="469" spans="1:26">
      <c r="A469" s="3" t="s">
        <v>2788</v>
      </c>
      <c r="B469" s="3" t="s">
        <v>115</v>
      </c>
      <c r="C469" s="3" t="s">
        <v>116</v>
      </c>
      <c r="D469" s="3" t="s">
        <v>41</v>
      </c>
      <c r="E469" s="3" t="s">
        <v>992</v>
      </c>
      <c r="F469" s="3" t="s">
        <v>72</v>
      </c>
      <c r="G469" s="2">
        <v>37.020000000000003</v>
      </c>
      <c r="H469" s="2">
        <v>6</v>
      </c>
      <c r="I469" s="2">
        <v>11.106</v>
      </c>
      <c r="J469" s="2">
        <v>233.226</v>
      </c>
      <c r="K469" s="5">
        <v>43546</v>
      </c>
      <c r="L469" s="4">
        <v>0.7729166666666667</v>
      </c>
      <c r="M469" s="3" t="s">
        <v>49</v>
      </c>
      <c r="N469" s="2">
        <v>222.12</v>
      </c>
      <c r="O469" s="2">
        <v>4.7619047620000003</v>
      </c>
      <c r="P469" s="2">
        <v>11.106</v>
      </c>
      <c r="Q469" s="2">
        <v>4.5</v>
      </c>
      <c r="R469" s="3" t="str">
        <f t="shared" si="16"/>
        <v>March</v>
      </c>
      <c r="S469" s="3">
        <f t="shared" si="15"/>
        <v>3</v>
      </c>
      <c r="T469" s="3" t="str">
        <f>IF(tbl_sales[[#This Row],[Sales]]&gt;=500,"High Value","Standard")</f>
        <v>Standard</v>
      </c>
      <c r="U469" s="1" t="str">
        <f>IF(tbl_sales[[#This Row],[Order Size]]="High Value","High Value Order","Standard Order")</f>
        <v>Standard Order</v>
      </c>
      <c r="V469" s="1"/>
      <c r="W469" s="17" t="s">
        <v>37</v>
      </c>
      <c r="X469" s="17"/>
      <c r="Y469" s="6"/>
      <c r="Z469" s="1" t="s">
        <v>37</v>
      </c>
    </row>
    <row r="470" spans="1:26">
      <c r="A470" s="3" t="s">
        <v>2794</v>
      </c>
      <c r="B470" s="3" t="s">
        <v>39</v>
      </c>
      <c r="C470" s="3" t="s">
        <v>40</v>
      </c>
      <c r="D470" s="3" t="s">
        <v>41</v>
      </c>
      <c r="E470" s="3" t="s">
        <v>992</v>
      </c>
      <c r="F470" s="3" t="s">
        <v>117</v>
      </c>
      <c r="G470" s="2">
        <v>21.58</v>
      </c>
      <c r="H470" s="2">
        <v>1</v>
      </c>
      <c r="I470" s="2">
        <v>1.079</v>
      </c>
      <c r="J470" s="2">
        <v>22.658999999999999</v>
      </c>
      <c r="K470" s="5">
        <v>43505</v>
      </c>
      <c r="L470" s="4">
        <v>0.41805555555555557</v>
      </c>
      <c r="M470" s="3" t="s">
        <v>33</v>
      </c>
      <c r="N470" s="2">
        <v>21.58</v>
      </c>
      <c r="O470" s="2">
        <v>4.7619047620000003</v>
      </c>
      <c r="P470" s="2">
        <v>1.079</v>
      </c>
      <c r="Q470" s="2">
        <v>7.2</v>
      </c>
      <c r="R470" s="3" t="str">
        <f t="shared" si="16"/>
        <v>February</v>
      </c>
      <c r="S470" s="3">
        <f t="shared" si="15"/>
        <v>2</v>
      </c>
      <c r="T470" s="3" t="str">
        <f>IF(tbl_sales[[#This Row],[Sales]]&gt;=500,"High Value","Standard")</f>
        <v>Standard</v>
      </c>
      <c r="U470" s="1" t="str">
        <f>IF(tbl_sales[[#This Row],[Order Size]]="High Value","High Value Order","Standard Order")</f>
        <v>Standard Order</v>
      </c>
      <c r="V470" s="1"/>
      <c r="W470" s="17" t="s">
        <v>37</v>
      </c>
      <c r="X470" s="17"/>
      <c r="Y470" s="6"/>
      <c r="Z470" s="1" t="s">
        <v>37</v>
      </c>
    </row>
    <row r="471" spans="1:26">
      <c r="A471" s="3" t="s">
        <v>2798</v>
      </c>
      <c r="B471" s="3" t="s">
        <v>39</v>
      </c>
      <c r="C471" s="3" t="s">
        <v>40</v>
      </c>
      <c r="D471" s="3" t="s">
        <v>24</v>
      </c>
      <c r="E471" s="3" t="s">
        <v>25</v>
      </c>
      <c r="F471" s="3" t="s">
        <v>42</v>
      </c>
      <c r="G471" s="2">
        <v>98.84</v>
      </c>
      <c r="H471" s="2">
        <v>1</v>
      </c>
      <c r="I471" s="2">
        <v>4.9420000000000002</v>
      </c>
      <c r="J471" s="2">
        <v>103.782</v>
      </c>
      <c r="K471" s="5">
        <v>43511</v>
      </c>
      <c r="L471" s="4">
        <v>0.47291666666666665</v>
      </c>
      <c r="M471" s="3" t="s">
        <v>49</v>
      </c>
      <c r="N471" s="2">
        <v>98.84</v>
      </c>
      <c r="O471" s="2">
        <v>4.7619047620000003</v>
      </c>
      <c r="P471" s="2">
        <v>4.9420000000000002</v>
      </c>
      <c r="Q471" s="2">
        <v>8.4</v>
      </c>
      <c r="R471" s="3" t="str">
        <f t="shared" si="16"/>
        <v>February</v>
      </c>
      <c r="S471" s="3">
        <f t="shared" si="15"/>
        <v>2</v>
      </c>
      <c r="T471" s="3" t="str">
        <f>IF(tbl_sales[[#This Row],[Sales]]&gt;=500,"High Value","Standard")</f>
        <v>Standard</v>
      </c>
      <c r="U471" s="1" t="str">
        <f>IF(tbl_sales[[#This Row],[Order Size]]="High Value","High Value Order","Standard Order")</f>
        <v>Standard Order</v>
      </c>
      <c r="V471" s="1"/>
      <c r="W471" s="17" t="s">
        <v>37</v>
      </c>
      <c r="X471" s="17"/>
      <c r="Y471" s="6"/>
      <c r="Z471" s="1" t="s">
        <v>37</v>
      </c>
    </row>
    <row r="472" spans="1:26">
      <c r="A472" s="3" t="s">
        <v>2802</v>
      </c>
      <c r="B472" s="3" t="s">
        <v>39</v>
      </c>
      <c r="C472" s="3" t="s">
        <v>40</v>
      </c>
      <c r="D472" s="3" t="s">
        <v>24</v>
      </c>
      <c r="E472" s="3" t="s">
        <v>25</v>
      </c>
      <c r="F472" s="3" t="s">
        <v>53</v>
      </c>
      <c r="G472" s="2">
        <v>83.77</v>
      </c>
      <c r="H472" s="2">
        <v>6</v>
      </c>
      <c r="I472" s="2">
        <v>25.131</v>
      </c>
      <c r="J472" s="2">
        <v>527.75099999999998</v>
      </c>
      <c r="K472" s="5">
        <v>43488</v>
      </c>
      <c r="L472" s="4">
        <v>0.50694444444444442</v>
      </c>
      <c r="M472" s="3" t="s">
        <v>33</v>
      </c>
      <c r="N472" s="2">
        <v>502.62</v>
      </c>
      <c r="O472" s="2">
        <v>4.7619047620000003</v>
      </c>
      <c r="P472" s="2">
        <v>25.131</v>
      </c>
      <c r="Q472" s="2">
        <v>5.4</v>
      </c>
      <c r="R472" s="3" t="str">
        <f t="shared" si="16"/>
        <v>January</v>
      </c>
      <c r="S472" s="3">
        <f t="shared" si="15"/>
        <v>1</v>
      </c>
      <c r="T472" s="3" t="str">
        <f>IF(tbl_sales[[#This Row],[Sales]]&gt;=500,"High Value","Standard")</f>
        <v>High Value</v>
      </c>
      <c r="U472" s="1" t="str">
        <f>IF(tbl_sales[[#This Row],[Order Size]]="High Value","High Value Order","Standard Order")</f>
        <v>High Value Order</v>
      </c>
      <c r="V472" s="1"/>
      <c r="W472" s="17" t="s">
        <v>37</v>
      </c>
      <c r="X472" s="17"/>
      <c r="Y472" s="6"/>
      <c r="Z472" s="1" t="s">
        <v>37</v>
      </c>
    </row>
    <row r="473" spans="1:26">
      <c r="A473" s="3" t="s">
        <v>2808</v>
      </c>
      <c r="B473" s="3" t="s">
        <v>22</v>
      </c>
      <c r="C473" s="3" t="s">
        <v>23</v>
      </c>
      <c r="D473" s="3" t="s">
        <v>24</v>
      </c>
      <c r="E473" s="3" t="s">
        <v>25</v>
      </c>
      <c r="F473" s="3" t="s">
        <v>72</v>
      </c>
      <c r="G473" s="2">
        <v>40.049999999999997</v>
      </c>
      <c r="H473" s="2">
        <v>4</v>
      </c>
      <c r="I473" s="2">
        <v>8.01</v>
      </c>
      <c r="J473" s="2">
        <v>168.21</v>
      </c>
      <c r="K473" s="5">
        <v>43490</v>
      </c>
      <c r="L473" s="4">
        <v>0.4861111111111111</v>
      </c>
      <c r="M473" s="3" t="s">
        <v>49</v>
      </c>
      <c r="N473" s="2">
        <v>160.19999999999999</v>
      </c>
      <c r="O473" s="2">
        <v>4.7619047620000003</v>
      </c>
      <c r="P473" s="2">
        <v>8.01</v>
      </c>
      <c r="Q473" s="2">
        <v>9.6999999999999993</v>
      </c>
      <c r="R473" s="3" t="str">
        <f t="shared" si="16"/>
        <v>January</v>
      </c>
      <c r="S473" s="3">
        <f t="shared" si="15"/>
        <v>1</v>
      </c>
      <c r="T473" s="3" t="str">
        <f>IF(tbl_sales[[#This Row],[Sales]]&gt;=500,"High Value","Standard")</f>
        <v>Standard</v>
      </c>
      <c r="U473" s="1" t="str">
        <f>IF(tbl_sales[[#This Row],[Order Size]]="High Value","High Value Order","Standard Order")</f>
        <v>Standard Order</v>
      </c>
      <c r="V473" s="1"/>
      <c r="W473" s="17" t="s">
        <v>37</v>
      </c>
      <c r="X473" s="17"/>
      <c r="Y473" s="6"/>
      <c r="Z473" s="1" t="s">
        <v>37</v>
      </c>
    </row>
    <row r="474" spans="1:26">
      <c r="A474" s="3" t="s">
        <v>2814</v>
      </c>
      <c r="B474" s="3" t="s">
        <v>22</v>
      </c>
      <c r="C474" s="3" t="s">
        <v>23</v>
      </c>
      <c r="D474" s="3" t="s">
        <v>24</v>
      </c>
      <c r="E474" s="3" t="s">
        <v>992</v>
      </c>
      <c r="F474" s="3" t="s">
        <v>127</v>
      </c>
      <c r="G474" s="2">
        <v>43.13</v>
      </c>
      <c r="H474" s="2">
        <v>10</v>
      </c>
      <c r="I474" s="2">
        <v>21.565000000000001</v>
      </c>
      <c r="J474" s="2">
        <v>452.86500000000001</v>
      </c>
      <c r="K474" s="5">
        <v>43498</v>
      </c>
      <c r="L474" s="4">
        <v>0.77152777777777781</v>
      </c>
      <c r="M474" s="3" t="s">
        <v>59</v>
      </c>
      <c r="N474" s="2">
        <v>431.3</v>
      </c>
      <c r="O474" s="2">
        <v>4.7619047620000003</v>
      </c>
      <c r="P474" s="2">
        <v>21.565000000000001</v>
      </c>
      <c r="Q474" s="2">
        <v>5.5</v>
      </c>
      <c r="R474" s="3" t="str">
        <f t="shared" si="16"/>
        <v>February</v>
      </c>
      <c r="S474" s="3">
        <f t="shared" si="15"/>
        <v>2</v>
      </c>
      <c r="T474" s="3" t="str">
        <f>IF(tbl_sales[[#This Row],[Sales]]&gt;=500,"High Value","Standard")</f>
        <v>Standard</v>
      </c>
      <c r="U474" s="1" t="str">
        <f>IF(tbl_sales[[#This Row],[Order Size]]="High Value","High Value Order","Standard Order")</f>
        <v>Standard Order</v>
      </c>
      <c r="V474" s="1"/>
      <c r="W474" s="17" t="s">
        <v>37</v>
      </c>
      <c r="X474" s="17"/>
      <c r="Y474" s="6"/>
      <c r="Z474" s="1" t="s">
        <v>37</v>
      </c>
    </row>
    <row r="475" spans="1:26">
      <c r="A475" s="3" t="s">
        <v>2819</v>
      </c>
      <c r="B475" s="3" t="s">
        <v>115</v>
      </c>
      <c r="C475" s="3" t="s">
        <v>116</v>
      </c>
      <c r="D475" s="3" t="s">
        <v>24</v>
      </c>
      <c r="E475" s="3" t="s">
        <v>992</v>
      </c>
      <c r="F475" s="3" t="s">
        <v>26</v>
      </c>
      <c r="G475" s="2">
        <v>72.569999999999993</v>
      </c>
      <c r="H475" s="2">
        <v>8</v>
      </c>
      <c r="I475" s="2">
        <v>29.027999999999999</v>
      </c>
      <c r="J475" s="2">
        <v>609.58799999999997</v>
      </c>
      <c r="K475" s="5">
        <v>43554</v>
      </c>
      <c r="L475" s="4">
        <v>0.74861111111111112</v>
      </c>
      <c r="M475" s="3" t="s">
        <v>49</v>
      </c>
      <c r="N475" s="2">
        <v>580.55999999999995</v>
      </c>
      <c r="O475" s="2">
        <v>4.7619047620000003</v>
      </c>
      <c r="P475" s="2">
        <v>29.027999999999999</v>
      </c>
      <c r="Q475" s="2">
        <v>4.5999999999999996</v>
      </c>
      <c r="R475" s="3" t="str">
        <f t="shared" si="16"/>
        <v>March</v>
      </c>
      <c r="S475" s="3">
        <f t="shared" si="15"/>
        <v>3</v>
      </c>
      <c r="T475" s="3" t="str">
        <f>IF(tbl_sales[[#This Row],[Sales]]&gt;=500,"High Value","Standard")</f>
        <v>High Value</v>
      </c>
      <c r="U475" s="1" t="str">
        <f>IF(tbl_sales[[#This Row],[Order Size]]="High Value","High Value Order","Standard Order")</f>
        <v>High Value Order</v>
      </c>
      <c r="V475" s="1"/>
      <c r="W475" s="17" t="s">
        <v>37</v>
      </c>
      <c r="X475" s="17"/>
      <c r="Y475" s="6"/>
      <c r="Z475" s="1" t="s">
        <v>37</v>
      </c>
    </row>
    <row r="476" spans="1:26">
      <c r="A476" s="3" t="s">
        <v>2824</v>
      </c>
      <c r="B476" s="3" t="s">
        <v>22</v>
      </c>
      <c r="C476" s="3" t="s">
        <v>23</v>
      </c>
      <c r="D476" s="3" t="s">
        <v>24</v>
      </c>
      <c r="E476" s="3" t="s">
        <v>25</v>
      </c>
      <c r="F476" s="3" t="s">
        <v>42</v>
      </c>
      <c r="G476" s="2">
        <v>64.44</v>
      </c>
      <c r="H476" s="2">
        <v>5</v>
      </c>
      <c r="I476" s="2">
        <v>16.11</v>
      </c>
      <c r="J476" s="2">
        <v>338.31</v>
      </c>
      <c r="K476" s="5">
        <v>43554</v>
      </c>
      <c r="L476" s="4">
        <v>0.71111111111111114</v>
      </c>
      <c r="M476" s="3" t="s">
        <v>49</v>
      </c>
      <c r="N476" s="2">
        <v>322.2</v>
      </c>
      <c r="O476" s="2">
        <v>4.7619047620000003</v>
      </c>
      <c r="P476" s="2">
        <v>16.11</v>
      </c>
      <c r="Q476" s="2">
        <v>6.6</v>
      </c>
      <c r="R476" s="3" t="str">
        <f t="shared" si="16"/>
        <v>March</v>
      </c>
      <c r="S476" s="3">
        <f t="shared" si="15"/>
        <v>3</v>
      </c>
      <c r="T476" s="3" t="str">
        <f>IF(tbl_sales[[#This Row],[Sales]]&gt;=500,"High Value","Standard")</f>
        <v>Standard</v>
      </c>
      <c r="U476" s="1" t="str">
        <f>IF(tbl_sales[[#This Row],[Order Size]]="High Value","High Value Order","Standard Order")</f>
        <v>Standard Order</v>
      </c>
      <c r="V476" s="1"/>
      <c r="W476" s="17" t="s">
        <v>37</v>
      </c>
      <c r="X476" s="17"/>
      <c r="Y476" s="6"/>
      <c r="Z476" s="1" t="s">
        <v>37</v>
      </c>
    </row>
    <row r="477" spans="1:26">
      <c r="A477" s="3" t="s">
        <v>2829</v>
      </c>
      <c r="B477" s="3" t="s">
        <v>22</v>
      </c>
      <c r="C477" s="3" t="s">
        <v>23</v>
      </c>
      <c r="D477" s="3" t="s">
        <v>41</v>
      </c>
      <c r="E477" s="3" t="s">
        <v>992</v>
      </c>
      <c r="F477" s="3" t="s">
        <v>26</v>
      </c>
      <c r="G477" s="2">
        <v>65.180000000000007</v>
      </c>
      <c r="H477" s="2">
        <v>3</v>
      </c>
      <c r="I477" s="2">
        <v>9.7769999999999992</v>
      </c>
      <c r="J477" s="2">
        <v>205.31700000000001</v>
      </c>
      <c r="K477" s="5">
        <v>43521</v>
      </c>
      <c r="L477" s="4">
        <v>0.85763888888888884</v>
      </c>
      <c r="M477" s="3" t="s">
        <v>59</v>
      </c>
      <c r="N477" s="2">
        <v>195.54</v>
      </c>
      <c r="O477" s="2">
        <v>4.7619047620000003</v>
      </c>
      <c r="P477" s="2">
        <v>9.7769999999999992</v>
      </c>
      <c r="Q477" s="2">
        <v>6.3</v>
      </c>
      <c r="R477" s="3" t="str">
        <f t="shared" si="16"/>
        <v>February</v>
      </c>
      <c r="S477" s="3">
        <f t="shared" si="15"/>
        <v>2</v>
      </c>
      <c r="T477" s="3" t="str">
        <f>IF(tbl_sales[[#This Row],[Sales]]&gt;=500,"High Value","Standard")</f>
        <v>Standard</v>
      </c>
      <c r="U477" s="1" t="str">
        <f>IF(tbl_sales[[#This Row],[Order Size]]="High Value","High Value Order","Standard Order")</f>
        <v>Standard Order</v>
      </c>
      <c r="V477" s="1"/>
      <c r="W477" s="17" t="s">
        <v>37</v>
      </c>
      <c r="X477" s="17"/>
      <c r="Y477" s="6"/>
      <c r="Z477" s="1" t="s">
        <v>37</v>
      </c>
    </row>
    <row r="478" spans="1:26">
      <c r="A478" s="3" t="s">
        <v>2834</v>
      </c>
      <c r="B478" s="3" t="s">
        <v>22</v>
      </c>
      <c r="C478" s="3" t="s">
        <v>23</v>
      </c>
      <c r="D478" s="3" t="s">
        <v>41</v>
      </c>
      <c r="E478" s="3" t="s">
        <v>25</v>
      </c>
      <c r="F478" s="3" t="s">
        <v>72</v>
      </c>
      <c r="G478" s="2">
        <v>33.26</v>
      </c>
      <c r="H478" s="2">
        <v>5</v>
      </c>
      <c r="I478" s="2">
        <v>8.3149999999999995</v>
      </c>
      <c r="J478" s="2">
        <v>174.61500000000001</v>
      </c>
      <c r="K478" s="5">
        <v>43542</v>
      </c>
      <c r="L478" s="4">
        <v>0.67361111111111116</v>
      </c>
      <c r="M478" s="3" t="s">
        <v>59</v>
      </c>
      <c r="N478" s="2">
        <v>166.3</v>
      </c>
      <c r="O478" s="2">
        <v>4.7619047620000003</v>
      </c>
      <c r="P478" s="2">
        <v>8.3149999999999995</v>
      </c>
      <c r="Q478" s="2">
        <v>4.2</v>
      </c>
      <c r="R478" s="3" t="str">
        <f t="shared" si="16"/>
        <v>March</v>
      </c>
      <c r="S478" s="3">
        <f t="shared" si="15"/>
        <v>3</v>
      </c>
      <c r="T478" s="3" t="str">
        <f>IF(tbl_sales[[#This Row],[Sales]]&gt;=500,"High Value","Standard")</f>
        <v>Standard</v>
      </c>
      <c r="U478" s="1" t="str">
        <f>IF(tbl_sales[[#This Row],[Order Size]]="High Value","High Value Order","Standard Order")</f>
        <v>Standard Order</v>
      </c>
      <c r="V478" s="1"/>
      <c r="W478" s="17" t="s">
        <v>37</v>
      </c>
      <c r="X478" s="17"/>
      <c r="Y478" s="6"/>
      <c r="Z478" s="1" t="s">
        <v>37</v>
      </c>
    </row>
    <row r="479" spans="1:26">
      <c r="A479" s="3" t="s">
        <v>2839</v>
      </c>
      <c r="B479" s="3" t="s">
        <v>39</v>
      </c>
      <c r="C479" s="3" t="s">
        <v>40</v>
      </c>
      <c r="D479" s="3" t="s">
        <v>41</v>
      </c>
      <c r="E479" s="3" t="s">
        <v>992</v>
      </c>
      <c r="F479" s="3" t="s">
        <v>42</v>
      </c>
      <c r="G479" s="2">
        <v>84.07</v>
      </c>
      <c r="H479" s="2">
        <v>4</v>
      </c>
      <c r="I479" s="2">
        <v>16.814</v>
      </c>
      <c r="J479" s="2">
        <v>353.09399999999999</v>
      </c>
      <c r="K479" s="5">
        <v>43531</v>
      </c>
      <c r="L479" s="4">
        <v>0.70416666666666672</v>
      </c>
      <c r="M479" s="3" t="s">
        <v>33</v>
      </c>
      <c r="N479" s="2">
        <v>336.28</v>
      </c>
      <c r="O479" s="2">
        <v>4.7619047620000003</v>
      </c>
      <c r="P479" s="2">
        <v>16.814</v>
      </c>
      <c r="Q479" s="2">
        <v>4.4000000000000004</v>
      </c>
      <c r="R479" s="3" t="str">
        <f t="shared" si="16"/>
        <v>March</v>
      </c>
      <c r="S479" s="3">
        <f t="shared" si="15"/>
        <v>3</v>
      </c>
      <c r="T479" s="3" t="str">
        <f>IF(tbl_sales[[#This Row],[Sales]]&gt;=500,"High Value","Standard")</f>
        <v>Standard</v>
      </c>
      <c r="U479" s="1" t="str">
        <f>IF(tbl_sales[[#This Row],[Order Size]]="High Value","High Value Order","Standard Order")</f>
        <v>Standard Order</v>
      </c>
      <c r="V479" s="1"/>
      <c r="W479" s="17" t="s">
        <v>37</v>
      </c>
      <c r="X479" s="17"/>
      <c r="Y479" s="6"/>
      <c r="Z479" s="1" t="s">
        <v>37</v>
      </c>
    </row>
    <row r="480" spans="1:26">
      <c r="A480" s="3" t="s">
        <v>2845</v>
      </c>
      <c r="B480" s="3" t="s">
        <v>115</v>
      </c>
      <c r="C480" s="3" t="s">
        <v>116</v>
      </c>
      <c r="D480" s="3" t="s">
        <v>41</v>
      </c>
      <c r="E480" s="3" t="s">
        <v>992</v>
      </c>
      <c r="F480" s="3" t="s">
        <v>72</v>
      </c>
      <c r="G480" s="2">
        <v>34.369999999999997</v>
      </c>
      <c r="H480" s="2">
        <v>10</v>
      </c>
      <c r="I480" s="2">
        <v>17.184999999999999</v>
      </c>
      <c r="J480" s="2">
        <v>360.88499999999999</v>
      </c>
      <c r="K480" s="5">
        <v>43540</v>
      </c>
      <c r="L480" s="4">
        <v>0.42430555555555555</v>
      </c>
      <c r="M480" s="3" t="s">
        <v>33</v>
      </c>
      <c r="N480" s="2">
        <v>343.7</v>
      </c>
      <c r="O480" s="2">
        <v>4.7619047620000003</v>
      </c>
      <c r="P480" s="2">
        <v>17.184999999999999</v>
      </c>
      <c r="Q480" s="2">
        <v>6.7</v>
      </c>
      <c r="R480" s="3" t="str">
        <f t="shared" si="16"/>
        <v>March</v>
      </c>
      <c r="S480" s="3">
        <f t="shared" si="15"/>
        <v>3</v>
      </c>
      <c r="T480" s="3" t="str">
        <f>IF(tbl_sales[[#This Row],[Sales]]&gt;=500,"High Value","Standard")</f>
        <v>Standard</v>
      </c>
      <c r="U480" s="1" t="str">
        <f>IF(tbl_sales[[#This Row],[Order Size]]="High Value","High Value Order","Standard Order")</f>
        <v>Standard Order</v>
      </c>
      <c r="V480" s="1"/>
      <c r="W480" s="17" t="s">
        <v>37</v>
      </c>
      <c r="X480" s="17"/>
      <c r="Y480" s="6"/>
      <c r="Z480" s="1" t="s">
        <v>37</v>
      </c>
    </row>
    <row r="481" spans="1:26">
      <c r="A481" s="3" t="s">
        <v>2850</v>
      </c>
      <c r="B481" s="3" t="s">
        <v>22</v>
      </c>
      <c r="C481" s="3" t="s">
        <v>23</v>
      </c>
      <c r="D481" s="3" t="s">
        <v>41</v>
      </c>
      <c r="E481" s="3" t="s">
        <v>992</v>
      </c>
      <c r="F481" s="3" t="s">
        <v>42</v>
      </c>
      <c r="G481" s="2">
        <v>38.6</v>
      </c>
      <c r="H481" s="2">
        <v>1</v>
      </c>
      <c r="I481" s="2">
        <v>1.93</v>
      </c>
      <c r="J481" s="2">
        <v>40.53</v>
      </c>
      <c r="K481" s="5">
        <v>43494</v>
      </c>
      <c r="L481" s="4">
        <v>0.47638888888888886</v>
      </c>
      <c r="M481" s="3" t="s">
        <v>33</v>
      </c>
      <c r="N481" s="2">
        <v>38.6</v>
      </c>
      <c r="O481" s="2">
        <v>4.7619047620000003</v>
      </c>
      <c r="P481" s="2">
        <v>1.93</v>
      </c>
      <c r="Q481" s="2">
        <v>6.7</v>
      </c>
      <c r="R481" s="3" t="str">
        <f t="shared" si="16"/>
        <v>January</v>
      </c>
      <c r="S481" s="3">
        <f t="shared" si="15"/>
        <v>1</v>
      </c>
      <c r="T481" s="3" t="str">
        <f>IF(tbl_sales[[#This Row],[Sales]]&gt;=500,"High Value","Standard")</f>
        <v>Standard</v>
      </c>
      <c r="U481" s="1" t="str">
        <f>IF(tbl_sales[[#This Row],[Order Size]]="High Value","High Value Order","Standard Order")</f>
        <v>Standard Order</v>
      </c>
      <c r="V481" s="1"/>
      <c r="W481" s="17" t="s">
        <v>37</v>
      </c>
      <c r="X481" s="17"/>
      <c r="Y481" s="6"/>
      <c r="Z481" s="1" t="s">
        <v>37</v>
      </c>
    </row>
    <row r="482" spans="1:26">
      <c r="A482" s="3" t="s">
        <v>2853</v>
      </c>
      <c r="B482" s="3" t="s">
        <v>39</v>
      </c>
      <c r="C482" s="3" t="s">
        <v>40</v>
      </c>
      <c r="D482" s="3" t="s">
        <v>41</v>
      </c>
      <c r="E482" s="3" t="s">
        <v>992</v>
      </c>
      <c r="F482" s="3" t="s">
        <v>117</v>
      </c>
      <c r="G482" s="2">
        <v>65.97</v>
      </c>
      <c r="H482" s="2">
        <v>8</v>
      </c>
      <c r="I482" s="2">
        <v>26.388000000000002</v>
      </c>
      <c r="J482" s="2">
        <v>554.14800000000002</v>
      </c>
      <c r="K482" s="5">
        <v>43498</v>
      </c>
      <c r="L482" s="4">
        <v>0.85347222222222219</v>
      </c>
      <c r="M482" s="3" t="s">
        <v>49</v>
      </c>
      <c r="N482" s="2">
        <v>527.76</v>
      </c>
      <c r="O482" s="2">
        <v>4.7619047620000003</v>
      </c>
      <c r="P482" s="2">
        <v>26.388000000000002</v>
      </c>
      <c r="Q482" s="2">
        <v>8.4</v>
      </c>
      <c r="R482" s="3" t="str">
        <f t="shared" si="16"/>
        <v>February</v>
      </c>
      <c r="S482" s="3">
        <f t="shared" si="15"/>
        <v>2</v>
      </c>
      <c r="T482" s="3" t="str">
        <f>IF(tbl_sales[[#This Row],[Sales]]&gt;=500,"High Value","Standard")</f>
        <v>High Value</v>
      </c>
      <c r="U482" s="1" t="str">
        <f>IF(tbl_sales[[#This Row],[Order Size]]="High Value","High Value Order","Standard Order")</f>
        <v>High Value Order</v>
      </c>
      <c r="V482" s="1"/>
      <c r="W482" s="17" t="s">
        <v>37</v>
      </c>
      <c r="X482" s="17"/>
      <c r="Y482" s="6"/>
      <c r="Z482" s="1" t="s">
        <v>37</v>
      </c>
    </row>
    <row r="483" spans="1:26">
      <c r="A483" s="3" t="s">
        <v>2858</v>
      </c>
      <c r="B483" s="3" t="s">
        <v>39</v>
      </c>
      <c r="C483" s="3" t="s">
        <v>40</v>
      </c>
      <c r="D483" s="3" t="s">
        <v>41</v>
      </c>
      <c r="E483" s="3" t="s">
        <v>25</v>
      </c>
      <c r="F483" s="3" t="s">
        <v>42</v>
      </c>
      <c r="G483" s="2">
        <v>32.799999999999997</v>
      </c>
      <c r="H483" s="2">
        <v>10</v>
      </c>
      <c r="I483" s="2">
        <v>16.399999999999999</v>
      </c>
      <c r="J483" s="2">
        <v>344.4</v>
      </c>
      <c r="K483" s="5">
        <v>43511</v>
      </c>
      <c r="L483" s="4">
        <v>0.5083333333333333</v>
      </c>
      <c r="M483" s="3" t="s">
        <v>49</v>
      </c>
      <c r="N483" s="2">
        <v>328</v>
      </c>
      <c r="O483" s="2">
        <v>4.7619047620000003</v>
      </c>
      <c r="P483" s="2">
        <v>16.399999999999999</v>
      </c>
      <c r="Q483" s="2">
        <v>6.2</v>
      </c>
      <c r="R483" s="3" t="str">
        <f t="shared" si="16"/>
        <v>February</v>
      </c>
      <c r="S483" s="3">
        <f t="shared" si="15"/>
        <v>2</v>
      </c>
      <c r="T483" s="3" t="str">
        <f>IF(tbl_sales[[#This Row],[Sales]]&gt;=500,"High Value","Standard")</f>
        <v>Standard</v>
      </c>
      <c r="U483" s="1" t="str">
        <f>IF(tbl_sales[[#This Row],[Order Size]]="High Value","High Value Order","Standard Order")</f>
        <v>Standard Order</v>
      </c>
      <c r="V483" s="1"/>
      <c r="W483" s="17" t="s">
        <v>37</v>
      </c>
      <c r="X483" s="17"/>
      <c r="Y483" s="6"/>
      <c r="Z483" s="1" t="s">
        <v>37</v>
      </c>
    </row>
    <row r="484" spans="1:26">
      <c r="A484" s="3" t="s">
        <v>2863</v>
      </c>
      <c r="B484" s="3" t="s">
        <v>22</v>
      </c>
      <c r="C484" s="3" t="s">
        <v>23</v>
      </c>
      <c r="D484" s="3" t="s">
        <v>41</v>
      </c>
      <c r="E484" s="3" t="s">
        <v>992</v>
      </c>
      <c r="F484" s="3" t="s">
        <v>72</v>
      </c>
      <c r="G484" s="2">
        <v>37.14</v>
      </c>
      <c r="H484" s="2">
        <v>5</v>
      </c>
      <c r="I484" s="2">
        <v>9.2850000000000001</v>
      </c>
      <c r="J484" s="2">
        <v>194.98500000000001</v>
      </c>
      <c r="K484" s="5">
        <v>43473</v>
      </c>
      <c r="L484" s="4">
        <v>0.54513888888888884</v>
      </c>
      <c r="M484" s="3" t="s">
        <v>33</v>
      </c>
      <c r="N484" s="2">
        <v>185.7</v>
      </c>
      <c r="O484" s="2">
        <v>4.7619047620000003</v>
      </c>
      <c r="P484" s="2">
        <v>9.2850000000000001</v>
      </c>
      <c r="Q484" s="2">
        <v>5</v>
      </c>
      <c r="R484" s="3" t="str">
        <f t="shared" si="16"/>
        <v>January</v>
      </c>
      <c r="S484" s="3">
        <f t="shared" si="15"/>
        <v>1</v>
      </c>
      <c r="T484" s="3" t="str">
        <f>IF(tbl_sales[[#This Row],[Sales]]&gt;=500,"High Value","Standard")</f>
        <v>Standard</v>
      </c>
      <c r="U484" s="1" t="str">
        <f>IF(tbl_sales[[#This Row],[Order Size]]="High Value","High Value Order","Standard Order")</f>
        <v>Standard Order</v>
      </c>
      <c r="V484" s="1"/>
      <c r="W484" s="17" t="s">
        <v>37</v>
      </c>
      <c r="X484" s="17"/>
      <c r="Y484" s="6"/>
      <c r="Z484" s="1" t="s">
        <v>37</v>
      </c>
    </row>
    <row r="485" spans="1:26">
      <c r="A485" s="3" t="s">
        <v>2868</v>
      </c>
      <c r="B485" s="3" t="s">
        <v>115</v>
      </c>
      <c r="C485" s="3" t="s">
        <v>116</v>
      </c>
      <c r="D485" s="3" t="s">
        <v>24</v>
      </c>
      <c r="E485" s="3" t="s">
        <v>992</v>
      </c>
      <c r="F485" s="3" t="s">
        <v>53</v>
      </c>
      <c r="G485" s="2">
        <v>60.38</v>
      </c>
      <c r="H485" s="2">
        <v>10</v>
      </c>
      <c r="I485" s="2">
        <v>30.19</v>
      </c>
      <c r="J485" s="2">
        <v>633.99</v>
      </c>
      <c r="K485" s="5">
        <v>43508</v>
      </c>
      <c r="L485" s="4">
        <v>0.67986111111111114</v>
      </c>
      <c r="M485" s="3" t="s">
        <v>49</v>
      </c>
      <c r="N485" s="2">
        <v>603.79999999999995</v>
      </c>
      <c r="O485" s="2">
        <v>4.7619047620000003</v>
      </c>
      <c r="P485" s="2">
        <v>30.19</v>
      </c>
      <c r="Q485" s="2">
        <v>6</v>
      </c>
      <c r="R485" s="3" t="str">
        <f t="shared" si="16"/>
        <v>February</v>
      </c>
      <c r="S485" s="3">
        <f t="shared" si="15"/>
        <v>2</v>
      </c>
      <c r="T485" s="3" t="str">
        <f>IF(tbl_sales[[#This Row],[Sales]]&gt;=500,"High Value","Standard")</f>
        <v>High Value</v>
      </c>
      <c r="U485" s="1" t="str">
        <f>IF(tbl_sales[[#This Row],[Order Size]]="High Value","High Value Order","Standard Order")</f>
        <v>High Value Order</v>
      </c>
      <c r="V485" s="1"/>
      <c r="W485" s="17" t="s">
        <v>37</v>
      </c>
      <c r="X485" s="17"/>
      <c r="Y485" s="6"/>
      <c r="Z485" s="1" t="s">
        <v>37</v>
      </c>
    </row>
    <row r="486" spans="1:26">
      <c r="A486" s="3" t="s">
        <v>2873</v>
      </c>
      <c r="B486" s="3" t="s">
        <v>39</v>
      </c>
      <c r="C486" s="3" t="s">
        <v>40</v>
      </c>
      <c r="D486" s="3" t="s">
        <v>24</v>
      </c>
      <c r="E486" s="3" t="s">
        <v>25</v>
      </c>
      <c r="F486" s="3" t="s">
        <v>72</v>
      </c>
      <c r="G486" s="2">
        <v>36.979999999999997</v>
      </c>
      <c r="H486" s="2">
        <v>10</v>
      </c>
      <c r="I486" s="2">
        <v>18.489999999999998</v>
      </c>
      <c r="J486" s="2">
        <v>388.29</v>
      </c>
      <c r="K486" s="5">
        <v>43466</v>
      </c>
      <c r="L486" s="4">
        <v>0.82499999999999996</v>
      </c>
      <c r="M486" s="3" t="s">
        <v>59</v>
      </c>
      <c r="N486" s="2">
        <v>369.8</v>
      </c>
      <c r="O486" s="2">
        <v>4.7619047620000003</v>
      </c>
      <c r="P486" s="2">
        <v>18.489999999999998</v>
      </c>
      <c r="Q486" s="2">
        <v>7</v>
      </c>
      <c r="R486" s="3" t="str">
        <f t="shared" si="16"/>
        <v>January</v>
      </c>
      <c r="S486" s="3">
        <f t="shared" si="15"/>
        <v>1</v>
      </c>
      <c r="T486" s="3" t="str">
        <f>IF(tbl_sales[[#This Row],[Sales]]&gt;=500,"High Value","Standard")</f>
        <v>Standard</v>
      </c>
      <c r="U486" s="1" t="str">
        <f>IF(tbl_sales[[#This Row],[Order Size]]="High Value","High Value Order","Standard Order")</f>
        <v>Standard Order</v>
      </c>
      <c r="V486" s="1"/>
      <c r="W486" s="17" t="s">
        <v>37</v>
      </c>
      <c r="X486" s="17"/>
      <c r="Y486" s="6"/>
      <c r="Z486" s="1" t="s">
        <v>37</v>
      </c>
    </row>
    <row r="487" spans="1:26">
      <c r="A487" s="3" t="s">
        <v>2878</v>
      </c>
      <c r="B487" s="3" t="s">
        <v>115</v>
      </c>
      <c r="C487" s="3" t="s">
        <v>116</v>
      </c>
      <c r="D487" s="3" t="s">
        <v>24</v>
      </c>
      <c r="E487" s="3" t="s">
        <v>25</v>
      </c>
      <c r="F487" s="3" t="s">
        <v>72</v>
      </c>
      <c r="G487" s="2">
        <v>49.49</v>
      </c>
      <c r="H487" s="2">
        <v>4</v>
      </c>
      <c r="I487" s="2">
        <v>9.8979999999999997</v>
      </c>
      <c r="J487" s="2">
        <v>207.858</v>
      </c>
      <c r="K487" s="5">
        <v>43545</v>
      </c>
      <c r="L487" s="4">
        <v>0.64236111111111116</v>
      </c>
      <c r="M487" s="3" t="s">
        <v>33</v>
      </c>
      <c r="N487" s="2">
        <v>197.96</v>
      </c>
      <c r="O487" s="2">
        <v>4.7619047620000003</v>
      </c>
      <c r="P487" s="2">
        <v>9.8979999999999997</v>
      </c>
      <c r="Q487" s="2">
        <v>6.6</v>
      </c>
      <c r="R487" s="3" t="str">
        <f t="shared" si="16"/>
        <v>March</v>
      </c>
      <c r="S487" s="3">
        <f t="shared" si="15"/>
        <v>3</v>
      </c>
      <c r="T487" s="3" t="str">
        <f>IF(tbl_sales[[#This Row],[Sales]]&gt;=500,"High Value","Standard")</f>
        <v>Standard</v>
      </c>
      <c r="U487" s="1" t="str">
        <f>IF(tbl_sales[[#This Row],[Order Size]]="High Value","High Value Order","Standard Order")</f>
        <v>Standard Order</v>
      </c>
      <c r="V487" s="1"/>
      <c r="W487" s="17" t="s">
        <v>37</v>
      </c>
      <c r="X487" s="17"/>
      <c r="Y487" s="6"/>
      <c r="Z487" s="1" t="s">
        <v>37</v>
      </c>
    </row>
    <row r="488" spans="1:26">
      <c r="A488" s="3" t="s">
        <v>2883</v>
      </c>
      <c r="B488" s="3" t="s">
        <v>115</v>
      </c>
      <c r="C488" s="3" t="s">
        <v>116</v>
      </c>
      <c r="D488" s="3" t="s">
        <v>41</v>
      </c>
      <c r="E488" s="3" t="s">
        <v>25</v>
      </c>
      <c r="F488" s="3" t="s">
        <v>127</v>
      </c>
      <c r="G488" s="2">
        <v>41.09</v>
      </c>
      <c r="H488" s="2">
        <v>10</v>
      </c>
      <c r="I488" s="2">
        <v>20.545000000000002</v>
      </c>
      <c r="J488" s="2">
        <v>431.44499999999999</v>
      </c>
      <c r="K488" s="5">
        <v>43524</v>
      </c>
      <c r="L488" s="4">
        <v>0.61250000000000004</v>
      </c>
      <c r="M488" s="3" t="s">
        <v>49</v>
      </c>
      <c r="N488" s="2">
        <v>410.9</v>
      </c>
      <c r="O488" s="2">
        <v>4.7619047620000003</v>
      </c>
      <c r="P488" s="2">
        <v>20.545000000000002</v>
      </c>
      <c r="Q488" s="2">
        <v>7.3</v>
      </c>
      <c r="R488" s="3" t="str">
        <f t="shared" si="16"/>
        <v>February</v>
      </c>
      <c r="S488" s="3">
        <f t="shared" si="15"/>
        <v>2</v>
      </c>
      <c r="T488" s="3" t="str">
        <f>IF(tbl_sales[[#This Row],[Sales]]&gt;=500,"High Value","Standard")</f>
        <v>Standard</v>
      </c>
      <c r="U488" s="1" t="str">
        <f>IF(tbl_sales[[#This Row],[Order Size]]="High Value","High Value Order","Standard Order")</f>
        <v>Standard Order</v>
      </c>
      <c r="V488" s="1"/>
      <c r="W488" s="17" t="s">
        <v>37</v>
      </c>
      <c r="X488" s="17"/>
      <c r="Y488" s="6"/>
      <c r="Z488" s="1" t="s">
        <v>37</v>
      </c>
    </row>
    <row r="489" spans="1:26">
      <c r="A489" s="3" t="s">
        <v>2888</v>
      </c>
      <c r="B489" s="3" t="s">
        <v>22</v>
      </c>
      <c r="C489" s="3" t="s">
        <v>23</v>
      </c>
      <c r="D489" s="3" t="s">
        <v>41</v>
      </c>
      <c r="E489" s="3" t="s">
        <v>992</v>
      </c>
      <c r="F489" s="3" t="s">
        <v>127</v>
      </c>
      <c r="G489" s="2">
        <v>37.15</v>
      </c>
      <c r="H489" s="2">
        <v>4</v>
      </c>
      <c r="I489" s="2">
        <v>7.43</v>
      </c>
      <c r="J489" s="2">
        <v>156.03</v>
      </c>
      <c r="K489" s="5">
        <v>43547</v>
      </c>
      <c r="L489" s="4">
        <v>0.79097222222222219</v>
      </c>
      <c r="M489" s="3" t="s">
        <v>33</v>
      </c>
      <c r="N489" s="2">
        <v>148.6</v>
      </c>
      <c r="O489" s="2">
        <v>4.7619047620000003</v>
      </c>
      <c r="P489" s="2">
        <v>7.43</v>
      </c>
      <c r="Q489" s="2">
        <v>8.3000000000000007</v>
      </c>
      <c r="R489" s="3" t="str">
        <f t="shared" si="16"/>
        <v>March</v>
      </c>
      <c r="S489" s="3">
        <f t="shared" si="15"/>
        <v>3</v>
      </c>
      <c r="T489" s="3" t="str">
        <f>IF(tbl_sales[[#This Row],[Sales]]&gt;=500,"High Value","Standard")</f>
        <v>Standard</v>
      </c>
      <c r="U489" s="1" t="str">
        <f>IF(tbl_sales[[#This Row],[Order Size]]="High Value","High Value Order","Standard Order")</f>
        <v>Standard Order</v>
      </c>
      <c r="V489" s="1"/>
      <c r="W489" s="17" t="s">
        <v>37</v>
      </c>
      <c r="X489" s="17"/>
      <c r="Y489" s="6"/>
      <c r="Z489" s="1" t="s">
        <v>37</v>
      </c>
    </row>
    <row r="490" spans="1:26">
      <c r="A490" s="3" t="s">
        <v>2892</v>
      </c>
      <c r="B490" s="3" t="s">
        <v>39</v>
      </c>
      <c r="C490" s="3" t="s">
        <v>40</v>
      </c>
      <c r="D490" s="3" t="s">
        <v>41</v>
      </c>
      <c r="E490" s="3" t="s">
        <v>992</v>
      </c>
      <c r="F490" s="3" t="s">
        <v>53</v>
      </c>
      <c r="G490" s="2">
        <v>22.96</v>
      </c>
      <c r="H490" s="2">
        <v>1</v>
      </c>
      <c r="I490" s="2">
        <v>1.1479999999999999</v>
      </c>
      <c r="J490" s="2">
        <v>24.108000000000001</v>
      </c>
      <c r="K490" s="5">
        <v>43495</v>
      </c>
      <c r="L490" s="4">
        <v>0.86597222222222225</v>
      </c>
      <c r="M490" s="3" t="s">
        <v>49</v>
      </c>
      <c r="N490" s="2">
        <v>22.96</v>
      </c>
      <c r="O490" s="2">
        <v>4.7619047620000003</v>
      </c>
      <c r="P490" s="2">
        <v>1.1479999999999999</v>
      </c>
      <c r="Q490" s="2">
        <v>4.3</v>
      </c>
      <c r="R490" s="3" t="str">
        <f t="shared" si="16"/>
        <v>January</v>
      </c>
      <c r="S490" s="3">
        <f t="shared" si="15"/>
        <v>1</v>
      </c>
      <c r="T490" s="3" t="str">
        <f>IF(tbl_sales[[#This Row],[Sales]]&gt;=500,"High Value","Standard")</f>
        <v>Standard</v>
      </c>
      <c r="U490" s="1" t="str">
        <f>IF(tbl_sales[[#This Row],[Order Size]]="High Value","High Value Order","Standard Order")</f>
        <v>Standard Order</v>
      </c>
      <c r="V490" s="1"/>
      <c r="W490" s="17" t="s">
        <v>37</v>
      </c>
      <c r="X490" s="17"/>
      <c r="Y490" s="6"/>
      <c r="Z490" s="1" t="s">
        <v>37</v>
      </c>
    </row>
    <row r="491" spans="1:26">
      <c r="A491" s="3" t="s">
        <v>2897</v>
      </c>
      <c r="B491" s="3" t="s">
        <v>115</v>
      </c>
      <c r="C491" s="3" t="s">
        <v>116</v>
      </c>
      <c r="D491" s="3" t="s">
        <v>24</v>
      </c>
      <c r="E491" s="3" t="s">
        <v>25</v>
      </c>
      <c r="F491" s="3" t="s">
        <v>53</v>
      </c>
      <c r="G491" s="2">
        <v>77.680000000000007</v>
      </c>
      <c r="H491" s="2">
        <v>9</v>
      </c>
      <c r="I491" s="2">
        <v>34.956000000000003</v>
      </c>
      <c r="J491" s="2">
        <v>734.07600000000002</v>
      </c>
      <c r="K491" s="5">
        <v>43500</v>
      </c>
      <c r="L491" s="4">
        <v>0.55625000000000002</v>
      </c>
      <c r="M491" s="3" t="s">
        <v>33</v>
      </c>
      <c r="N491" s="2">
        <v>699.12</v>
      </c>
      <c r="O491" s="2">
        <v>4.7619047620000003</v>
      </c>
      <c r="P491" s="2">
        <v>34.956000000000003</v>
      </c>
      <c r="Q491" s="2">
        <v>9.8000000000000007</v>
      </c>
      <c r="R491" s="3" t="str">
        <f t="shared" si="16"/>
        <v>February</v>
      </c>
      <c r="S491" s="3">
        <f t="shared" si="15"/>
        <v>2</v>
      </c>
      <c r="T491" s="3" t="str">
        <f>IF(tbl_sales[[#This Row],[Sales]]&gt;=500,"High Value","Standard")</f>
        <v>High Value</v>
      </c>
      <c r="U491" s="1" t="str">
        <f>IF(tbl_sales[[#This Row],[Order Size]]="High Value","High Value Order","Standard Order")</f>
        <v>High Value Order</v>
      </c>
      <c r="V491" s="1"/>
      <c r="W491" s="17" t="s">
        <v>37</v>
      </c>
      <c r="X491" s="17"/>
      <c r="Y491" s="6"/>
      <c r="Z491" s="1" t="s">
        <v>37</v>
      </c>
    </row>
    <row r="492" spans="1:26">
      <c r="A492" s="3" t="s">
        <v>2902</v>
      </c>
      <c r="B492" s="3" t="s">
        <v>115</v>
      </c>
      <c r="C492" s="3" t="s">
        <v>116</v>
      </c>
      <c r="D492" s="3" t="s">
        <v>41</v>
      </c>
      <c r="E492" s="3" t="s">
        <v>25</v>
      </c>
      <c r="F492" s="3" t="s">
        <v>127</v>
      </c>
      <c r="G492" s="2">
        <v>34.700000000000003</v>
      </c>
      <c r="H492" s="2">
        <v>2</v>
      </c>
      <c r="I492" s="2">
        <v>3.47</v>
      </c>
      <c r="J492" s="2">
        <v>72.87</v>
      </c>
      <c r="K492" s="5">
        <v>43537</v>
      </c>
      <c r="L492" s="4">
        <v>0.82499999999999996</v>
      </c>
      <c r="M492" s="3" t="s">
        <v>33</v>
      </c>
      <c r="N492" s="2">
        <v>69.400000000000006</v>
      </c>
      <c r="O492" s="2">
        <v>4.7619047620000003</v>
      </c>
      <c r="P492" s="2">
        <v>3.47</v>
      </c>
      <c r="Q492" s="2">
        <v>8.1999999999999993</v>
      </c>
      <c r="R492" s="3" t="str">
        <f t="shared" si="16"/>
        <v>March</v>
      </c>
      <c r="S492" s="3">
        <f t="shared" si="15"/>
        <v>3</v>
      </c>
      <c r="T492" s="3" t="str">
        <f>IF(tbl_sales[[#This Row],[Sales]]&gt;=500,"High Value","Standard")</f>
        <v>Standard</v>
      </c>
      <c r="U492" s="1" t="str">
        <f>IF(tbl_sales[[#This Row],[Order Size]]="High Value","High Value Order","Standard Order")</f>
        <v>Standard Order</v>
      </c>
      <c r="V492" s="1"/>
      <c r="W492" s="17" t="s">
        <v>37</v>
      </c>
      <c r="X492" s="17"/>
      <c r="Y492" s="6"/>
      <c r="Z492" s="1" t="s">
        <v>37</v>
      </c>
    </row>
    <row r="493" spans="1:26">
      <c r="A493" s="3" t="s">
        <v>2907</v>
      </c>
      <c r="B493" s="3" t="s">
        <v>22</v>
      </c>
      <c r="C493" s="3" t="s">
        <v>23</v>
      </c>
      <c r="D493" s="3" t="s">
        <v>24</v>
      </c>
      <c r="E493" s="3" t="s">
        <v>25</v>
      </c>
      <c r="F493" s="3" t="s">
        <v>127</v>
      </c>
      <c r="G493" s="2">
        <v>19.66</v>
      </c>
      <c r="H493" s="2">
        <v>10</v>
      </c>
      <c r="I493" s="2">
        <v>9.83</v>
      </c>
      <c r="J493" s="2">
        <v>206.43</v>
      </c>
      <c r="K493" s="5">
        <v>43539</v>
      </c>
      <c r="L493" s="4">
        <v>0.76388888888888884</v>
      </c>
      <c r="M493" s="3" t="s">
        <v>59</v>
      </c>
      <c r="N493" s="2">
        <v>196.6</v>
      </c>
      <c r="O493" s="2">
        <v>4.7619047620000003</v>
      </c>
      <c r="P493" s="2">
        <v>9.83</v>
      </c>
      <c r="Q493" s="2">
        <v>7.2</v>
      </c>
      <c r="R493" s="3" t="str">
        <f t="shared" si="16"/>
        <v>March</v>
      </c>
      <c r="S493" s="3">
        <f t="shared" si="15"/>
        <v>3</v>
      </c>
      <c r="T493" s="3" t="str">
        <f>IF(tbl_sales[[#This Row],[Sales]]&gt;=500,"High Value","Standard")</f>
        <v>Standard</v>
      </c>
      <c r="U493" s="1" t="str">
        <f>IF(tbl_sales[[#This Row],[Order Size]]="High Value","High Value Order","Standard Order")</f>
        <v>Standard Order</v>
      </c>
      <c r="V493" s="1"/>
      <c r="W493" s="17" t="s">
        <v>37</v>
      </c>
      <c r="X493" s="17"/>
      <c r="Y493" s="6"/>
      <c r="Z493" s="1" t="s">
        <v>37</v>
      </c>
    </row>
    <row r="494" spans="1:26">
      <c r="A494" s="3" t="s">
        <v>2913</v>
      </c>
      <c r="B494" s="3" t="s">
        <v>115</v>
      </c>
      <c r="C494" s="3" t="s">
        <v>116</v>
      </c>
      <c r="D494" s="3" t="s">
        <v>24</v>
      </c>
      <c r="E494" s="3" t="s">
        <v>25</v>
      </c>
      <c r="F494" s="3" t="s">
        <v>26</v>
      </c>
      <c r="G494" s="2">
        <v>25.32</v>
      </c>
      <c r="H494" s="2">
        <v>8</v>
      </c>
      <c r="I494" s="2">
        <v>10.128</v>
      </c>
      <c r="J494" s="2">
        <v>212.68799999999999</v>
      </c>
      <c r="K494" s="5">
        <v>43529</v>
      </c>
      <c r="L494" s="4">
        <v>0.85</v>
      </c>
      <c r="M494" s="3" t="s">
        <v>33</v>
      </c>
      <c r="N494" s="2">
        <v>202.56</v>
      </c>
      <c r="O494" s="2">
        <v>4.7619047620000003</v>
      </c>
      <c r="P494" s="2">
        <v>10.128</v>
      </c>
      <c r="Q494" s="2">
        <v>8.6999999999999993</v>
      </c>
      <c r="R494" s="3" t="str">
        <f t="shared" si="16"/>
        <v>March</v>
      </c>
      <c r="S494" s="3">
        <f t="shared" si="15"/>
        <v>3</v>
      </c>
      <c r="T494" s="3" t="str">
        <f>IF(tbl_sales[[#This Row],[Sales]]&gt;=500,"High Value","Standard")</f>
        <v>Standard</v>
      </c>
      <c r="U494" s="1" t="str">
        <f>IF(tbl_sales[[#This Row],[Order Size]]="High Value","High Value Order","Standard Order")</f>
        <v>Standard Order</v>
      </c>
      <c r="V494" s="1"/>
      <c r="W494" s="17" t="s">
        <v>37</v>
      </c>
      <c r="X494" s="17"/>
      <c r="Y494" s="6"/>
      <c r="Z494" s="1" t="s">
        <v>37</v>
      </c>
    </row>
    <row r="495" spans="1:26">
      <c r="A495" s="3" t="s">
        <v>2918</v>
      </c>
      <c r="B495" s="3" t="s">
        <v>39</v>
      </c>
      <c r="C495" s="3" t="s">
        <v>40</v>
      </c>
      <c r="D495" s="3" t="s">
        <v>24</v>
      </c>
      <c r="E495" s="3" t="s">
        <v>25</v>
      </c>
      <c r="F495" s="3" t="s">
        <v>53</v>
      </c>
      <c r="G495" s="2">
        <v>12.12</v>
      </c>
      <c r="H495" s="2">
        <v>10</v>
      </c>
      <c r="I495" s="2">
        <v>6.06</v>
      </c>
      <c r="J495" s="2">
        <v>127.26</v>
      </c>
      <c r="K495" s="5">
        <v>43529</v>
      </c>
      <c r="L495" s="4">
        <v>0.57222222222222219</v>
      </c>
      <c r="M495" s="3" t="s">
        <v>59</v>
      </c>
      <c r="N495" s="2">
        <v>121.2</v>
      </c>
      <c r="O495" s="2">
        <v>4.7619047620000003</v>
      </c>
      <c r="P495" s="2">
        <v>6.06</v>
      </c>
      <c r="Q495" s="2">
        <v>8.4</v>
      </c>
      <c r="R495" s="3" t="str">
        <f t="shared" si="16"/>
        <v>March</v>
      </c>
      <c r="S495" s="3">
        <f t="shared" si="15"/>
        <v>3</v>
      </c>
      <c r="T495" s="3" t="str">
        <f>IF(tbl_sales[[#This Row],[Sales]]&gt;=500,"High Value","Standard")</f>
        <v>Standard</v>
      </c>
      <c r="U495" s="1" t="str">
        <f>IF(tbl_sales[[#This Row],[Order Size]]="High Value","High Value Order","Standard Order")</f>
        <v>Standard Order</v>
      </c>
      <c r="V495" s="1"/>
      <c r="W495" s="17" t="s">
        <v>37</v>
      </c>
      <c r="X495" s="17"/>
      <c r="Y495" s="6"/>
      <c r="Z495" s="1" t="s">
        <v>37</v>
      </c>
    </row>
    <row r="496" spans="1:26">
      <c r="A496" s="3" t="s">
        <v>2923</v>
      </c>
      <c r="B496" s="3" t="s">
        <v>115</v>
      </c>
      <c r="C496" s="3" t="s">
        <v>116</v>
      </c>
      <c r="D496" s="3" t="s">
        <v>41</v>
      </c>
      <c r="E496" s="3" t="s">
        <v>992</v>
      </c>
      <c r="F496" s="3" t="s">
        <v>127</v>
      </c>
      <c r="G496" s="2">
        <v>99.89</v>
      </c>
      <c r="H496" s="2">
        <v>2</v>
      </c>
      <c r="I496" s="2">
        <v>9.9890000000000008</v>
      </c>
      <c r="J496" s="2">
        <v>209.76900000000001</v>
      </c>
      <c r="K496" s="5">
        <v>43522</v>
      </c>
      <c r="L496" s="4">
        <v>0.49166666666666664</v>
      </c>
      <c r="M496" s="3" t="s">
        <v>33</v>
      </c>
      <c r="N496" s="2">
        <v>199.78</v>
      </c>
      <c r="O496" s="2">
        <v>4.7619047620000003</v>
      </c>
      <c r="P496" s="2">
        <v>9.9890000000000008</v>
      </c>
      <c r="Q496" s="2">
        <v>7.1</v>
      </c>
      <c r="R496" s="3" t="str">
        <f t="shared" si="16"/>
        <v>February</v>
      </c>
      <c r="S496" s="3">
        <f t="shared" si="15"/>
        <v>2</v>
      </c>
      <c r="T496" s="3" t="str">
        <f>IF(tbl_sales[[#This Row],[Sales]]&gt;=500,"High Value","Standard")</f>
        <v>Standard</v>
      </c>
      <c r="U496" s="1" t="str">
        <f>IF(tbl_sales[[#This Row],[Order Size]]="High Value","High Value Order","Standard Order")</f>
        <v>Standard Order</v>
      </c>
      <c r="V496" s="1"/>
      <c r="W496" s="17" t="s">
        <v>37</v>
      </c>
      <c r="X496" s="17"/>
      <c r="Y496" s="6"/>
      <c r="Z496" s="1" t="s">
        <v>37</v>
      </c>
    </row>
    <row r="497" spans="1:26">
      <c r="A497" s="3" t="s">
        <v>2929</v>
      </c>
      <c r="B497" s="3" t="s">
        <v>115</v>
      </c>
      <c r="C497" s="3" t="s">
        <v>116</v>
      </c>
      <c r="D497" s="3" t="s">
        <v>41</v>
      </c>
      <c r="E497" s="3" t="s">
        <v>992</v>
      </c>
      <c r="F497" s="3" t="s">
        <v>72</v>
      </c>
      <c r="G497" s="2">
        <v>75.92</v>
      </c>
      <c r="H497" s="2">
        <v>8</v>
      </c>
      <c r="I497" s="2">
        <v>30.367999999999999</v>
      </c>
      <c r="J497" s="2">
        <v>637.72799999999995</v>
      </c>
      <c r="K497" s="5">
        <v>43544</v>
      </c>
      <c r="L497" s="4">
        <v>0.59305555555555556</v>
      </c>
      <c r="M497" s="3" t="s">
        <v>49</v>
      </c>
      <c r="N497" s="2">
        <v>607.36</v>
      </c>
      <c r="O497" s="2">
        <v>4.7619047620000003</v>
      </c>
      <c r="P497" s="2">
        <v>30.367999999999999</v>
      </c>
      <c r="Q497" s="2">
        <v>5.5</v>
      </c>
      <c r="R497" s="3" t="str">
        <f t="shared" si="16"/>
        <v>March</v>
      </c>
      <c r="S497" s="3">
        <f t="shared" si="15"/>
        <v>3</v>
      </c>
      <c r="T497" s="3" t="str">
        <f>IF(tbl_sales[[#This Row],[Sales]]&gt;=500,"High Value","Standard")</f>
        <v>High Value</v>
      </c>
      <c r="U497" s="1" t="str">
        <f>IF(tbl_sales[[#This Row],[Order Size]]="High Value","High Value Order","Standard Order")</f>
        <v>High Value Order</v>
      </c>
      <c r="V497" s="1"/>
      <c r="W497" s="17" t="s">
        <v>37</v>
      </c>
      <c r="X497" s="17"/>
      <c r="Y497" s="6"/>
      <c r="Z497" s="1" t="s">
        <v>37</v>
      </c>
    </row>
    <row r="498" spans="1:26">
      <c r="A498" s="3" t="s">
        <v>2935</v>
      </c>
      <c r="B498" s="3" t="s">
        <v>39</v>
      </c>
      <c r="C498" s="3" t="s">
        <v>40</v>
      </c>
      <c r="D498" s="3" t="s">
        <v>41</v>
      </c>
      <c r="E498" s="3" t="s">
        <v>25</v>
      </c>
      <c r="F498" s="3" t="s">
        <v>42</v>
      </c>
      <c r="G498" s="2">
        <v>63.22</v>
      </c>
      <c r="H498" s="2">
        <v>2</v>
      </c>
      <c r="I498" s="2">
        <v>6.3220000000000001</v>
      </c>
      <c r="J498" s="2">
        <v>132.762</v>
      </c>
      <c r="K498" s="5">
        <v>43466</v>
      </c>
      <c r="L498" s="4">
        <v>0.66041666666666665</v>
      </c>
      <c r="M498" s="3" t="s">
        <v>49</v>
      </c>
      <c r="N498" s="2">
        <v>126.44</v>
      </c>
      <c r="O498" s="2">
        <v>4.7619047620000003</v>
      </c>
      <c r="P498" s="2">
        <v>6.3220000000000001</v>
      </c>
      <c r="Q498" s="2">
        <v>8.5</v>
      </c>
      <c r="R498" s="3" t="str">
        <f t="shared" si="16"/>
        <v>January</v>
      </c>
      <c r="S498" s="3">
        <f t="shared" si="15"/>
        <v>1</v>
      </c>
      <c r="T498" s="3" t="str">
        <f>IF(tbl_sales[[#This Row],[Sales]]&gt;=500,"High Value","Standard")</f>
        <v>Standard</v>
      </c>
      <c r="U498" s="1" t="str">
        <f>IF(tbl_sales[[#This Row],[Order Size]]="High Value","High Value Order","Standard Order")</f>
        <v>Standard Order</v>
      </c>
      <c r="V498" s="1"/>
      <c r="W498" s="17" t="s">
        <v>37</v>
      </c>
      <c r="X498" s="17"/>
      <c r="Y498" s="6"/>
      <c r="Z498" s="1" t="s">
        <v>37</v>
      </c>
    </row>
    <row r="499" spans="1:26">
      <c r="A499" s="3" t="s">
        <v>2940</v>
      </c>
      <c r="B499" s="3" t="s">
        <v>39</v>
      </c>
      <c r="C499" s="3" t="s">
        <v>40</v>
      </c>
      <c r="D499" s="3" t="s">
        <v>41</v>
      </c>
      <c r="E499" s="3" t="s">
        <v>25</v>
      </c>
      <c r="F499" s="3" t="s">
        <v>117</v>
      </c>
      <c r="G499" s="2">
        <v>90.24</v>
      </c>
      <c r="H499" s="2">
        <v>6</v>
      </c>
      <c r="I499" s="2">
        <v>27.071999999999999</v>
      </c>
      <c r="J499" s="2">
        <v>568.51199999999994</v>
      </c>
      <c r="K499" s="5">
        <v>43492</v>
      </c>
      <c r="L499" s="4">
        <v>0.47013888888888888</v>
      </c>
      <c r="M499" s="3" t="s">
        <v>49</v>
      </c>
      <c r="N499" s="2">
        <v>541.44000000000005</v>
      </c>
      <c r="O499" s="2">
        <v>4.7619047620000003</v>
      </c>
      <c r="P499" s="2">
        <v>27.071999999999999</v>
      </c>
      <c r="Q499" s="2">
        <v>6.2</v>
      </c>
      <c r="R499" s="3" t="str">
        <f t="shared" si="16"/>
        <v>January</v>
      </c>
      <c r="S499" s="3">
        <f t="shared" si="15"/>
        <v>1</v>
      </c>
      <c r="T499" s="3" t="str">
        <f>IF(tbl_sales[[#This Row],[Sales]]&gt;=500,"High Value","Standard")</f>
        <v>High Value</v>
      </c>
      <c r="U499" s="1" t="str">
        <f>IF(tbl_sales[[#This Row],[Order Size]]="High Value","High Value Order","Standard Order")</f>
        <v>High Value Order</v>
      </c>
      <c r="V499" s="1"/>
      <c r="W499" s="17" t="s">
        <v>37</v>
      </c>
      <c r="X499" s="17"/>
      <c r="Y499" s="6"/>
      <c r="Z499" s="1" t="s">
        <v>37</v>
      </c>
    </row>
    <row r="500" spans="1:26">
      <c r="A500" s="3" t="s">
        <v>2946</v>
      </c>
      <c r="B500" s="3" t="s">
        <v>115</v>
      </c>
      <c r="C500" s="3" t="s">
        <v>116</v>
      </c>
      <c r="D500" s="3" t="s">
        <v>24</v>
      </c>
      <c r="E500" s="3" t="s">
        <v>25</v>
      </c>
      <c r="F500" s="3" t="s">
        <v>72</v>
      </c>
      <c r="G500" s="2">
        <v>98.13</v>
      </c>
      <c r="H500" s="2">
        <v>1</v>
      </c>
      <c r="I500" s="2">
        <v>4.9065000000000003</v>
      </c>
      <c r="J500" s="2">
        <v>103.0365</v>
      </c>
      <c r="K500" s="5">
        <v>43486</v>
      </c>
      <c r="L500" s="4">
        <v>0.73333333333333328</v>
      </c>
      <c r="M500" s="3" t="s">
        <v>49</v>
      </c>
      <c r="N500" s="2">
        <v>98.13</v>
      </c>
      <c r="O500" s="2">
        <v>4.7619047620000003</v>
      </c>
      <c r="P500" s="2">
        <v>4.9065000000000003</v>
      </c>
      <c r="Q500" s="2">
        <v>8.9</v>
      </c>
      <c r="R500" s="3" t="str">
        <f t="shared" si="16"/>
        <v>January</v>
      </c>
      <c r="S500" s="3">
        <f t="shared" si="15"/>
        <v>1</v>
      </c>
      <c r="T500" s="3" t="str">
        <f>IF(tbl_sales[[#This Row],[Sales]]&gt;=500,"High Value","Standard")</f>
        <v>Standard</v>
      </c>
      <c r="U500" s="1" t="str">
        <f>IF(tbl_sales[[#This Row],[Order Size]]="High Value","High Value Order","Standard Order")</f>
        <v>Standard Order</v>
      </c>
      <c r="V500" s="1"/>
      <c r="W500" s="17" t="s">
        <v>37</v>
      </c>
      <c r="X500" s="17"/>
      <c r="Y500" s="6"/>
      <c r="Z500" s="1" t="s">
        <v>37</v>
      </c>
    </row>
    <row r="501" spans="1:26">
      <c r="A501" s="3" t="s">
        <v>2950</v>
      </c>
      <c r="B501" s="3" t="s">
        <v>22</v>
      </c>
      <c r="C501" s="3" t="s">
        <v>23</v>
      </c>
      <c r="D501" s="3" t="s">
        <v>24</v>
      </c>
      <c r="E501" s="3" t="s">
        <v>25</v>
      </c>
      <c r="F501" s="3" t="s">
        <v>72</v>
      </c>
      <c r="G501" s="2">
        <v>51.52</v>
      </c>
      <c r="H501" s="2">
        <v>8</v>
      </c>
      <c r="I501" s="2">
        <v>20.608000000000001</v>
      </c>
      <c r="J501" s="2">
        <v>432.76799999999997</v>
      </c>
      <c r="K501" s="5">
        <v>43498</v>
      </c>
      <c r="L501" s="4">
        <v>0.65763888888888888</v>
      </c>
      <c r="M501" s="3" t="s">
        <v>49</v>
      </c>
      <c r="N501" s="2">
        <v>412.16</v>
      </c>
      <c r="O501" s="2">
        <v>4.7619047620000003</v>
      </c>
      <c r="P501" s="2">
        <v>20.608000000000001</v>
      </c>
      <c r="Q501" s="2">
        <v>9.6</v>
      </c>
      <c r="R501" s="3" t="str">
        <f t="shared" si="16"/>
        <v>February</v>
      </c>
      <c r="S501" s="3">
        <f t="shared" si="15"/>
        <v>2</v>
      </c>
      <c r="T501" s="3" t="str">
        <f>IF(tbl_sales[[#This Row],[Sales]]&gt;=500,"High Value","Standard")</f>
        <v>Standard</v>
      </c>
      <c r="U501" s="1" t="str">
        <f>IF(tbl_sales[[#This Row],[Order Size]]="High Value","High Value Order","Standard Order")</f>
        <v>Standard Order</v>
      </c>
      <c r="V501" s="1"/>
      <c r="W501" s="17" t="s">
        <v>37</v>
      </c>
      <c r="X501" s="17"/>
      <c r="Y501" s="6"/>
      <c r="Z501" s="1" t="s">
        <v>37</v>
      </c>
    </row>
    <row r="502" spans="1:26">
      <c r="A502" s="3" t="s">
        <v>2955</v>
      </c>
      <c r="B502" s="3" t="s">
        <v>115</v>
      </c>
      <c r="C502" s="3" t="s">
        <v>116</v>
      </c>
      <c r="D502" s="3" t="s">
        <v>24</v>
      </c>
      <c r="E502" s="3" t="s">
        <v>992</v>
      </c>
      <c r="F502" s="3" t="s">
        <v>72</v>
      </c>
      <c r="G502" s="2">
        <v>73.97</v>
      </c>
      <c r="H502" s="2">
        <v>1</v>
      </c>
      <c r="I502" s="2">
        <v>3.6985000000000001</v>
      </c>
      <c r="J502" s="2">
        <v>77.668499999999995</v>
      </c>
      <c r="K502" s="5">
        <v>43499</v>
      </c>
      <c r="L502" s="4">
        <v>0.66180555555555554</v>
      </c>
      <c r="M502" s="3" t="s">
        <v>59</v>
      </c>
      <c r="N502" s="2">
        <v>73.97</v>
      </c>
      <c r="O502" s="2">
        <v>4.7619047620000003</v>
      </c>
      <c r="P502" s="2">
        <v>3.6985000000000001</v>
      </c>
      <c r="Q502" s="2">
        <v>5.4</v>
      </c>
      <c r="R502" s="3" t="str">
        <f t="shared" si="16"/>
        <v>February</v>
      </c>
      <c r="S502" s="3">
        <f t="shared" si="15"/>
        <v>2</v>
      </c>
      <c r="T502" s="3" t="str">
        <f>IF(tbl_sales[[#This Row],[Sales]]&gt;=500,"High Value","Standard")</f>
        <v>Standard</v>
      </c>
      <c r="U502" s="1" t="str">
        <f>IF(tbl_sales[[#This Row],[Order Size]]="High Value","High Value Order","Standard Order")</f>
        <v>Standard Order</v>
      </c>
      <c r="V502" s="1"/>
      <c r="W502" s="17" t="s">
        <v>37</v>
      </c>
      <c r="X502" s="17"/>
      <c r="Y502" s="6"/>
      <c r="Z502" s="1" t="s">
        <v>37</v>
      </c>
    </row>
    <row r="503" spans="1:26">
      <c r="A503" s="3" t="s">
        <v>2959</v>
      </c>
      <c r="B503" s="3" t="s">
        <v>39</v>
      </c>
      <c r="C503" s="3" t="s">
        <v>40</v>
      </c>
      <c r="D503" s="3" t="s">
        <v>24</v>
      </c>
      <c r="E503" s="3" t="s">
        <v>25</v>
      </c>
      <c r="F503" s="3" t="s">
        <v>127</v>
      </c>
      <c r="G503" s="2">
        <v>31.9</v>
      </c>
      <c r="H503" s="2">
        <v>1</v>
      </c>
      <c r="I503" s="2">
        <v>1.595</v>
      </c>
      <c r="J503" s="2">
        <v>33.494999999999997</v>
      </c>
      <c r="K503" s="5">
        <v>43470</v>
      </c>
      <c r="L503" s="4">
        <v>0.52777777777777779</v>
      </c>
      <c r="M503" s="3" t="s">
        <v>33</v>
      </c>
      <c r="N503" s="2">
        <v>31.9</v>
      </c>
      <c r="O503" s="2">
        <v>4.7619047620000003</v>
      </c>
      <c r="P503" s="2">
        <v>1.595</v>
      </c>
      <c r="Q503" s="2">
        <v>9.1</v>
      </c>
      <c r="R503" s="3" t="str">
        <f t="shared" si="16"/>
        <v>January</v>
      </c>
      <c r="S503" s="3">
        <f t="shared" si="15"/>
        <v>1</v>
      </c>
      <c r="T503" s="3" t="str">
        <f>IF(tbl_sales[[#This Row],[Sales]]&gt;=500,"High Value","Standard")</f>
        <v>Standard</v>
      </c>
      <c r="U503" s="1" t="str">
        <f>IF(tbl_sales[[#This Row],[Order Size]]="High Value","High Value Order","Standard Order")</f>
        <v>Standard Order</v>
      </c>
      <c r="V503" s="1"/>
      <c r="W503" s="17" t="s">
        <v>37</v>
      </c>
      <c r="X503" s="17"/>
      <c r="Y503" s="6"/>
      <c r="Z503" s="1" t="s">
        <v>37</v>
      </c>
    </row>
    <row r="504" spans="1:26">
      <c r="A504" s="3" t="s">
        <v>2964</v>
      </c>
      <c r="B504" s="3" t="s">
        <v>39</v>
      </c>
      <c r="C504" s="3" t="s">
        <v>40</v>
      </c>
      <c r="D504" s="3" t="s">
        <v>41</v>
      </c>
      <c r="E504" s="3" t="s">
        <v>992</v>
      </c>
      <c r="F504" s="3" t="s">
        <v>53</v>
      </c>
      <c r="G504" s="2">
        <v>69.400000000000006</v>
      </c>
      <c r="H504" s="2">
        <v>2</v>
      </c>
      <c r="I504" s="2">
        <v>6.94</v>
      </c>
      <c r="J504" s="2">
        <v>145.74</v>
      </c>
      <c r="K504" s="5">
        <v>43492</v>
      </c>
      <c r="L504" s="4">
        <v>0.82499999999999996</v>
      </c>
      <c r="M504" s="3" t="s">
        <v>33</v>
      </c>
      <c r="N504" s="2">
        <v>138.80000000000001</v>
      </c>
      <c r="O504" s="2">
        <v>4.7619047620000003</v>
      </c>
      <c r="P504" s="2">
        <v>6.94</v>
      </c>
      <c r="Q504" s="2">
        <v>9</v>
      </c>
      <c r="R504" s="3" t="str">
        <f t="shared" si="16"/>
        <v>January</v>
      </c>
      <c r="S504" s="3">
        <f t="shared" si="15"/>
        <v>1</v>
      </c>
      <c r="T504" s="3" t="str">
        <f>IF(tbl_sales[[#This Row],[Sales]]&gt;=500,"High Value","Standard")</f>
        <v>Standard</v>
      </c>
      <c r="U504" s="1" t="str">
        <f>IF(tbl_sales[[#This Row],[Order Size]]="High Value","High Value Order","Standard Order")</f>
        <v>Standard Order</v>
      </c>
      <c r="V504" s="1"/>
      <c r="W504" s="17" t="s">
        <v>37</v>
      </c>
      <c r="X504" s="17"/>
      <c r="Y504" s="6"/>
      <c r="Z504" s="1" t="s">
        <v>37</v>
      </c>
    </row>
    <row r="505" spans="1:26">
      <c r="A505" s="3" t="s">
        <v>2968</v>
      </c>
      <c r="B505" s="3" t="s">
        <v>115</v>
      </c>
      <c r="C505" s="3" t="s">
        <v>116</v>
      </c>
      <c r="D505" s="3" t="s">
        <v>41</v>
      </c>
      <c r="E505" s="3" t="s">
        <v>25</v>
      </c>
      <c r="F505" s="3" t="s">
        <v>72</v>
      </c>
      <c r="G505" s="2">
        <v>93.31</v>
      </c>
      <c r="H505" s="2">
        <v>2</v>
      </c>
      <c r="I505" s="2">
        <v>9.3309999999999995</v>
      </c>
      <c r="J505" s="2">
        <v>195.95099999999999</v>
      </c>
      <c r="K505" s="5">
        <v>43549</v>
      </c>
      <c r="L505" s="4">
        <v>0.74513888888888891</v>
      </c>
      <c r="M505" s="3" t="s">
        <v>49</v>
      </c>
      <c r="N505" s="2">
        <v>186.62</v>
      </c>
      <c r="O505" s="2">
        <v>4.7619047620000003</v>
      </c>
      <c r="P505" s="2">
        <v>9.3309999999999995</v>
      </c>
      <c r="Q505" s="2">
        <v>6.3</v>
      </c>
      <c r="R505" s="3" t="str">
        <f t="shared" si="16"/>
        <v>March</v>
      </c>
      <c r="S505" s="3">
        <f t="shared" si="15"/>
        <v>3</v>
      </c>
      <c r="T505" s="3" t="str">
        <f>IF(tbl_sales[[#This Row],[Sales]]&gt;=500,"High Value","Standard")</f>
        <v>Standard</v>
      </c>
      <c r="U505" s="1" t="str">
        <f>IF(tbl_sales[[#This Row],[Order Size]]="High Value","High Value Order","Standard Order")</f>
        <v>Standard Order</v>
      </c>
      <c r="V505" s="1"/>
      <c r="W505" s="17" t="s">
        <v>37</v>
      </c>
      <c r="X505" s="17"/>
      <c r="Y505" s="6"/>
      <c r="Z505" s="1" t="s">
        <v>37</v>
      </c>
    </row>
    <row r="506" spans="1:26">
      <c r="A506" s="3" t="s">
        <v>2974</v>
      </c>
      <c r="B506" s="3" t="s">
        <v>115</v>
      </c>
      <c r="C506" s="3" t="s">
        <v>116</v>
      </c>
      <c r="D506" s="3" t="s">
        <v>41</v>
      </c>
      <c r="E506" s="3" t="s">
        <v>992</v>
      </c>
      <c r="F506" s="3" t="s">
        <v>72</v>
      </c>
      <c r="G506" s="2">
        <v>88.45</v>
      </c>
      <c r="H506" s="2">
        <v>1</v>
      </c>
      <c r="I506" s="2">
        <v>4.4225000000000003</v>
      </c>
      <c r="J506" s="2">
        <v>92.872500000000002</v>
      </c>
      <c r="K506" s="5">
        <v>43521</v>
      </c>
      <c r="L506" s="4">
        <v>0.69166666666666665</v>
      </c>
      <c r="M506" s="3" t="s">
        <v>59</v>
      </c>
      <c r="N506" s="2">
        <v>88.45</v>
      </c>
      <c r="O506" s="2">
        <v>4.7619047620000003</v>
      </c>
      <c r="P506" s="2">
        <v>4.4225000000000003</v>
      </c>
      <c r="Q506" s="2">
        <v>9.5</v>
      </c>
      <c r="R506" s="3" t="str">
        <f t="shared" si="16"/>
        <v>February</v>
      </c>
      <c r="S506" s="3">
        <f t="shared" si="15"/>
        <v>2</v>
      </c>
      <c r="T506" s="3" t="str">
        <f>IF(tbl_sales[[#This Row],[Sales]]&gt;=500,"High Value","Standard")</f>
        <v>Standard</v>
      </c>
      <c r="U506" s="1" t="str">
        <f>IF(tbl_sales[[#This Row],[Order Size]]="High Value","High Value Order","Standard Order")</f>
        <v>Standard Order</v>
      </c>
      <c r="V506" s="1"/>
      <c r="W506" s="17" t="s">
        <v>37</v>
      </c>
      <c r="X506" s="17"/>
      <c r="Y506" s="6"/>
      <c r="Z506" s="1" t="s">
        <v>37</v>
      </c>
    </row>
    <row r="507" spans="1:26">
      <c r="A507" s="3" t="s">
        <v>2979</v>
      </c>
      <c r="B507" s="3" t="s">
        <v>22</v>
      </c>
      <c r="C507" s="3" t="s">
        <v>23</v>
      </c>
      <c r="D507" s="3" t="s">
        <v>24</v>
      </c>
      <c r="E507" s="3" t="s">
        <v>992</v>
      </c>
      <c r="F507" s="3" t="s">
        <v>42</v>
      </c>
      <c r="G507" s="2">
        <v>24.18</v>
      </c>
      <c r="H507" s="2">
        <v>8</v>
      </c>
      <c r="I507" s="2">
        <v>9.6720000000000006</v>
      </c>
      <c r="J507" s="2">
        <v>203.11199999999999</v>
      </c>
      <c r="K507" s="5">
        <v>43493</v>
      </c>
      <c r="L507" s="4">
        <v>0.87083333333333335</v>
      </c>
      <c r="M507" s="3" t="s">
        <v>33</v>
      </c>
      <c r="N507" s="2">
        <v>193.44</v>
      </c>
      <c r="O507" s="2">
        <v>4.7619047620000003</v>
      </c>
      <c r="P507" s="2">
        <v>9.6720000000000006</v>
      </c>
      <c r="Q507" s="2">
        <v>9.8000000000000007</v>
      </c>
      <c r="R507" s="3" t="str">
        <f t="shared" si="16"/>
        <v>January</v>
      </c>
      <c r="S507" s="3">
        <f t="shared" si="15"/>
        <v>1</v>
      </c>
      <c r="T507" s="3" t="str">
        <f>IF(tbl_sales[[#This Row],[Sales]]&gt;=500,"High Value","Standard")</f>
        <v>Standard</v>
      </c>
      <c r="U507" s="1" t="str">
        <f>IF(tbl_sales[[#This Row],[Order Size]]="High Value","High Value Order","Standard Order")</f>
        <v>Standard Order</v>
      </c>
      <c r="V507" s="1"/>
      <c r="W507" s="17" t="s">
        <v>37</v>
      </c>
      <c r="X507" s="17"/>
      <c r="Y507" s="6"/>
      <c r="Z507" s="1" t="s">
        <v>37</v>
      </c>
    </row>
    <row r="508" spans="1:26">
      <c r="A508" s="3" t="s">
        <v>2984</v>
      </c>
      <c r="B508" s="3" t="s">
        <v>115</v>
      </c>
      <c r="C508" s="3" t="s">
        <v>116</v>
      </c>
      <c r="D508" s="3" t="s">
        <v>24</v>
      </c>
      <c r="E508" s="3" t="s">
        <v>25</v>
      </c>
      <c r="F508" s="3" t="s">
        <v>72</v>
      </c>
      <c r="G508" s="2">
        <v>48.5</v>
      </c>
      <c r="H508" s="2">
        <v>3</v>
      </c>
      <c r="I508" s="2">
        <v>7.2750000000000004</v>
      </c>
      <c r="J508" s="2">
        <v>152.77500000000001</v>
      </c>
      <c r="K508" s="5">
        <v>43473</v>
      </c>
      <c r="L508" s="4">
        <v>0.53472222222222221</v>
      </c>
      <c r="M508" s="3" t="s">
        <v>49</v>
      </c>
      <c r="N508" s="2">
        <v>145.5</v>
      </c>
      <c r="O508" s="2">
        <v>4.7619047620000003</v>
      </c>
      <c r="P508" s="2">
        <v>7.2750000000000004</v>
      </c>
      <c r="Q508" s="2">
        <v>6.7</v>
      </c>
      <c r="R508" s="3" t="str">
        <f t="shared" si="16"/>
        <v>January</v>
      </c>
      <c r="S508" s="3">
        <f t="shared" si="15"/>
        <v>1</v>
      </c>
      <c r="T508" s="3" t="str">
        <f>IF(tbl_sales[[#This Row],[Sales]]&gt;=500,"High Value","Standard")</f>
        <v>Standard</v>
      </c>
      <c r="U508" s="1" t="str">
        <f>IF(tbl_sales[[#This Row],[Order Size]]="High Value","High Value Order","Standard Order")</f>
        <v>Standard Order</v>
      </c>
      <c r="V508" s="1"/>
      <c r="W508" s="17" t="s">
        <v>37</v>
      </c>
      <c r="X508" s="17"/>
      <c r="Y508" s="6"/>
      <c r="Z508" s="1" t="s">
        <v>37</v>
      </c>
    </row>
    <row r="509" spans="1:26">
      <c r="A509" s="3" t="s">
        <v>2989</v>
      </c>
      <c r="B509" s="3" t="s">
        <v>115</v>
      </c>
      <c r="C509" s="3" t="s">
        <v>116</v>
      </c>
      <c r="D509" s="3" t="s">
        <v>41</v>
      </c>
      <c r="E509" s="3" t="s">
        <v>25</v>
      </c>
      <c r="F509" s="3" t="s">
        <v>117</v>
      </c>
      <c r="G509" s="2">
        <v>84.05</v>
      </c>
      <c r="H509" s="2">
        <v>6</v>
      </c>
      <c r="I509" s="2">
        <v>25.215</v>
      </c>
      <c r="J509" s="2">
        <v>529.51499999999999</v>
      </c>
      <c r="K509" s="5">
        <v>43494</v>
      </c>
      <c r="L509" s="4">
        <v>0.45</v>
      </c>
      <c r="M509" s="3" t="s">
        <v>59</v>
      </c>
      <c r="N509" s="2">
        <v>504.3</v>
      </c>
      <c r="O509" s="2">
        <v>4.7619047620000003</v>
      </c>
      <c r="P509" s="2">
        <v>25.215</v>
      </c>
      <c r="Q509" s="2">
        <v>7.7</v>
      </c>
      <c r="R509" s="3" t="str">
        <f t="shared" si="16"/>
        <v>January</v>
      </c>
      <c r="S509" s="3">
        <f t="shared" si="15"/>
        <v>1</v>
      </c>
      <c r="T509" s="3" t="str">
        <f>IF(tbl_sales[[#This Row],[Sales]]&gt;=500,"High Value","Standard")</f>
        <v>High Value</v>
      </c>
      <c r="U509" s="1" t="str">
        <f>IF(tbl_sales[[#This Row],[Order Size]]="High Value","High Value Order","Standard Order")</f>
        <v>High Value Order</v>
      </c>
      <c r="V509" s="1"/>
      <c r="W509" s="17" t="s">
        <v>37</v>
      </c>
      <c r="X509" s="17"/>
      <c r="Y509" s="6"/>
      <c r="Z509" s="1" t="s">
        <v>37</v>
      </c>
    </row>
    <row r="510" spans="1:26">
      <c r="A510" s="3" t="s">
        <v>2994</v>
      </c>
      <c r="B510" s="3" t="s">
        <v>115</v>
      </c>
      <c r="C510" s="3" t="s">
        <v>116</v>
      </c>
      <c r="D510" s="3" t="s">
        <v>24</v>
      </c>
      <c r="E510" s="3" t="s">
        <v>992</v>
      </c>
      <c r="F510" s="3" t="s">
        <v>26</v>
      </c>
      <c r="G510" s="2">
        <v>61.29</v>
      </c>
      <c r="H510" s="2">
        <v>5</v>
      </c>
      <c r="I510" s="2">
        <v>15.3225</v>
      </c>
      <c r="J510" s="2">
        <v>321.77249999999998</v>
      </c>
      <c r="K510" s="5">
        <v>43553</v>
      </c>
      <c r="L510" s="4">
        <v>0.60277777777777775</v>
      </c>
      <c r="M510" s="3" t="s">
        <v>49</v>
      </c>
      <c r="N510" s="2">
        <v>306.45</v>
      </c>
      <c r="O510" s="2">
        <v>4.7619047620000003</v>
      </c>
      <c r="P510" s="2">
        <v>15.3225</v>
      </c>
      <c r="Q510" s="2">
        <v>7</v>
      </c>
      <c r="R510" s="3" t="str">
        <f t="shared" si="16"/>
        <v>March</v>
      </c>
      <c r="S510" s="3">
        <f t="shared" si="15"/>
        <v>3</v>
      </c>
      <c r="T510" s="3" t="str">
        <f>IF(tbl_sales[[#This Row],[Sales]]&gt;=500,"High Value","Standard")</f>
        <v>Standard</v>
      </c>
      <c r="U510" s="1" t="str">
        <f>IF(tbl_sales[[#This Row],[Order Size]]="High Value","High Value Order","Standard Order")</f>
        <v>Standard Order</v>
      </c>
      <c r="V510" s="1"/>
      <c r="W510" s="17" t="s">
        <v>37</v>
      </c>
      <c r="X510" s="17"/>
      <c r="Y510" s="6"/>
      <c r="Z510" s="1" t="s">
        <v>37</v>
      </c>
    </row>
    <row r="511" spans="1:26">
      <c r="A511" s="3" t="s">
        <v>2999</v>
      </c>
      <c r="B511" s="3" t="s">
        <v>39</v>
      </c>
      <c r="C511" s="3" t="s">
        <v>40</v>
      </c>
      <c r="D511" s="3" t="s">
        <v>24</v>
      </c>
      <c r="E511" s="3" t="s">
        <v>25</v>
      </c>
      <c r="F511" s="3" t="s">
        <v>53</v>
      </c>
      <c r="G511" s="2">
        <v>15.95</v>
      </c>
      <c r="H511" s="2">
        <v>6</v>
      </c>
      <c r="I511" s="2">
        <v>4.7850000000000001</v>
      </c>
      <c r="J511" s="2">
        <v>100.485</v>
      </c>
      <c r="K511" s="5">
        <v>43505</v>
      </c>
      <c r="L511" s="4">
        <v>0.71875</v>
      </c>
      <c r="M511" s="3" t="s">
        <v>59</v>
      </c>
      <c r="N511" s="2">
        <v>95.7</v>
      </c>
      <c r="O511" s="2">
        <v>4.7619047620000003</v>
      </c>
      <c r="P511" s="2">
        <v>4.7850000000000001</v>
      </c>
      <c r="Q511" s="2">
        <v>5.0999999999999996</v>
      </c>
      <c r="R511" s="3" t="str">
        <f t="shared" si="16"/>
        <v>February</v>
      </c>
      <c r="S511" s="3">
        <f t="shared" si="15"/>
        <v>2</v>
      </c>
      <c r="T511" s="3" t="str">
        <f>IF(tbl_sales[[#This Row],[Sales]]&gt;=500,"High Value","Standard")</f>
        <v>Standard</v>
      </c>
      <c r="U511" s="1" t="str">
        <f>IF(tbl_sales[[#This Row],[Order Size]]="High Value","High Value Order","Standard Order")</f>
        <v>Standard Order</v>
      </c>
      <c r="V511" s="1"/>
      <c r="W511" s="17" t="s">
        <v>37</v>
      </c>
      <c r="X511" s="17"/>
      <c r="Y511" s="6"/>
      <c r="Z511" s="1" t="s">
        <v>37</v>
      </c>
    </row>
    <row r="512" spans="1:26">
      <c r="A512" s="3" t="s">
        <v>3004</v>
      </c>
      <c r="B512" s="3" t="s">
        <v>115</v>
      </c>
      <c r="C512" s="3" t="s">
        <v>116</v>
      </c>
      <c r="D512" s="3" t="s">
        <v>24</v>
      </c>
      <c r="E512" s="3" t="s">
        <v>25</v>
      </c>
      <c r="F512" s="3" t="s">
        <v>72</v>
      </c>
      <c r="G512" s="2">
        <v>90.74</v>
      </c>
      <c r="H512" s="2">
        <v>7</v>
      </c>
      <c r="I512" s="2">
        <v>31.759</v>
      </c>
      <c r="J512" s="2">
        <v>666.93899999999996</v>
      </c>
      <c r="K512" s="5">
        <v>43481</v>
      </c>
      <c r="L512" s="4">
        <v>0.75208333333333333</v>
      </c>
      <c r="M512" s="3" t="s">
        <v>59</v>
      </c>
      <c r="N512" s="2">
        <v>635.17999999999995</v>
      </c>
      <c r="O512" s="2">
        <v>4.7619047620000003</v>
      </c>
      <c r="P512" s="2">
        <v>31.759</v>
      </c>
      <c r="Q512" s="2">
        <v>6.2</v>
      </c>
      <c r="R512" s="3" t="str">
        <f t="shared" si="16"/>
        <v>January</v>
      </c>
      <c r="S512" s="3">
        <f t="shared" si="15"/>
        <v>1</v>
      </c>
      <c r="T512" s="3" t="str">
        <f>IF(tbl_sales[[#This Row],[Sales]]&gt;=500,"High Value","Standard")</f>
        <v>High Value</v>
      </c>
      <c r="U512" s="1" t="str">
        <f>IF(tbl_sales[[#This Row],[Order Size]]="High Value","High Value Order","Standard Order")</f>
        <v>High Value Order</v>
      </c>
      <c r="V512" s="1"/>
      <c r="W512" s="17" t="s">
        <v>37</v>
      </c>
      <c r="X512" s="17"/>
      <c r="Y512" s="6"/>
      <c r="Z512" s="1" t="s">
        <v>37</v>
      </c>
    </row>
    <row r="513" spans="1:26">
      <c r="A513" s="3" t="s">
        <v>3009</v>
      </c>
      <c r="B513" s="3" t="s">
        <v>22</v>
      </c>
      <c r="C513" s="3" t="s">
        <v>23</v>
      </c>
      <c r="D513" s="3" t="s">
        <v>41</v>
      </c>
      <c r="E513" s="3" t="s">
        <v>25</v>
      </c>
      <c r="F513" s="3" t="s">
        <v>53</v>
      </c>
      <c r="G513" s="2">
        <v>42.91</v>
      </c>
      <c r="H513" s="2">
        <v>5</v>
      </c>
      <c r="I513" s="2">
        <v>10.727499999999999</v>
      </c>
      <c r="J513" s="2">
        <v>225.2775</v>
      </c>
      <c r="K513" s="5">
        <v>43470</v>
      </c>
      <c r="L513" s="4">
        <v>0.72847222222222219</v>
      </c>
      <c r="M513" s="3" t="s">
        <v>33</v>
      </c>
      <c r="N513" s="2">
        <v>214.55</v>
      </c>
      <c r="O513" s="2">
        <v>4.7619047620000003</v>
      </c>
      <c r="P513" s="2">
        <v>10.727499999999999</v>
      </c>
      <c r="Q513" s="2">
        <v>6.1</v>
      </c>
      <c r="R513" s="3" t="str">
        <f t="shared" si="16"/>
        <v>January</v>
      </c>
      <c r="S513" s="3">
        <f t="shared" si="15"/>
        <v>1</v>
      </c>
      <c r="T513" s="3" t="str">
        <f>IF(tbl_sales[[#This Row],[Sales]]&gt;=500,"High Value","Standard")</f>
        <v>Standard</v>
      </c>
      <c r="U513" s="1" t="str">
        <f>IF(tbl_sales[[#This Row],[Order Size]]="High Value","High Value Order","Standard Order")</f>
        <v>Standard Order</v>
      </c>
      <c r="V513" s="1"/>
      <c r="W513" s="17" t="s">
        <v>37</v>
      </c>
      <c r="X513" s="17"/>
      <c r="Y513" s="6"/>
      <c r="Z513" s="1" t="s">
        <v>37</v>
      </c>
    </row>
    <row r="514" spans="1:26">
      <c r="A514" s="3" t="s">
        <v>3014</v>
      </c>
      <c r="B514" s="3" t="s">
        <v>22</v>
      </c>
      <c r="C514" s="3" t="s">
        <v>23</v>
      </c>
      <c r="D514" s="3" t="s">
        <v>41</v>
      </c>
      <c r="E514" s="3" t="s">
        <v>25</v>
      </c>
      <c r="F514" s="3" t="s">
        <v>127</v>
      </c>
      <c r="G514" s="2">
        <v>54.28</v>
      </c>
      <c r="H514" s="2">
        <v>7</v>
      </c>
      <c r="I514" s="2">
        <v>18.998000000000001</v>
      </c>
      <c r="J514" s="2">
        <v>398.95800000000003</v>
      </c>
      <c r="K514" s="5">
        <v>43492</v>
      </c>
      <c r="L514" s="4">
        <v>0.75347222222222221</v>
      </c>
      <c r="M514" s="3" t="s">
        <v>33</v>
      </c>
      <c r="N514" s="2">
        <v>379.96</v>
      </c>
      <c r="O514" s="2">
        <v>4.7619047620000003</v>
      </c>
      <c r="P514" s="2">
        <v>18.998000000000001</v>
      </c>
      <c r="Q514" s="2">
        <v>9.3000000000000007</v>
      </c>
      <c r="R514" s="3" t="str">
        <f t="shared" si="16"/>
        <v>January</v>
      </c>
      <c r="S514" s="3">
        <f t="shared" ref="S514:S577" si="17">MONTH(K514)</f>
        <v>1</v>
      </c>
      <c r="T514" s="3" t="str">
        <f>IF(tbl_sales[[#This Row],[Sales]]&gt;=500,"High Value","Standard")</f>
        <v>Standard</v>
      </c>
      <c r="U514" s="1" t="str">
        <f>IF(tbl_sales[[#This Row],[Order Size]]="High Value","High Value Order","Standard Order")</f>
        <v>Standard Order</v>
      </c>
      <c r="V514" s="1"/>
      <c r="W514" s="17" t="s">
        <v>37</v>
      </c>
      <c r="X514" s="17"/>
      <c r="Y514" s="6"/>
      <c r="Z514" s="1" t="s">
        <v>37</v>
      </c>
    </row>
    <row r="515" spans="1:26">
      <c r="A515" s="3" t="s">
        <v>3020</v>
      </c>
      <c r="B515" s="3" t="s">
        <v>22</v>
      </c>
      <c r="C515" s="3" t="s">
        <v>23</v>
      </c>
      <c r="D515" s="3" t="s">
        <v>41</v>
      </c>
      <c r="E515" s="3" t="s">
        <v>992</v>
      </c>
      <c r="F515" s="3" t="s">
        <v>42</v>
      </c>
      <c r="G515" s="2">
        <v>99.55</v>
      </c>
      <c r="H515" s="2">
        <v>7</v>
      </c>
      <c r="I515" s="2">
        <v>34.842500000000001</v>
      </c>
      <c r="J515" s="2">
        <v>731.6925</v>
      </c>
      <c r="K515" s="5">
        <v>43538</v>
      </c>
      <c r="L515" s="4">
        <v>0.50486111111111109</v>
      </c>
      <c r="M515" s="3" t="s">
        <v>49</v>
      </c>
      <c r="N515" s="2">
        <v>696.85</v>
      </c>
      <c r="O515" s="2">
        <v>4.7619047620000003</v>
      </c>
      <c r="P515" s="2">
        <v>34.842500000000001</v>
      </c>
      <c r="Q515" s="2">
        <v>7.6</v>
      </c>
      <c r="R515" s="3" t="str">
        <f t="shared" ref="R515:R578" si="18">TEXT(K515,"mmmm")</f>
        <v>March</v>
      </c>
      <c r="S515" s="3">
        <f t="shared" si="17"/>
        <v>3</v>
      </c>
      <c r="T515" s="3" t="str">
        <f>IF(tbl_sales[[#This Row],[Sales]]&gt;=500,"High Value","Standard")</f>
        <v>High Value</v>
      </c>
      <c r="U515" s="1" t="str">
        <f>IF(tbl_sales[[#This Row],[Order Size]]="High Value","High Value Order","Standard Order")</f>
        <v>High Value Order</v>
      </c>
      <c r="V515" s="1"/>
      <c r="W515" s="17" t="s">
        <v>37</v>
      </c>
      <c r="X515" s="17"/>
      <c r="Y515" s="6"/>
      <c r="Z515" s="1" t="s">
        <v>37</v>
      </c>
    </row>
    <row r="516" spans="1:26">
      <c r="A516" s="3" t="s">
        <v>3026</v>
      </c>
      <c r="B516" s="3" t="s">
        <v>39</v>
      </c>
      <c r="C516" s="3" t="s">
        <v>40</v>
      </c>
      <c r="D516" s="3" t="s">
        <v>24</v>
      </c>
      <c r="E516" s="3" t="s">
        <v>992</v>
      </c>
      <c r="F516" s="3" t="s">
        <v>72</v>
      </c>
      <c r="G516" s="2">
        <v>58.39</v>
      </c>
      <c r="H516" s="2">
        <v>7</v>
      </c>
      <c r="I516" s="2">
        <v>20.436499999999999</v>
      </c>
      <c r="J516" s="2">
        <v>429.16649999999998</v>
      </c>
      <c r="K516" s="5">
        <v>43519</v>
      </c>
      <c r="L516" s="4">
        <v>0.8256944444444444</v>
      </c>
      <c r="M516" s="3" t="s">
        <v>59</v>
      </c>
      <c r="N516" s="2">
        <v>408.73</v>
      </c>
      <c r="O516" s="2">
        <v>4.7619047620000003</v>
      </c>
      <c r="P516" s="2">
        <v>20.436499999999999</v>
      </c>
      <c r="Q516" s="2">
        <v>8.1999999999999993</v>
      </c>
      <c r="R516" s="3" t="str">
        <f t="shared" si="18"/>
        <v>February</v>
      </c>
      <c r="S516" s="3">
        <f t="shared" si="17"/>
        <v>2</v>
      </c>
      <c r="T516" s="3" t="str">
        <f>IF(tbl_sales[[#This Row],[Sales]]&gt;=500,"High Value","Standard")</f>
        <v>Standard</v>
      </c>
      <c r="U516" s="1" t="str">
        <f>IF(tbl_sales[[#This Row],[Order Size]]="High Value","High Value Order","Standard Order")</f>
        <v>Standard Order</v>
      </c>
      <c r="V516" s="1"/>
      <c r="W516" s="17" t="s">
        <v>37</v>
      </c>
      <c r="X516" s="17"/>
      <c r="Y516" s="6"/>
      <c r="Z516" s="1" t="s">
        <v>37</v>
      </c>
    </row>
    <row r="517" spans="1:26">
      <c r="A517" s="3" t="s">
        <v>3032</v>
      </c>
      <c r="B517" s="3" t="s">
        <v>39</v>
      </c>
      <c r="C517" s="3" t="s">
        <v>40</v>
      </c>
      <c r="D517" s="3" t="s">
        <v>24</v>
      </c>
      <c r="E517" s="3" t="s">
        <v>25</v>
      </c>
      <c r="F517" s="3" t="s">
        <v>127</v>
      </c>
      <c r="G517" s="2">
        <v>51.47</v>
      </c>
      <c r="H517" s="2">
        <v>1</v>
      </c>
      <c r="I517" s="2">
        <v>2.5735000000000001</v>
      </c>
      <c r="J517" s="2">
        <v>54.043500000000002</v>
      </c>
      <c r="K517" s="5">
        <v>43542</v>
      </c>
      <c r="L517" s="4">
        <v>0.66111111111111109</v>
      </c>
      <c r="M517" s="3" t="s">
        <v>33</v>
      </c>
      <c r="N517" s="2">
        <v>51.47</v>
      </c>
      <c r="O517" s="2">
        <v>4.7619047620000003</v>
      </c>
      <c r="P517" s="2">
        <v>2.5735000000000001</v>
      </c>
      <c r="Q517" s="2">
        <v>8.5</v>
      </c>
      <c r="R517" s="3" t="str">
        <f t="shared" si="18"/>
        <v>March</v>
      </c>
      <c r="S517" s="3">
        <f t="shared" si="17"/>
        <v>3</v>
      </c>
      <c r="T517" s="3" t="str">
        <f>IF(tbl_sales[[#This Row],[Sales]]&gt;=500,"High Value","Standard")</f>
        <v>Standard</v>
      </c>
      <c r="U517" s="1" t="str">
        <f>IF(tbl_sales[[#This Row],[Order Size]]="High Value","High Value Order","Standard Order")</f>
        <v>Standard Order</v>
      </c>
      <c r="V517" s="1"/>
      <c r="W517" s="17" t="s">
        <v>37</v>
      </c>
      <c r="X517" s="17"/>
      <c r="Y517" s="6"/>
      <c r="Z517" s="1" t="s">
        <v>37</v>
      </c>
    </row>
    <row r="518" spans="1:26">
      <c r="A518" s="3" t="s">
        <v>3037</v>
      </c>
      <c r="B518" s="3" t="s">
        <v>115</v>
      </c>
      <c r="C518" s="3" t="s">
        <v>116</v>
      </c>
      <c r="D518" s="3" t="s">
        <v>24</v>
      </c>
      <c r="E518" s="3" t="s">
        <v>992</v>
      </c>
      <c r="F518" s="3" t="s">
        <v>26</v>
      </c>
      <c r="G518" s="2">
        <v>54.86</v>
      </c>
      <c r="H518" s="2">
        <v>5</v>
      </c>
      <c r="I518" s="2">
        <v>13.715</v>
      </c>
      <c r="J518" s="2">
        <v>288.01499999999999</v>
      </c>
      <c r="K518" s="5">
        <v>43553</v>
      </c>
      <c r="L518" s="4">
        <v>0.7</v>
      </c>
      <c r="M518" s="3" t="s">
        <v>33</v>
      </c>
      <c r="N518" s="2">
        <v>274.3</v>
      </c>
      <c r="O518" s="2">
        <v>4.7619047620000003</v>
      </c>
      <c r="P518" s="2">
        <v>13.715</v>
      </c>
      <c r="Q518" s="2">
        <v>9.8000000000000007</v>
      </c>
      <c r="R518" s="3" t="str">
        <f t="shared" si="18"/>
        <v>March</v>
      </c>
      <c r="S518" s="3">
        <f t="shared" si="17"/>
        <v>3</v>
      </c>
      <c r="T518" s="3" t="str">
        <f>IF(tbl_sales[[#This Row],[Sales]]&gt;=500,"High Value","Standard")</f>
        <v>Standard</v>
      </c>
      <c r="U518" s="1" t="str">
        <f>IF(tbl_sales[[#This Row],[Order Size]]="High Value","High Value Order","Standard Order")</f>
        <v>Standard Order</v>
      </c>
      <c r="V518" s="1"/>
      <c r="W518" s="17" t="s">
        <v>37</v>
      </c>
      <c r="X518" s="17"/>
      <c r="Y518" s="6"/>
      <c r="Z518" s="1" t="s">
        <v>37</v>
      </c>
    </row>
    <row r="519" spans="1:26">
      <c r="A519" s="3" t="s">
        <v>3042</v>
      </c>
      <c r="B519" s="3" t="s">
        <v>39</v>
      </c>
      <c r="C519" s="3" t="s">
        <v>40</v>
      </c>
      <c r="D519" s="3" t="s">
        <v>24</v>
      </c>
      <c r="E519" s="3" t="s">
        <v>992</v>
      </c>
      <c r="F519" s="3" t="s">
        <v>53</v>
      </c>
      <c r="G519" s="2">
        <v>39.39</v>
      </c>
      <c r="H519" s="2">
        <v>5</v>
      </c>
      <c r="I519" s="2">
        <v>9.8475000000000001</v>
      </c>
      <c r="J519" s="2">
        <v>206.79750000000001</v>
      </c>
      <c r="K519" s="5">
        <v>43487</v>
      </c>
      <c r="L519" s="4">
        <v>0.86527777777777781</v>
      </c>
      <c r="M519" s="3" t="s">
        <v>59</v>
      </c>
      <c r="N519" s="2">
        <v>196.95</v>
      </c>
      <c r="O519" s="2">
        <v>4.7619047620000003</v>
      </c>
      <c r="P519" s="2">
        <v>9.8475000000000001</v>
      </c>
      <c r="Q519" s="2">
        <v>8.6999999999999993</v>
      </c>
      <c r="R519" s="3" t="str">
        <f t="shared" si="18"/>
        <v>January</v>
      </c>
      <c r="S519" s="3">
        <f t="shared" si="17"/>
        <v>1</v>
      </c>
      <c r="T519" s="3" t="str">
        <f>IF(tbl_sales[[#This Row],[Sales]]&gt;=500,"High Value","Standard")</f>
        <v>Standard</v>
      </c>
      <c r="U519" s="1" t="str">
        <f>IF(tbl_sales[[#This Row],[Order Size]]="High Value","High Value Order","Standard Order")</f>
        <v>Standard Order</v>
      </c>
      <c r="V519" s="1"/>
      <c r="W519" s="17" t="s">
        <v>37</v>
      </c>
      <c r="X519" s="17"/>
      <c r="Y519" s="6"/>
      <c r="Z519" s="1" t="s">
        <v>37</v>
      </c>
    </row>
    <row r="520" spans="1:26">
      <c r="A520" s="3" t="s">
        <v>3048</v>
      </c>
      <c r="B520" s="3" t="s">
        <v>22</v>
      </c>
      <c r="C520" s="3" t="s">
        <v>23</v>
      </c>
      <c r="D520" s="3" t="s">
        <v>41</v>
      </c>
      <c r="E520" s="3" t="s">
        <v>992</v>
      </c>
      <c r="F520" s="3" t="s">
        <v>53</v>
      </c>
      <c r="G520" s="2">
        <v>34.729999999999997</v>
      </c>
      <c r="H520" s="2">
        <v>2</v>
      </c>
      <c r="I520" s="2">
        <v>3.4729999999999999</v>
      </c>
      <c r="J520" s="2">
        <v>72.933000000000007</v>
      </c>
      <c r="K520" s="5">
        <v>43525</v>
      </c>
      <c r="L520" s="4">
        <v>0.75972222222222219</v>
      </c>
      <c r="M520" s="3" t="s">
        <v>33</v>
      </c>
      <c r="N520" s="2">
        <v>69.459999999999994</v>
      </c>
      <c r="O520" s="2">
        <v>4.7619047620000003</v>
      </c>
      <c r="P520" s="2">
        <v>3.4729999999999999</v>
      </c>
      <c r="Q520" s="2">
        <v>9.6999999999999993</v>
      </c>
      <c r="R520" s="3" t="str">
        <f t="shared" si="18"/>
        <v>March</v>
      </c>
      <c r="S520" s="3">
        <f t="shared" si="17"/>
        <v>3</v>
      </c>
      <c r="T520" s="3" t="str">
        <f>IF(tbl_sales[[#This Row],[Sales]]&gt;=500,"High Value","Standard")</f>
        <v>Standard</v>
      </c>
      <c r="U520" s="1" t="str">
        <f>IF(tbl_sales[[#This Row],[Order Size]]="High Value","High Value Order","Standard Order")</f>
        <v>Standard Order</v>
      </c>
      <c r="V520" s="1"/>
      <c r="W520" s="17" t="s">
        <v>37</v>
      </c>
      <c r="X520" s="17"/>
      <c r="Y520" s="6"/>
      <c r="Z520" s="1" t="s">
        <v>37</v>
      </c>
    </row>
    <row r="521" spans="1:26">
      <c r="A521" s="3" t="s">
        <v>3053</v>
      </c>
      <c r="B521" s="3" t="s">
        <v>39</v>
      </c>
      <c r="C521" s="3" t="s">
        <v>40</v>
      </c>
      <c r="D521" s="3" t="s">
        <v>24</v>
      </c>
      <c r="E521" s="3" t="s">
        <v>992</v>
      </c>
      <c r="F521" s="3" t="s">
        <v>72</v>
      </c>
      <c r="G521" s="2">
        <v>71.92</v>
      </c>
      <c r="H521" s="2">
        <v>5</v>
      </c>
      <c r="I521" s="2">
        <v>17.98</v>
      </c>
      <c r="J521" s="2">
        <v>377.58</v>
      </c>
      <c r="K521" s="5">
        <v>43482</v>
      </c>
      <c r="L521" s="4">
        <v>0.62847222222222221</v>
      </c>
      <c r="M521" s="3" t="s">
        <v>59</v>
      </c>
      <c r="N521" s="2">
        <v>359.6</v>
      </c>
      <c r="O521" s="2">
        <v>4.7619047620000003</v>
      </c>
      <c r="P521" s="2">
        <v>17.98</v>
      </c>
      <c r="Q521" s="2">
        <v>4.3</v>
      </c>
      <c r="R521" s="3" t="str">
        <f t="shared" si="18"/>
        <v>January</v>
      </c>
      <c r="S521" s="3">
        <f t="shared" si="17"/>
        <v>1</v>
      </c>
      <c r="T521" s="3" t="str">
        <f>IF(tbl_sales[[#This Row],[Sales]]&gt;=500,"High Value","Standard")</f>
        <v>Standard</v>
      </c>
      <c r="U521" s="1" t="str">
        <f>IF(tbl_sales[[#This Row],[Order Size]]="High Value","High Value Order","Standard Order")</f>
        <v>Standard Order</v>
      </c>
      <c r="V521" s="1"/>
      <c r="W521" s="17" t="s">
        <v>37</v>
      </c>
      <c r="X521" s="17"/>
      <c r="Y521" s="6"/>
      <c r="Z521" s="1" t="s">
        <v>37</v>
      </c>
    </row>
    <row r="522" spans="1:26">
      <c r="A522" s="3" t="s">
        <v>3058</v>
      </c>
      <c r="B522" s="3" t="s">
        <v>115</v>
      </c>
      <c r="C522" s="3" t="s">
        <v>116</v>
      </c>
      <c r="D522" s="3" t="s">
        <v>41</v>
      </c>
      <c r="E522" s="3" t="s">
        <v>25</v>
      </c>
      <c r="F522" s="3" t="s">
        <v>42</v>
      </c>
      <c r="G522" s="2">
        <v>45.71</v>
      </c>
      <c r="H522" s="2">
        <v>3</v>
      </c>
      <c r="I522" s="2">
        <v>6.8564999999999996</v>
      </c>
      <c r="J522" s="2">
        <v>143.98650000000001</v>
      </c>
      <c r="K522" s="5">
        <v>43550</v>
      </c>
      <c r="L522" s="4">
        <v>0.44027777777777777</v>
      </c>
      <c r="M522" s="3" t="s">
        <v>59</v>
      </c>
      <c r="N522" s="2">
        <v>137.13</v>
      </c>
      <c r="O522" s="2">
        <v>4.7619047620000003</v>
      </c>
      <c r="P522" s="2">
        <v>6.8564999999999996</v>
      </c>
      <c r="Q522" s="2">
        <v>7.7</v>
      </c>
      <c r="R522" s="3" t="str">
        <f t="shared" si="18"/>
        <v>March</v>
      </c>
      <c r="S522" s="3">
        <f t="shared" si="17"/>
        <v>3</v>
      </c>
      <c r="T522" s="3" t="str">
        <f>IF(tbl_sales[[#This Row],[Sales]]&gt;=500,"High Value","Standard")</f>
        <v>Standard</v>
      </c>
      <c r="U522" s="1" t="str">
        <f>IF(tbl_sales[[#This Row],[Order Size]]="High Value","High Value Order","Standard Order")</f>
        <v>Standard Order</v>
      </c>
      <c r="V522" s="1"/>
      <c r="W522" s="17" t="s">
        <v>37</v>
      </c>
      <c r="X522" s="17"/>
      <c r="Y522" s="6"/>
      <c r="Z522" s="1" t="s">
        <v>37</v>
      </c>
    </row>
    <row r="523" spans="1:26">
      <c r="A523" s="3" t="s">
        <v>3064</v>
      </c>
      <c r="B523" s="3" t="s">
        <v>39</v>
      </c>
      <c r="C523" s="3" t="s">
        <v>40</v>
      </c>
      <c r="D523" s="3" t="s">
        <v>24</v>
      </c>
      <c r="E523" s="3" t="s">
        <v>25</v>
      </c>
      <c r="F523" s="3" t="s">
        <v>53</v>
      </c>
      <c r="G523" s="2">
        <v>83.17</v>
      </c>
      <c r="H523" s="2">
        <v>6</v>
      </c>
      <c r="I523" s="2">
        <v>24.951000000000001</v>
      </c>
      <c r="J523" s="2">
        <v>523.971</v>
      </c>
      <c r="K523" s="5">
        <v>43544</v>
      </c>
      <c r="L523" s="4">
        <v>0.47430555555555554</v>
      </c>
      <c r="M523" s="3" t="s">
        <v>49</v>
      </c>
      <c r="N523" s="2">
        <v>499.02</v>
      </c>
      <c r="O523" s="2">
        <v>4.7619047620000003</v>
      </c>
      <c r="P523" s="2">
        <v>24.951000000000001</v>
      </c>
      <c r="Q523" s="2">
        <v>7.3</v>
      </c>
      <c r="R523" s="3" t="str">
        <f t="shared" si="18"/>
        <v>March</v>
      </c>
      <c r="S523" s="3">
        <f t="shared" si="17"/>
        <v>3</v>
      </c>
      <c r="T523" s="3" t="str">
        <f>IF(tbl_sales[[#This Row],[Sales]]&gt;=500,"High Value","Standard")</f>
        <v>High Value</v>
      </c>
      <c r="U523" s="1" t="str">
        <f>IF(tbl_sales[[#This Row],[Order Size]]="High Value","High Value Order","Standard Order")</f>
        <v>High Value Order</v>
      </c>
      <c r="V523" s="1"/>
      <c r="W523" s="17" t="s">
        <v>37</v>
      </c>
      <c r="X523" s="17"/>
      <c r="Y523" s="6"/>
      <c r="Z523" s="1" t="s">
        <v>37</v>
      </c>
    </row>
    <row r="524" spans="1:26">
      <c r="A524" s="3" t="s">
        <v>3069</v>
      </c>
      <c r="B524" s="3" t="s">
        <v>22</v>
      </c>
      <c r="C524" s="3" t="s">
        <v>23</v>
      </c>
      <c r="D524" s="3" t="s">
        <v>24</v>
      </c>
      <c r="E524" s="3" t="s">
        <v>25</v>
      </c>
      <c r="F524" s="3" t="s">
        <v>53</v>
      </c>
      <c r="G524" s="2">
        <v>37.44</v>
      </c>
      <c r="H524" s="2">
        <v>6</v>
      </c>
      <c r="I524" s="2">
        <v>11.231999999999999</v>
      </c>
      <c r="J524" s="2">
        <v>235.87200000000001</v>
      </c>
      <c r="K524" s="5">
        <v>43502</v>
      </c>
      <c r="L524" s="4">
        <v>0.57986111111111116</v>
      </c>
      <c r="M524" s="3" t="s">
        <v>59</v>
      </c>
      <c r="N524" s="2">
        <v>224.64</v>
      </c>
      <c r="O524" s="2">
        <v>4.7619047620000003</v>
      </c>
      <c r="P524" s="2">
        <v>11.231999999999999</v>
      </c>
      <c r="Q524" s="2">
        <v>5.9</v>
      </c>
      <c r="R524" s="3" t="str">
        <f t="shared" si="18"/>
        <v>February</v>
      </c>
      <c r="S524" s="3">
        <f t="shared" si="17"/>
        <v>2</v>
      </c>
      <c r="T524" s="3" t="str">
        <f>IF(tbl_sales[[#This Row],[Sales]]&gt;=500,"High Value","Standard")</f>
        <v>Standard</v>
      </c>
      <c r="U524" s="1" t="str">
        <f>IF(tbl_sales[[#This Row],[Order Size]]="High Value","High Value Order","Standard Order")</f>
        <v>Standard Order</v>
      </c>
      <c r="V524" s="1"/>
      <c r="W524" s="17" t="s">
        <v>37</v>
      </c>
      <c r="X524" s="17"/>
      <c r="Y524" s="6"/>
      <c r="Z524" s="1" t="s">
        <v>37</v>
      </c>
    </row>
    <row r="525" spans="1:26">
      <c r="A525" s="3" t="s">
        <v>3075</v>
      </c>
      <c r="B525" s="3" t="s">
        <v>39</v>
      </c>
      <c r="C525" s="3" t="s">
        <v>40</v>
      </c>
      <c r="D525" s="3" t="s">
        <v>41</v>
      </c>
      <c r="E525" s="3" t="s">
        <v>992</v>
      </c>
      <c r="F525" s="3" t="s">
        <v>26</v>
      </c>
      <c r="G525" s="2">
        <v>62.87</v>
      </c>
      <c r="H525" s="2">
        <v>2</v>
      </c>
      <c r="I525" s="2">
        <v>6.2869999999999999</v>
      </c>
      <c r="J525" s="2">
        <v>132.02699999999999</v>
      </c>
      <c r="K525" s="5">
        <v>43466</v>
      </c>
      <c r="L525" s="4">
        <v>0.48819444444444443</v>
      </c>
      <c r="M525" s="3" t="s">
        <v>49</v>
      </c>
      <c r="N525" s="2">
        <v>125.74</v>
      </c>
      <c r="O525" s="2">
        <v>4.7619047620000003</v>
      </c>
      <c r="P525" s="2">
        <v>6.2869999999999999</v>
      </c>
      <c r="Q525" s="2">
        <v>5</v>
      </c>
      <c r="R525" s="3" t="str">
        <f t="shared" si="18"/>
        <v>January</v>
      </c>
      <c r="S525" s="3">
        <f t="shared" si="17"/>
        <v>1</v>
      </c>
      <c r="T525" s="3" t="str">
        <f>IF(tbl_sales[[#This Row],[Sales]]&gt;=500,"High Value","Standard")</f>
        <v>Standard</v>
      </c>
      <c r="U525" s="1" t="str">
        <f>IF(tbl_sales[[#This Row],[Order Size]]="High Value","High Value Order","Standard Order")</f>
        <v>Standard Order</v>
      </c>
      <c r="V525" s="1"/>
      <c r="W525" s="17" t="s">
        <v>37</v>
      </c>
      <c r="X525" s="17"/>
      <c r="Y525" s="6"/>
      <c r="Z525" s="1" t="s">
        <v>37</v>
      </c>
    </row>
    <row r="526" spans="1:26">
      <c r="A526" s="3" t="s">
        <v>3081</v>
      </c>
      <c r="B526" s="3" t="s">
        <v>22</v>
      </c>
      <c r="C526" s="3" t="s">
        <v>23</v>
      </c>
      <c r="D526" s="3" t="s">
        <v>41</v>
      </c>
      <c r="E526" s="3" t="s">
        <v>992</v>
      </c>
      <c r="F526" s="3" t="s">
        <v>117</v>
      </c>
      <c r="G526" s="2">
        <v>81.709999999999994</v>
      </c>
      <c r="H526" s="2">
        <v>6</v>
      </c>
      <c r="I526" s="2">
        <v>24.513000000000002</v>
      </c>
      <c r="J526" s="2">
        <v>514.77300000000002</v>
      </c>
      <c r="K526" s="5">
        <v>43492</v>
      </c>
      <c r="L526" s="4">
        <v>0.60833333333333328</v>
      </c>
      <c r="M526" s="3" t="s">
        <v>59</v>
      </c>
      <c r="N526" s="2">
        <v>490.26</v>
      </c>
      <c r="O526" s="2">
        <v>4.7619047620000003</v>
      </c>
      <c r="P526" s="2">
        <v>24.513000000000002</v>
      </c>
      <c r="Q526" s="2">
        <v>8</v>
      </c>
      <c r="R526" s="3" t="str">
        <f t="shared" si="18"/>
        <v>January</v>
      </c>
      <c r="S526" s="3">
        <f t="shared" si="17"/>
        <v>1</v>
      </c>
      <c r="T526" s="3" t="str">
        <f>IF(tbl_sales[[#This Row],[Sales]]&gt;=500,"High Value","Standard")</f>
        <v>High Value</v>
      </c>
      <c r="U526" s="1" t="str">
        <f>IF(tbl_sales[[#This Row],[Order Size]]="High Value","High Value Order","Standard Order")</f>
        <v>High Value Order</v>
      </c>
      <c r="V526" s="1"/>
      <c r="W526" s="17" t="s">
        <v>37</v>
      </c>
      <c r="X526" s="17"/>
      <c r="Y526" s="6"/>
      <c r="Z526" s="1" t="s">
        <v>37</v>
      </c>
    </row>
    <row r="527" spans="1:26">
      <c r="A527" s="3" t="s">
        <v>3086</v>
      </c>
      <c r="B527" s="3" t="s">
        <v>22</v>
      </c>
      <c r="C527" s="3" t="s">
        <v>23</v>
      </c>
      <c r="D527" s="3" t="s">
        <v>24</v>
      </c>
      <c r="E527" s="3" t="s">
        <v>25</v>
      </c>
      <c r="F527" s="3" t="s">
        <v>72</v>
      </c>
      <c r="G527" s="2">
        <v>91.41</v>
      </c>
      <c r="H527" s="2">
        <v>5</v>
      </c>
      <c r="I527" s="2">
        <v>22.852499999999999</v>
      </c>
      <c r="J527" s="2">
        <v>479.90249999999997</v>
      </c>
      <c r="K527" s="5">
        <v>43521</v>
      </c>
      <c r="L527" s="4">
        <v>0.66874999999999996</v>
      </c>
      <c r="M527" s="3" t="s">
        <v>33</v>
      </c>
      <c r="N527" s="2">
        <v>457.05</v>
      </c>
      <c r="O527" s="2">
        <v>4.7619047620000003</v>
      </c>
      <c r="P527" s="2">
        <v>22.852499999999999</v>
      </c>
      <c r="Q527" s="2">
        <v>7.1</v>
      </c>
      <c r="R527" s="3" t="str">
        <f t="shared" si="18"/>
        <v>February</v>
      </c>
      <c r="S527" s="3">
        <f t="shared" si="17"/>
        <v>2</v>
      </c>
      <c r="T527" s="3" t="str">
        <f>IF(tbl_sales[[#This Row],[Sales]]&gt;=500,"High Value","Standard")</f>
        <v>Standard</v>
      </c>
      <c r="U527" s="1" t="str">
        <f>IF(tbl_sales[[#This Row],[Order Size]]="High Value","High Value Order","Standard Order")</f>
        <v>Standard Order</v>
      </c>
      <c r="V527" s="1"/>
      <c r="W527" s="17" t="s">
        <v>37</v>
      </c>
      <c r="X527" s="17"/>
      <c r="Y527" s="6"/>
      <c r="Z527" s="1" t="s">
        <v>37</v>
      </c>
    </row>
    <row r="528" spans="1:26">
      <c r="A528" s="3" t="s">
        <v>3092</v>
      </c>
      <c r="B528" s="3" t="s">
        <v>115</v>
      </c>
      <c r="C528" s="3" t="s">
        <v>116</v>
      </c>
      <c r="D528" s="3" t="s">
        <v>41</v>
      </c>
      <c r="E528" s="3" t="s">
        <v>992</v>
      </c>
      <c r="F528" s="3" t="s">
        <v>127</v>
      </c>
      <c r="G528" s="2">
        <v>39.21</v>
      </c>
      <c r="H528" s="2">
        <v>4</v>
      </c>
      <c r="I528" s="2">
        <v>7.8419999999999996</v>
      </c>
      <c r="J528" s="2">
        <v>164.68199999999999</v>
      </c>
      <c r="K528" s="5">
        <v>43481</v>
      </c>
      <c r="L528" s="4">
        <v>0.8354166666666667</v>
      </c>
      <c r="M528" s="3" t="s">
        <v>59</v>
      </c>
      <c r="N528" s="2">
        <v>156.84</v>
      </c>
      <c r="O528" s="2">
        <v>4.7619047620000003</v>
      </c>
      <c r="P528" s="2">
        <v>7.8419999999999996</v>
      </c>
      <c r="Q528" s="2">
        <v>9</v>
      </c>
      <c r="R528" s="3" t="str">
        <f t="shared" si="18"/>
        <v>January</v>
      </c>
      <c r="S528" s="3">
        <f t="shared" si="17"/>
        <v>1</v>
      </c>
      <c r="T528" s="3" t="str">
        <f>IF(tbl_sales[[#This Row],[Sales]]&gt;=500,"High Value","Standard")</f>
        <v>Standard</v>
      </c>
      <c r="U528" s="1" t="str">
        <f>IF(tbl_sales[[#This Row],[Order Size]]="High Value","High Value Order","Standard Order")</f>
        <v>Standard Order</v>
      </c>
      <c r="V528" s="1"/>
      <c r="W528" s="17" t="s">
        <v>37</v>
      </c>
      <c r="X528" s="17"/>
      <c r="Y528" s="6"/>
      <c r="Z528" s="1" t="s">
        <v>37</v>
      </c>
    </row>
    <row r="529" spans="1:26">
      <c r="A529" s="3" t="s">
        <v>3098</v>
      </c>
      <c r="B529" s="3" t="s">
        <v>115</v>
      </c>
      <c r="C529" s="3" t="s">
        <v>116</v>
      </c>
      <c r="D529" s="3" t="s">
        <v>24</v>
      </c>
      <c r="E529" s="3" t="s">
        <v>992</v>
      </c>
      <c r="F529" s="3" t="s">
        <v>127</v>
      </c>
      <c r="G529" s="2">
        <v>59.86</v>
      </c>
      <c r="H529" s="2">
        <v>2</v>
      </c>
      <c r="I529" s="2">
        <v>5.9859999999999998</v>
      </c>
      <c r="J529" s="2">
        <v>125.706</v>
      </c>
      <c r="K529" s="5">
        <v>43478</v>
      </c>
      <c r="L529" s="4">
        <v>0.62152777777777779</v>
      </c>
      <c r="M529" s="3" t="s">
        <v>33</v>
      </c>
      <c r="N529" s="2">
        <v>119.72</v>
      </c>
      <c r="O529" s="2">
        <v>4.7619047620000003</v>
      </c>
      <c r="P529" s="2">
        <v>5.9859999999999998</v>
      </c>
      <c r="Q529" s="2">
        <v>6.7</v>
      </c>
      <c r="R529" s="3" t="str">
        <f t="shared" si="18"/>
        <v>January</v>
      </c>
      <c r="S529" s="3">
        <f t="shared" si="17"/>
        <v>1</v>
      </c>
      <c r="T529" s="3" t="str">
        <f>IF(tbl_sales[[#This Row],[Sales]]&gt;=500,"High Value","Standard")</f>
        <v>Standard</v>
      </c>
      <c r="U529" s="1" t="str">
        <f>IF(tbl_sales[[#This Row],[Order Size]]="High Value","High Value Order","Standard Order")</f>
        <v>Standard Order</v>
      </c>
      <c r="V529" s="1"/>
      <c r="W529" s="17" t="s">
        <v>37</v>
      </c>
      <c r="X529" s="17"/>
      <c r="Y529" s="6"/>
      <c r="Z529" s="1" t="s">
        <v>37</v>
      </c>
    </row>
    <row r="530" spans="1:26">
      <c r="A530" s="3" t="s">
        <v>3103</v>
      </c>
      <c r="B530" s="3" t="s">
        <v>115</v>
      </c>
      <c r="C530" s="3" t="s">
        <v>116</v>
      </c>
      <c r="D530" s="3" t="s">
        <v>24</v>
      </c>
      <c r="E530" s="3" t="s">
        <v>25</v>
      </c>
      <c r="F530" s="3" t="s">
        <v>117</v>
      </c>
      <c r="G530" s="2">
        <v>54.36</v>
      </c>
      <c r="H530" s="2">
        <v>10</v>
      </c>
      <c r="I530" s="2">
        <v>27.18</v>
      </c>
      <c r="J530" s="2">
        <v>570.78</v>
      </c>
      <c r="K530" s="5">
        <v>43503</v>
      </c>
      <c r="L530" s="4">
        <v>0.4777777777777778</v>
      </c>
      <c r="M530" s="3" t="s">
        <v>59</v>
      </c>
      <c r="N530" s="2">
        <v>543.6</v>
      </c>
      <c r="O530" s="2">
        <v>4.7619047620000003</v>
      </c>
      <c r="P530" s="2">
        <v>27.18</v>
      </c>
      <c r="Q530" s="2">
        <v>6.1</v>
      </c>
      <c r="R530" s="3" t="str">
        <f t="shared" si="18"/>
        <v>February</v>
      </c>
      <c r="S530" s="3">
        <f t="shared" si="17"/>
        <v>2</v>
      </c>
      <c r="T530" s="3" t="str">
        <f>IF(tbl_sales[[#This Row],[Sales]]&gt;=500,"High Value","Standard")</f>
        <v>High Value</v>
      </c>
      <c r="U530" s="1" t="str">
        <f>IF(tbl_sales[[#This Row],[Order Size]]="High Value","High Value Order","Standard Order")</f>
        <v>High Value Order</v>
      </c>
      <c r="V530" s="1"/>
      <c r="W530" s="17" t="s">
        <v>37</v>
      </c>
      <c r="X530" s="17"/>
      <c r="Y530" s="6"/>
      <c r="Z530" s="1" t="s">
        <v>37</v>
      </c>
    </row>
    <row r="531" spans="1:26">
      <c r="A531" s="3" t="s">
        <v>3108</v>
      </c>
      <c r="B531" s="3" t="s">
        <v>22</v>
      </c>
      <c r="C531" s="3" t="s">
        <v>23</v>
      </c>
      <c r="D531" s="3" t="s">
        <v>41</v>
      </c>
      <c r="E531" s="3" t="s">
        <v>992</v>
      </c>
      <c r="F531" s="3" t="s">
        <v>72</v>
      </c>
      <c r="G531" s="2">
        <v>98.09</v>
      </c>
      <c r="H531" s="2">
        <v>9</v>
      </c>
      <c r="I531" s="2">
        <v>44.140500000000003</v>
      </c>
      <c r="J531" s="2">
        <v>926.95050000000003</v>
      </c>
      <c r="K531" s="5">
        <v>43513</v>
      </c>
      <c r="L531" s="4">
        <v>0.82013888888888886</v>
      </c>
      <c r="M531" s="3" t="s">
        <v>49</v>
      </c>
      <c r="N531" s="2">
        <v>882.81</v>
      </c>
      <c r="O531" s="2">
        <v>4.7619047620000003</v>
      </c>
      <c r="P531" s="2">
        <v>44.140500000000003</v>
      </c>
      <c r="Q531" s="2">
        <v>9.3000000000000007</v>
      </c>
      <c r="R531" s="3" t="str">
        <f t="shared" si="18"/>
        <v>February</v>
      </c>
      <c r="S531" s="3">
        <f t="shared" si="17"/>
        <v>2</v>
      </c>
      <c r="T531" s="3" t="str">
        <f>IF(tbl_sales[[#This Row],[Sales]]&gt;=500,"High Value","Standard")</f>
        <v>High Value</v>
      </c>
      <c r="U531" s="1" t="str">
        <f>IF(tbl_sales[[#This Row],[Order Size]]="High Value","High Value Order","Standard Order")</f>
        <v>High Value Order</v>
      </c>
      <c r="V531" s="1"/>
      <c r="W531" s="17" t="s">
        <v>37</v>
      </c>
      <c r="X531" s="17"/>
      <c r="Y531" s="6"/>
      <c r="Z531" s="1" t="s">
        <v>37</v>
      </c>
    </row>
    <row r="532" spans="1:26">
      <c r="A532" s="3" t="s">
        <v>3114</v>
      </c>
      <c r="B532" s="3" t="s">
        <v>22</v>
      </c>
      <c r="C532" s="3" t="s">
        <v>23</v>
      </c>
      <c r="D532" s="3" t="s">
        <v>41</v>
      </c>
      <c r="E532" s="3" t="s">
        <v>992</v>
      </c>
      <c r="F532" s="3" t="s">
        <v>26</v>
      </c>
      <c r="G532" s="2">
        <v>25.43</v>
      </c>
      <c r="H532" s="2">
        <v>6</v>
      </c>
      <c r="I532" s="2">
        <v>7.6289999999999996</v>
      </c>
      <c r="J532" s="2">
        <v>160.209</v>
      </c>
      <c r="K532" s="5">
        <v>43508</v>
      </c>
      <c r="L532" s="4">
        <v>0.79236111111111107</v>
      </c>
      <c r="M532" s="3" t="s">
        <v>33</v>
      </c>
      <c r="N532" s="2">
        <v>152.58000000000001</v>
      </c>
      <c r="O532" s="2">
        <v>4.7619047620000003</v>
      </c>
      <c r="P532" s="2">
        <v>7.6289999999999996</v>
      </c>
      <c r="Q532" s="2">
        <v>7</v>
      </c>
      <c r="R532" s="3" t="str">
        <f t="shared" si="18"/>
        <v>February</v>
      </c>
      <c r="S532" s="3">
        <f t="shared" si="17"/>
        <v>2</v>
      </c>
      <c r="T532" s="3" t="str">
        <f>IF(tbl_sales[[#This Row],[Sales]]&gt;=500,"High Value","Standard")</f>
        <v>Standard</v>
      </c>
      <c r="U532" s="1" t="str">
        <f>IF(tbl_sales[[#This Row],[Order Size]]="High Value","High Value Order","Standard Order")</f>
        <v>Standard Order</v>
      </c>
      <c r="V532" s="1"/>
      <c r="W532" s="17" t="s">
        <v>37</v>
      </c>
      <c r="X532" s="17"/>
      <c r="Y532" s="6"/>
      <c r="Z532" s="1" t="s">
        <v>37</v>
      </c>
    </row>
    <row r="533" spans="1:26">
      <c r="A533" s="3" t="s">
        <v>3119</v>
      </c>
      <c r="B533" s="3" t="s">
        <v>22</v>
      </c>
      <c r="C533" s="3" t="s">
        <v>23</v>
      </c>
      <c r="D533" s="3" t="s">
        <v>24</v>
      </c>
      <c r="E533" s="3" t="s">
        <v>992</v>
      </c>
      <c r="F533" s="3" t="s">
        <v>127</v>
      </c>
      <c r="G533" s="2">
        <v>86.68</v>
      </c>
      <c r="H533" s="2">
        <v>8</v>
      </c>
      <c r="I533" s="2">
        <v>34.671999999999997</v>
      </c>
      <c r="J533" s="2">
        <v>728.11199999999997</v>
      </c>
      <c r="K533" s="5">
        <v>43489</v>
      </c>
      <c r="L533" s="4">
        <v>0.75277777777777777</v>
      </c>
      <c r="M533" s="3" t="s">
        <v>59</v>
      </c>
      <c r="N533" s="2">
        <v>693.44</v>
      </c>
      <c r="O533" s="2">
        <v>4.7619047620000003</v>
      </c>
      <c r="P533" s="2">
        <v>34.671999999999997</v>
      </c>
      <c r="Q533" s="2">
        <v>7.2</v>
      </c>
      <c r="R533" s="3" t="str">
        <f t="shared" si="18"/>
        <v>January</v>
      </c>
      <c r="S533" s="3">
        <f t="shared" si="17"/>
        <v>1</v>
      </c>
      <c r="T533" s="3" t="str">
        <f>IF(tbl_sales[[#This Row],[Sales]]&gt;=500,"High Value","Standard")</f>
        <v>High Value</v>
      </c>
      <c r="U533" s="1" t="str">
        <f>IF(tbl_sales[[#This Row],[Order Size]]="High Value","High Value Order","Standard Order")</f>
        <v>High Value Order</v>
      </c>
      <c r="V533" s="1"/>
      <c r="W533" s="17" t="s">
        <v>37</v>
      </c>
      <c r="X533" s="17"/>
      <c r="Y533" s="6"/>
      <c r="Z533" s="1" t="s">
        <v>37</v>
      </c>
    </row>
    <row r="534" spans="1:26">
      <c r="A534" s="3" t="s">
        <v>3125</v>
      </c>
      <c r="B534" s="3" t="s">
        <v>115</v>
      </c>
      <c r="C534" s="3" t="s">
        <v>116</v>
      </c>
      <c r="D534" s="3" t="s">
        <v>41</v>
      </c>
      <c r="E534" s="3" t="s">
        <v>992</v>
      </c>
      <c r="F534" s="3" t="s">
        <v>42</v>
      </c>
      <c r="G534" s="2">
        <v>22.95</v>
      </c>
      <c r="H534" s="2">
        <v>10</v>
      </c>
      <c r="I534" s="2">
        <v>11.475</v>
      </c>
      <c r="J534" s="2">
        <v>240.97499999999999</v>
      </c>
      <c r="K534" s="5">
        <v>43502</v>
      </c>
      <c r="L534" s="4">
        <v>0.80555555555555558</v>
      </c>
      <c r="M534" s="3" t="s">
        <v>33</v>
      </c>
      <c r="N534" s="2">
        <v>229.5</v>
      </c>
      <c r="O534" s="2">
        <v>4.7619047620000003</v>
      </c>
      <c r="P534" s="2">
        <v>11.475</v>
      </c>
      <c r="Q534" s="2">
        <v>8.1999999999999993</v>
      </c>
      <c r="R534" s="3" t="str">
        <f t="shared" si="18"/>
        <v>February</v>
      </c>
      <c r="S534" s="3">
        <f t="shared" si="17"/>
        <v>2</v>
      </c>
      <c r="T534" s="3" t="str">
        <f>IF(tbl_sales[[#This Row],[Sales]]&gt;=500,"High Value","Standard")</f>
        <v>Standard</v>
      </c>
      <c r="U534" s="1" t="str">
        <f>IF(tbl_sales[[#This Row],[Order Size]]="High Value","High Value Order","Standard Order")</f>
        <v>Standard Order</v>
      </c>
      <c r="V534" s="1"/>
      <c r="W534" s="17" t="s">
        <v>37</v>
      </c>
      <c r="X534" s="17"/>
      <c r="Y534" s="6"/>
      <c r="Z534" s="1" t="s">
        <v>37</v>
      </c>
    </row>
    <row r="535" spans="1:26">
      <c r="A535" s="3" t="s">
        <v>3130</v>
      </c>
      <c r="B535" s="3" t="s">
        <v>39</v>
      </c>
      <c r="C535" s="3" t="s">
        <v>40</v>
      </c>
      <c r="D535" s="3" t="s">
        <v>41</v>
      </c>
      <c r="E535" s="3" t="s">
        <v>25</v>
      </c>
      <c r="F535" s="3" t="s">
        <v>117</v>
      </c>
      <c r="G535" s="2">
        <v>16.309999999999999</v>
      </c>
      <c r="H535" s="2">
        <v>9</v>
      </c>
      <c r="I535" s="2">
        <v>7.3395000000000001</v>
      </c>
      <c r="J535" s="2">
        <v>154.12950000000001</v>
      </c>
      <c r="K535" s="5">
        <v>43550</v>
      </c>
      <c r="L535" s="4">
        <v>0.43819444444444444</v>
      </c>
      <c r="M535" s="3" t="s">
        <v>33</v>
      </c>
      <c r="N535" s="2">
        <v>146.79</v>
      </c>
      <c r="O535" s="2">
        <v>4.7619047620000003</v>
      </c>
      <c r="P535" s="2">
        <v>7.3395000000000001</v>
      </c>
      <c r="Q535" s="2">
        <v>8.4</v>
      </c>
      <c r="R535" s="3" t="str">
        <f t="shared" si="18"/>
        <v>March</v>
      </c>
      <c r="S535" s="3">
        <f t="shared" si="17"/>
        <v>3</v>
      </c>
      <c r="T535" s="3" t="str">
        <f>IF(tbl_sales[[#This Row],[Sales]]&gt;=500,"High Value","Standard")</f>
        <v>Standard</v>
      </c>
      <c r="U535" s="1" t="str">
        <f>IF(tbl_sales[[#This Row],[Order Size]]="High Value","High Value Order","Standard Order")</f>
        <v>Standard Order</v>
      </c>
      <c r="V535" s="1"/>
      <c r="W535" s="17" t="s">
        <v>37</v>
      </c>
      <c r="X535" s="17"/>
      <c r="Y535" s="6"/>
      <c r="Z535" s="1" t="s">
        <v>37</v>
      </c>
    </row>
    <row r="536" spans="1:26">
      <c r="A536" s="3" t="s">
        <v>3136</v>
      </c>
      <c r="B536" s="3" t="s">
        <v>22</v>
      </c>
      <c r="C536" s="3" t="s">
        <v>23</v>
      </c>
      <c r="D536" s="3" t="s">
        <v>41</v>
      </c>
      <c r="E536" s="3" t="s">
        <v>25</v>
      </c>
      <c r="F536" s="3" t="s">
        <v>53</v>
      </c>
      <c r="G536" s="2">
        <v>28.32</v>
      </c>
      <c r="H536" s="2">
        <v>5</v>
      </c>
      <c r="I536" s="2">
        <v>7.08</v>
      </c>
      <c r="J536" s="2">
        <v>148.68</v>
      </c>
      <c r="K536" s="5">
        <v>43535</v>
      </c>
      <c r="L536" s="4">
        <v>0.56111111111111112</v>
      </c>
      <c r="M536" s="3" t="s">
        <v>33</v>
      </c>
      <c r="N536" s="2">
        <v>141.6</v>
      </c>
      <c r="O536" s="2">
        <v>4.7619047620000003</v>
      </c>
      <c r="P536" s="2">
        <v>7.08</v>
      </c>
      <c r="Q536" s="2">
        <v>6.2</v>
      </c>
      <c r="R536" s="3" t="str">
        <f t="shared" si="18"/>
        <v>March</v>
      </c>
      <c r="S536" s="3">
        <f t="shared" si="17"/>
        <v>3</v>
      </c>
      <c r="T536" s="3" t="str">
        <f>IF(tbl_sales[[#This Row],[Sales]]&gt;=500,"High Value","Standard")</f>
        <v>Standard</v>
      </c>
      <c r="U536" s="1" t="str">
        <f>IF(tbl_sales[[#This Row],[Order Size]]="High Value","High Value Order","Standard Order")</f>
        <v>Standard Order</v>
      </c>
      <c r="V536" s="1"/>
      <c r="W536" s="17" t="s">
        <v>37</v>
      </c>
      <c r="X536" s="17"/>
      <c r="Y536" s="6"/>
      <c r="Z536" s="1" t="s">
        <v>37</v>
      </c>
    </row>
    <row r="537" spans="1:26">
      <c r="A537" s="3" t="s">
        <v>3142</v>
      </c>
      <c r="B537" s="3" t="s">
        <v>39</v>
      </c>
      <c r="C537" s="3" t="s">
        <v>40</v>
      </c>
      <c r="D537" s="3" t="s">
        <v>41</v>
      </c>
      <c r="E537" s="3" t="s">
        <v>992</v>
      </c>
      <c r="F537" s="3" t="s">
        <v>53</v>
      </c>
      <c r="G537" s="2">
        <v>16.670000000000002</v>
      </c>
      <c r="H537" s="2">
        <v>7</v>
      </c>
      <c r="I537" s="2">
        <v>5.8345000000000002</v>
      </c>
      <c r="J537" s="2">
        <v>122.5245</v>
      </c>
      <c r="K537" s="5">
        <v>43503</v>
      </c>
      <c r="L537" s="4">
        <v>0.48333333333333334</v>
      </c>
      <c r="M537" s="3" t="s">
        <v>33</v>
      </c>
      <c r="N537" s="2">
        <v>116.69</v>
      </c>
      <c r="O537" s="2">
        <v>4.7619047620000003</v>
      </c>
      <c r="P537" s="2">
        <v>5.8345000000000002</v>
      </c>
      <c r="Q537" s="2">
        <v>7.4</v>
      </c>
      <c r="R537" s="3" t="str">
        <f t="shared" si="18"/>
        <v>February</v>
      </c>
      <c r="S537" s="3">
        <f t="shared" si="17"/>
        <v>2</v>
      </c>
      <c r="T537" s="3" t="str">
        <f>IF(tbl_sales[[#This Row],[Sales]]&gt;=500,"High Value","Standard")</f>
        <v>Standard</v>
      </c>
      <c r="U537" s="1" t="str">
        <f>IF(tbl_sales[[#This Row],[Order Size]]="High Value","High Value Order","Standard Order")</f>
        <v>Standard Order</v>
      </c>
      <c r="V537" s="1"/>
      <c r="W537" s="17" t="s">
        <v>37</v>
      </c>
      <c r="X537" s="17"/>
      <c r="Y537" s="6"/>
      <c r="Z537" s="1" t="s">
        <v>37</v>
      </c>
    </row>
    <row r="538" spans="1:26">
      <c r="A538" s="3" t="s">
        <v>3146</v>
      </c>
      <c r="B538" s="3" t="s">
        <v>115</v>
      </c>
      <c r="C538" s="3" t="s">
        <v>116</v>
      </c>
      <c r="D538" s="3" t="s">
        <v>24</v>
      </c>
      <c r="E538" s="3" t="s">
        <v>25</v>
      </c>
      <c r="F538" s="3" t="s">
        <v>127</v>
      </c>
      <c r="G538" s="2">
        <v>73.959999999999994</v>
      </c>
      <c r="H538" s="2">
        <v>1</v>
      </c>
      <c r="I538" s="2">
        <v>3.698</v>
      </c>
      <c r="J538" s="2">
        <v>77.658000000000001</v>
      </c>
      <c r="K538" s="5">
        <v>43470</v>
      </c>
      <c r="L538" s="4">
        <v>0.48055555555555557</v>
      </c>
      <c r="M538" s="3" t="s">
        <v>59</v>
      </c>
      <c r="N538" s="2">
        <v>73.959999999999994</v>
      </c>
      <c r="O538" s="2">
        <v>4.7619047620000003</v>
      </c>
      <c r="P538" s="2">
        <v>3.698</v>
      </c>
      <c r="Q538" s="2">
        <v>5</v>
      </c>
      <c r="R538" s="3" t="str">
        <f t="shared" si="18"/>
        <v>January</v>
      </c>
      <c r="S538" s="3">
        <f t="shared" si="17"/>
        <v>1</v>
      </c>
      <c r="T538" s="3" t="str">
        <f>IF(tbl_sales[[#This Row],[Sales]]&gt;=500,"High Value","Standard")</f>
        <v>Standard</v>
      </c>
      <c r="U538" s="1" t="str">
        <f>IF(tbl_sales[[#This Row],[Order Size]]="High Value","High Value Order","Standard Order")</f>
        <v>Standard Order</v>
      </c>
      <c r="V538" s="1"/>
      <c r="W538" s="17" t="s">
        <v>37</v>
      </c>
      <c r="X538" s="17"/>
      <c r="Y538" s="6"/>
      <c r="Z538" s="1" t="s">
        <v>37</v>
      </c>
    </row>
    <row r="539" spans="1:26">
      <c r="A539" s="3" t="s">
        <v>3150</v>
      </c>
      <c r="B539" s="3" t="s">
        <v>22</v>
      </c>
      <c r="C539" s="3" t="s">
        <v>23</v>
      </c>
      <c r="D539" s="3" t="s">
        <v>41</v>
      </c>
      <c r="E539" s="3" t="s">
        <v>992</v>
      </c>
      <c r="F539" s="3" t="s">
        <v>53</v>
      </c>
      <c r="G539" s="2">
        <v>97.94</v>
      </c>
      <c r="H539" s="2">
        <v>1</v>
      </c>
      <c r="I539" s="2">
        <v>4.8970000000000002</v>
      </c>
      <c r="J539" s="2">
        <v>102.837</v>
      </c>
      <c r="K539" s="5">
        <v>43531</v>
      </c>
      <c r="L539" s="4">
        <v>0.48888888888888887</v>
      </c>
      <c r="M539" s="3" t="s">
        <v>33</v>
      </c>
      <c r="N539" s="2">
        <v>97.94</v>
      </c>
      <c r="O539" s="2">
        <v>4.7619047620000003</v>
      </c>
      <c r="P539" s="2">
        <v>4.8970000000000002</v>
      </c>
      <c r="Q539" s="2">
        <v>6.9</v>
      </c>
      <c r="R539" s="3" t="str">
        <f t="shared" si="18"/>
        <v>March</v>
      </c>
      <c r="S539" s="3">
        <f t="shared" si="17"/>
        <v>3</v>
      </c>
      <c r="T539" s="3" t="str">
        <f>IF(tbl_sales[[#This Row],[Sales]]&gt;=500,"High Value","Standard")</f>
        <v>Standard</v>
      </c>
      <c r="U539" s="1" t="str">
        <f>IF(tbl_sales[[#This Row],[Order Size]]="High Value","High Value Order","Standard Order")</f>
        <v>Standard Order</v>
      </c>
      <c r="V539" s="1"/>
      <c r="W539" s="17" t="s">
        <v>37</v>
      </c>
      <c r="X539" s="17"/>
      <c r="Y539" s="6"/>
      <c r="Z539" s="1" t="s">
        <v>37</v>
      </c>
    </row>
    <row r="540" spans="1:26">
      <c r="A540" s="3" t="s">
        <v>3154</v>
      </c>
      <c r="B540" s="3" t="s">
        <v>22</v>
      </c>
      <c r="C540" s="3" t="s">
        <v>23</v>
      </c>
      <c r="D540" s="3" t="s">
        <v>41</v>
      </c>
      <c r="E540" s="3" t="s">
        <v>25</v>
      </c>
      <c r="F540" s="3" t="s">
        <v>127</v>
      </c>
      <c r="G540" s="2">
        <v>73.05</v>
      </c>
      <c r="H540" s="2">
        <v>4</v>
      </c>
      <c r="I540" s="2">
        <v>14.61</v>
      </c>
      <c r="J540" s="2">
        <v>306.81</v>
      </c>
      <c r="K540" s="5">
        <v>43521</v>
      </c>
      <c r="L540" s="4">
        <v>0.71944444444444444</v>
      </c>
      <c r="M540" s="3" t="s">
        <v>59</v>
      </c>
      <c r="N540" s="2">
        <v>292.2</v>
      </c>
      <c r="O540" s="2">
        <v>4.7619047620000003</v>
      </c>
      <c r="P540" s="2">
        <v>14.61</v>
      </c>
      <c r="Q540" s="2">
        <v>4.9000000000000004</v>
      </c>
      <c r="R540" s="3" t="str">
        <f t="shared" si="18"/>
        <v>February</v>
      </c>
      <c r="S540" s="3">
        <f t="shared" si="17"/>
        <v>2</v>
      </c>
      <c r="T540" s="3" t="str">
        <f>IF(tbl_sales[[#This Row],[Sales]]&gt;=500,"High Value","Standard")</f>
        <v>Standard</v>
      </c>
      <c r="U540" s="1" t="str">
        <f>IF(tbl_sales[[#This Row],[Order Size]]="High Value","High Value Order","Standard Order")</f>
        <v>Standard Order</v>
      </c>
      <c r="V540" s="1"/>
      <c r="W540" s="17" t="s">
        <v>37</v>
      </c>
      <c r="X540" s="17"/>
      <c r="Y540" s="6"/>
      <c r="Z540" s="1" t="s">
        <v>37</v>
      </c>
    </row>
    <row r="541" spans="1:26">
      <c r="A541" s="3" t="s">
        <v>3159</v>
      </c>
      <c r="B541" s="3" t="s">
        <v>39</v>
      </c>
      <c r="C541" s="3" t="s">
        <v>40</v>
      </c>
      <c r="D541" s="3" t="s">
        <v>24</v>
      </c>
      <c r="E541" s="3" t="s">
        <v>25</v>
      </c>
      <c r="F541" s="3" t="s">
        <v>117</v>
      </c>
      <c r="G541" s="2">
        <v>87.48</v>
      </c>
      <c r="H541" s="2">
        <v>6</v>
      </c>
      <c r="I541" s="2">
        <v>26.244</v>
      </c>
      <c r="J541" s="2">
        <v>551.12400000000002</v>
      </c>
      <c r="K541" s="5">
        <v>43497</v>
      </c>
      <c r="L541" s="4">
        <v>0.77986111111111112</v>
      </c>
      <c r="M541" s="3" t="s">
        <v>33</v>
      </c>
      <c r="N541" s="2">
        <v>524.88</v>
      </c>
      <c r="O541" s="2">
        <v>4.7619047620000003</v>
      </c>
      <c r="P541" s="2">
        <v>26.244</v>
      </c>
      <c r="Q541" s="2">
        <v>5.0999999999999996</v>
      </c>
      <c r="R541" s="3" t="str">
        <f t="shared" si="18"/>
        <v>February</v>
      </c>
      <c r="S541" s="3">
        <f t="shared" si="17"/>
        <v>2</v>
      </c>
      <c r="T541" s="3" t="str">
        <f>IF(tbl_sales[[#This Row],[Sales]]&gt;=500,"High Value","Standard")</f>
        <v>High Value</v>
      </c>
      <c r="U541" s="1" t="str">
        <f>IF(tbl_sales[[#This Row],[Order Size]]="High Value","High Value Order","Standard Order")</f>
        <v>High Value Order</v>
      </c>
      <c r="V541" s="1"/>
      <c r="W541" s="17" t="s">
        <v>37</v>
      </c>
      <c r="X541" s="17"/>
      <c r="Y541" s="6"/>
      <c r="Z541" s="1" t="s">
        <v>37</v>
      </c>
    </row>
    <row r="542" spans="1:26">
      <c r="A542" s="3" t="s">
        <v>3165</v>
      </c>
      <c r="B542" s="3" t="s">
        <v>22</v>
      </c>
      <c r="C542" s="3" t="s">
        <v>23</v>
      </c>
      <c r="D542" s="3" t="s">
        <v>41</v>
      </c>
      <c r="E542" s="3" t="s">
        <v>992</v>
      </c>
      <c r="F542" s="3" t="s">
        <v>53</v>
      </c>
      <c r="G542" s="2">
        <v>30.68</v>
      </c>
      <c r="H542" s="2">
        <v>3</v>
      </c>
      <c r="I542" s="2">
        <v>4.6020000000000003</v>
      </c>
      <c r="J542" s="2">
        <v>96.641999999999996</v>
      </c>
      <c r="K542" s="5">
        <v>43487</v>
      </c>
      <c r="L542" s="4">
        <v>0.45833333333333331</v>
      </c>
      <c r="M542" s="3" t="s">
        <v>33</v>
      </c>
      <c r="N542" s="2">
        <v>92.04</v>
      </c>
      <c r="O542" s="2">
        <v>4.7619047620000003</v>
      </c>
      <c r="P542" s="2">
        <v>4.6020000000000003</v>
      </c>
      <c r="Q542" s="2">
        <v>9.1</v>
      </c>
      <c r="R542" s="3" t="str">
        <f t="shared" si="18"/>
        <v>January</v>
      </c>
      <c r="S542" s="3">
        <f t="shared" si="17"/>
        <v>1</v>
      </c>
      <c r="T542" s="3" t="str">
        <f>IF(tbl_sales[[#This Row],[Sales]]&gt;=500,"High Value","Standard")</f>
        <v>Standard</v>
      </c>
      <c r="U542" s="1" t="str">
        <f>IF(tbl_sales[[#This Row],[Order Size]]="High Value","High Value Order","Standard Order")</f>
        <v>Standard Order</v>
      </c>
      <c r="V542" s="1"/>
      <c r="W542" s="17" t="s">
        <v>37</v>
      </c>
      <c r="X542" s="17"/>
      <c r="Y542" s="6"/>
      <c r="Z542" s="1" t="s">
        <v>37</v>
      </c>
    </row>
    <row r="543" spans="1:26">
      <c r="A543" s="3" t="s">
        <v>3170</v>
      </c>
      <c r="B543" s="3" t="s">
        <v>39</v>
      </c>
      <c r="C543" s="3" t="s">
        <v>40</v>
      </c>
      <c r="D543" s="3" t="s">
        <v>24</v>
      </c>
      <c r="E543" s="3" t="s">
        <v>992</v>
      </c>
      <c r="F543" s="3" t="s">
        <v>26</v>
      </c>
      <c r="G543" s="2">
        <v>75.88</v>
      </c>
      <c r="H543" s="2">
        <v>1</v>
      </c>
      <c r="I543" s="2">
        <v>3.794</v>
      </c>
      <c r="J543" s="2">
        <v>79.674000000000007</v>
      </c>
      <c r="K543" s="5">
        <v>43468</v>
      </c>
      <c r="L543" s="4">
        <v>0.4375</v>
      </c>
      <c r="M543" s="3" t="s">
        <v>59</v>
      </c>
      <c r="N543" s="2">
        <v>75.88</v>
      </c>
      <c r="O543" s="2">
        <v>4.7619047620000003</v>
      </c>
      <c r="P543" s="2">
        <v>3.794</v>
      </c>
      <c r="Q543" s="2">
        <v>7.1</v>
      </c>
      <c r="R543" s="3" t="str">
        <f t="shared" si="18"/>
        <v>January</v>
      </c>
      <c r="S543" s="3">
        <f t="shared" si="17"/>
        <v>1</v>
      </c>
      <c r="T543" s="3" t="str">
        <f>IF(tbl_sales[[#This Row],[Sales]]&gt;=500,"High Value","Standard")</f>
        <v>Standard</v>
      </c>
      <c r="U543" s="1" t="str">
        <f>IF(tbl_sales[[#This Row],[Order Size]]="High Value","High Value Order","Standard Order")</f>
        <v>Standard Order</v>
      </c>
      <c r="V543" s="1"/>
      <c r="W543" s="17" t="s">
        <v>37</v>
      </c>
      <c r="X543" s="17"/>
      <c r="Y543" s="6"/>
      <c r="Z543" s="1" t="s">
        <v>37</v>
      </c>
    </row>
    <row r="544" spans="1:26">
      <c r="A544" s="3" t="s">
        <v>3175</v>
      </c>
      <c r="B544" s="3" t="s">
        <v>115</v>
      </c>
      <c r="C544" s="3" t="s">
        <v>116</v>
      </c>
      <c r="D544" s="3" t="s">
        <v>24</v>
      </c>
      <c r="E544" s="3" t="s">
        <v>25</v>
      </c>
      <c r="F544" s="3" t="s">
        <v>72</v>
      </c>
      <c r="G544" s="2">
        <v>20.18</v>
      </c>
      <c r="H544" s="2">
        <v>4</v>
      </c>
      <c r="I544" s="2">
        <v>4.0359999999999996</v>
      </c>
      <c r="J544" s="2">
        <v>84.756</v>
      </c>
      <c r="K544" s="5">
        <v>43509</v>
      </c>
      <c r="L544" s="4">
        <v>0.50972222222222219</v>
      </c>
      <c r="M544" s="3" t="s">
        <v>59</v>
      </c>
      <c r="N544" s="2">
        <v>80.72</v>
      </c>
      <c r="O544" s="2">
        <v>4.7619047620000003</v>
      </c>
      <c r="P544" s="2">
        <v>4.0359999999999996</v>
      </c>
      <c r="Q544" s="2">
        <v>5</v>
      </c>
      <c r="R544" s="3" t="str">
        <f t="shared" si="18"/>
        <v>February</v>
      </c>
      <c r="S544" s="3">
        <f t="shared" si="17"/>
        <v>2</v>
      </c>
      <c r="T544" s="3" t="str">
        <f>IF(tbl_sales[[#This Row],[Sales]]&gt;=500,"High Value","Standard")</f>
        <v>Standard</v>
      </c>
      <c r="U544" s="1" t="str">
        <f>IF(tbl_sales[[#This Row],[Order Size]]="High Value","High Value Order","Standard Order")</f>
        <v>Standard Order</v>
      </c>
      <c r="V544" s="1"/>
      <c r="W544" s="17" t="s">
        <v>37</v>
      </c>
      <c r="X544" s="17"/>
      <c r="Y544" s="6"/>
      <c r="Z544" s="1" t="s">
        <v>37</v>
      </c>
    </row>
    <row r="545" spans="1:26">
      <c r="A545" s="3" t="s">
        <v>3180</v>
      </c>
      <c r="B545" s="3" t="s">
        <v>39</v>
      </c>
      <c r="C545" s="3" t="s">
        <v>40</v>
      </c>
      <c r="D545" s="3" t="s">
        <v>24</v>
      </c>
      <c r="E545" s="3" t="s">
        <v>992</v>
      </c>
      <c r="F545" s="3" t="s">
        <v>42</v>
      </c>
      <c r="G545" s="2">
        <v>18.77</v>
      </c>
      <c r="H545" s="2">
        <v>6</v>
      </c>
      <c r="I545" s="2">
        <v>5.6310000000000002</v>
      </c>
      <c r="J545" s="2">
        <v>118.251</v>
      </c>
      <c r="K545" s="5">
        <v>43493</v>
      </c>
      <c r="L545" s="4">
        <v>0.69652777777777775</v>
      </c>
      <c r="M545" s="3" t="s">
        <v>59</v>
      </c>
      <c r="N545" s="2">
        <v>112.62</v>
      </c>
      <c r="O545" s="2">
        <v>4.7619047620000003</v>
      </c>
      <c r="P545" s="2">
        <v>5.6310000000000002</v>
      </c>
      <c r="Q545" s="2">
        <v>5.5</v>
      </c>
      <c r="R545" s="3" t="str">
        <f t="shared" si="18"/>
        <v>January</v>
      </c>
      <c r="S545" s="3">
        <f t="shared" si="17"/>
        <v>1</v>
      </c>
      <c r="T545" s="3" t="str">
        <f>IF(tbl_sales[[#This Row],[Sales]]&gt;=500,"High Value","Standard")</f>
        <v>Standard</v>
      </c>
      <c r="U545" s="1" t="str">
        <f>IF(tbl_sales[[#This Row],[Order Size]]="High Value","High Value Order","Standard Order")</f>
        <v>Standard Order</v>
      </c>
      <c r="V545" s="1"/>
      <c r="W545" s="17" t="s">
        <v>37</v>
      </c>
      <c r="X545" s="17"/>
      <c r="Y545" s="6"/>
      <c r="Z545" s="1" t="s">
        <v>37</v>
      </c>
    </row>
    <row r="546" spans="1:26">
      <c r="A546" s="3" t="s">
        <v>3185</v>
      </c>
      <c r="B546" s="3" t="s">
        <v>115</v>
      </c>
      <c r="C546" s="3" t="s">
        <v>116</v>
      </c>
      <c r="D546" s="3" t="s">
        <v>41</v>
      </c>
      <c r="E546" s="3" t="s">
        <v>25</v>
      </c>
      <c r="F546" s="3" t="s">
        <v>117</v>
      </c>
      <c r="G546" s="2">
        <v>71.2</v>
      </c>
      <c r="H546" s="2">
        <v>1</v>
      </c>
      <c r="I546" s="2">
        <v>3.56</v>
      </c>
      <c r="J546" s="2">
        <v>74.760000000000005</v>
      </c>
      <c r="K546" s="5">
        <v>43470</v>
      </c>
      <c r="L546" s="4">
        <v>0.86111111111111116</v>
      </c>
      <c r="M546" s="3" t="s">
        <v>59</v>
      </c>
      <c r="N546" s="2">
        <v>71.2</v>
      </c>
      <c r="O546" s="2">
        <v>4.7619047620000003</v>
      </c>
      <c r="P546" s="2">
        <v>3.56</v>
      </c>
      <c r="Q546" s="2">
        <v>9.1999999999999993</v>
      </c>
      <c r="R546" s="3" t="str">
        <f t="shared" si="18"/>
        <v>January</v>
      </c>
      <c r="S546" s="3">
        <f t="shared" si="17"/>
        <v>1</v>
      </c>
      <c r="T546" s="3" t="str">
        <f>IF(tbl_sales[[#This Row],[Sales]]&gt;=500,"High Value","Standard")</f>
        <v>Standard</v>
      </c>
      <c r="U546" s="1" t="str">
        <f>IF(tbl_sales[[#This Row],[Order Size]]="High Value","High Value Order","Standard Order")</f>
        <v>Standard Order</v>
      </c>
      <c r="V546" s="1"/>
      <c r="W546" s="17" t="s">
        <v>37</v>
      </c>
      <c r="X546" s="17"/>
      <c r="Y546" s="6"/>
      <c r="Z546" s="1" t="s">
        <v>37</v>
      </c>
    </row>
    <row r="547" spans="1:26">
      <c r="A547" s="3" t="s">
        <v>3190</v>
      </c>
      <c r="B547" s="3" t="s">
        <v>115</v>
      </c>
      <c r="C547" s="3" t="s">
        <v>116</v>
      </c>
      <c r="D547" s="3" t="s">
        <v>24</v>
      </c>
      <c r="E547" s="3" t="s">
        <v>992</v>
      </c>
      <c r="F547" s="3" t="s">
        <v>53</v>
      </c>
      <c r="G547" s="2">
        <v>38.81</v>
      </c>
      <c r="H547" s="2">
        <v>4</v>
      </c>
      <c r="I547" s="2">
        <v>7.7619999999999996</v>
      </c>
      <c r="J547" s="2">
        <v>163.00200000000001</v>
      </c>
      <c r="K547" s="5">
        <v>43543</v>
      </c>
      <c r="L547" s="4">
        <v>0.56944444444444442</v>
      </c>
      <c r="M547" s="3" t="s">
        <v>33</v>
      </c>
      <c r="N547" s="2">
        <v>155.24</v>
      </c>
      <c r="O547" s="2">
        <v>4.7619047620000003</v>
      </c>
      <c r="P547" s="2">
        <v>7.7619999999999996</v>
      </c>
      <c r="Q547" s="2">
        <v>4.9000000000000004</v>
      </c>
      <c r="R547" s="3" t="str">
        <f t="shared" si="18"/>
        <v>March</v>
      </c>
      <c r="S547" s="3">
        <f t="shared" si="17"/>
        <v>3</v>
      </c>
      <c r="T547" s="3" t="str">
        <f>IF(tbl_sales[[#This Row],[Sales]]&gt;=500,"High Value","Standard")</f>
        <v>Standard</v>
      </c>
      <c r="U547" s="1" t="str">
        <f>IF(tbl_sales[[#This Row],[Order Size]]="High Value","High Value Order","Standard Order")</f>
        <v>Standard Order</v>
      </c>
      <c r="V547" s="1"/>
      <c r="W547" s="17" t="s">
        <v>37</v>
      </c>
      <c r="X547" s="17"/>
      <c r="Y547" s="6"/>
      <c r="Z547" s="1" t="s">
        <v>37</v>
      </c>
    </row>
    <row r="548" spans="1:26">
      <c r="A548" s="3" t="s">
        <v>3195</v>
      </c>
      <c r="B548" s="3" t="s">
        <v>22</v>
      </c>
      <c r="C548" s="3" t="s">
        <v>23</v>
      </c>
      <c r="D548" s="3" t="s">
        <v>41</v>
      </c>
      <c r="E548" s="3" t="s">
        <v>25</v>
      </c>
      <c r="F548" s="3" t="s">
        <v>127</v>
      </c>
      <c r="G548" s="2">
        <v>29.42</v>
      </c>
      <c r="H548" s="2">
        <v>10</v>
      </c>
      <c r="I548" s="2">
        <v>14.71</v>
      </c>
      <c r="J548" s="2">
        <v>308.91000000000003</v>
      </c>
      <c r="K548" s="5">
        <v>43477</v>
      </c>
      <c r="L548" s="4">
        <v>0.68263888888888891</v>
      </c>
      <c r="M548" s="3" t="s">
        <v>33</v>
      </c>
      <c r="N548" s="2">
        <v>294.2</v>
      </c>
      <c r="O548" s="2">
        <v>4.7619047620000003</v>
      </c>
      <c r="P548" s="2">
        <v>14.71</v>
      </c>
      <c r="Q548" s="2">
        <v>8.9</v>
      </c>
      <c r="R548" s="3" t="str">
        <f t="shared" si="18"/>
        <v>January</v>
      </c>
      <c r="S548" s="3">
        <f t="shared" si="17"/>
        <v>1</v>
      </c>
      <c r="T548" s="3" t="str">
        <f>IF(tbl_sales[[#This Row],[Sales]]&gt;=500,"High Value","Standard")</f>
        <v>Standard</v>
      </c>
      <c r="U548" s="1" t="str">
        <f>IF(tbl_sales[[#This Row],[Order Size]]="High Value","High Value Order","Standard Order")</f>
        <v>Standard Order</v>
      </c>
      <c r="V548" s="1"/>
      <c r="W548" s="17" t="s">
        <v>37</v>
      </c>
      <c r="X548" s="17"/>
      <c r="Y548" s="6"/>
      <c r="Z548" s="1" t="s">
        <v>37</v>
      </c>
    </row>
    <row r="549" spans="1:26">
      <c r="A549" s="3" t="s">
        <v>3200</v>
      </c>
      <c r="B549" s="3" t="s">
        <v>22</v>
      </c>
      <c r="C549" s="3" t="s">
        <v>23</v>
      </c>
      <c r="D549" s="3" t="s">
        <v>41</v>
      </c>
      <c r="E549" s="3" t="s">
        <v>992</v>
      </c>
      <c r="F549" s="3" t="s">
        <v>72</v>
      </c>
      <c r="G549" s="2">
        <v>60.95</v>
      </c>
      <c r="H549" s="2">
        <v>9</v>
      </c>
      <c r="I549" s="2">
        <v>27.427499999999998</v>
      </c>
      <c r="J549" s="2">
        <v>575.97749999999996</v>
      </c>
      <c r="K549" s="5">
        <v>43472</v>
      </c>
      <c r="L549" s="4">
        <v>0.50555555555555554</v>
      </c>
      <c r="M549" s="3" t="s">
        <v>59</v>
      </c>
      <c r="N549" s="2">
        <v>548.54999999999995</v>
      </c>
      <c r="O549" s="2">
        <v>4.7619047620000003</v>
      </c>
      <c r="P549" s="2">
        <v>27.427499999999998</v>
      </c>
      <c r="Q549" s="2">
        <v>6</v>
      </c>
      <c r="R549" s="3" t="str">
        <f t="shared" si="18"/>
        <v>January</v>
      </c>
      <c r="S549" s="3">
        <f t="shared" si="17"/>
        <v>1</v>
      </c>
      <c r="T549" s="3" t="str">
        <f>IF(tbl_sales[[#This Row],[Sales]]&gt;=500,"High Value","Standard")</f>
        <v>High Value</v>
      </c>
      <c r="U549" s="1" t="str">
        <f>IF(tbl_sales[[#This Row],[Order Size]]="High Value","High Value Order","Standard Order")</f>
        <v>High Value Order</v>
      </c>
      <c r="V549" s="1"/>
      <c r="W549" s="17" t="s">
        <v>37</v>
      </c>
      <c r="X549" s="17"/>
      <c r="Y549" s="6"/>
      <c r="Z549" s="1" t="s">
        <v>37</v>
      </c>
    </row>
    <row r="550" spans="1:26">
      <c r="A550" s="3" t="s">
        <v>3206</v>
      </c>
      <c r="B550" s="3" t="s">
        <v>115</v>
      </c>
      <c r="C550" s="3" t="s">
        <v>116</v>
      </c>
      <c r="D550" s="3" t="s">
        <v>41</v>
      </c>
      <c r="E550" s="3" t="s">
        <v>25</v>
      </c>
      <c r="F550" s="3" t="s">
        <v>72</v>
      </c>
      <c r="G550" s="2">
        <v>51.54</v>
      </c>
      <c r="H550" s="2">
        <v>5</v>
      </c>
      <c r="I550" s="2">
        <v>12.885</v>
      </c>
      <c r="J550" s="2">
        <v>270.58499999999998</v>
      </c>
      <c r="K550" s="5">
        <v>43491</v>
      </c>
      <c r="L550" s="4">
        <v>0.73958333333333337</v>
      </c>
      <c r="M550" s="3" t="s">
        <v>49</v>
      </c>
      <c r="N550" s="2">
        <v>257.7</v>
      </c>
      <c r="O550" s="2">
        <v>4.7619047620000003</v>
      </c>
      <c r="P550" s="2">
        <v>12.885</v>
      </c>
      <c r="Q550" s="2">
        <v>4.2</v>
      </c>
      <c r="R550" s="3" t="str">
        <f t="shared" si="18"/>
        <v>January</v>
      </c>
      <c r="S550" s="3">
        <f t="shared" si="17"/>
        <v>1</v>
      </c>
      <c r="T550" s="3" t="str">
        <f>IF(tbl_sales[[#This Row],[Sales]]&gt;=500,"High Value","Standard")</f>
        <v>Standard</v>
      </c>
      <c r="U550" s="1" t="str">
        <f>IF(tbl_sales[[#This Row],[Order Size]]="High Value","High Value Order","Standard Order")</f>
        <v>Standard Order</v>
      </c>
      <c r="V550" s="1"/>
      <c r="W550" s="17" t="s">
        <v>37</v>
      </c>
      <c r="X550" s="17"/>
      <c r="Y550" s="6"/>
      <c r="Z550" s="1" t="s">
        <v>37</v>
      </c>
    </row>
    <row r="551" spans="1:26">
      <c r="A551" s="3" t="s">
        <v>3212</v>
      </c>
      <c r="B551" s="3" t="s">
        <v>22</v>
      </c>
      <c r="C551" s="3" t="s">
        <v>23</v>
      </c>
      <c r="D551" s="3" t="s">
        <v>41</v>
      </c>
      <c r="E551" s="3" t="s">
        <v>25</v>
      </c>
      <c r="F551" s="3" t="s">
        <v>42</v>
      </c>
      <c r="G551" s="2">
        <v>66.06</v>
      </c>
      <c r="H551" s="2">
        <v>6</v>
      </c>
      <c r="I551" s="2">
        <v>19.818000000000001</v>
      </c>
      <c r="J551" s="2">
        <v>416.178</v>
      </c>
      <c r="K551" s="5">
        <v>43488</v>
      </c>
      <c r="L551" s="4">
        <v>0.43611111111111112</v>
      </c>
      <c r="M551" s="3" t="s">
        <v>49</v>
      </c>
      <c r="N551" s="2">
        <v>396.36</v>
      </c>
      <c r="O551" s="2">
        <v>4.7619047620000003</v>
      </c>
      <c r="P551" s="2">
        <v>19.818000000000001</v>
      </c>
      <c r="Q551" s="2">
        <v>7.3</v>
      </c>
      <c r="R551" s="3" t="str">
        <f t="shared" si="18"/>
        <v>January</v>
      </c>
      <c r="S551" s="3">
        <f t="shared" si="17"/>
        <v>1</v>
      </c>
      <c r="T551" s="3" t="str">
        <f>IF(tbl_sales[[#This Row],[Sales]]&gt;=500,"High Value","Standard")</f>
        <v>Standard</v>
      </c>
      <c r="U551" s="1" t="str">
        <f>IF(tbl_sales[[#This Row],[Order Size]]="High Value","High Value Order","Standard Order")</f>
        <v>Standard Order</v>
      </c>
      <c r="V551" s="1"/>
      <c r="W551" s="17" t="s">
        <v>37</v>
      </c>
      <c r="X551" s="17"/>
      <c r="Y551" s="6"/>
      <c r="Z551" s="1" t="s">
        <v>37</v>
      </c>
    </row>
    <row r="552" spans="1:26">
      <c r="A552" s="3" t="s">
        <v>3218</v>
      </c>
      <c r="B552" s="3" t="s">
        <v>115</v>
      </c>
      <c r="C552" s="3" t="s">
        <v>116</v>
      </c>
      <c r="D552" s="3" t="s">
        <v>41</v>
      </c>
      <c r="E552" s="3" t="s">
        <v>992</v>
      </c>
      <c r="F552" s="3" t="s">
        <v>127</v>
      </c>
      <c r="G552" s="2">
        <v>57.27</v>
      </c>
      <c r="H552" s="2">
        <v>3</v>
      </c>
      <c r="I552" s="2">
        <v>8.5905000000000005</v>
      </c>
      <c r="J552" s="2">
        <v>180.40049999999999</v>
      </c>
      <c r="K552" s="5">
        <v>43505</v>
      </c>
      <c r="L552" s="4">
        <v>0.85486111111111107</v>
      </c>
      <c r="M552" s="3" t="s">
        <v>33</v>
      </c>
      <c r="N552" s="2">
        <v>171.81</v>
      </c>
      <c r="O552" s="2">
        <v>4.7619047620000003</v>
      </c>
      <c r="P552" s="2">
        <v>8.5905000000000005</v>
      </c>
      <c r="Q552" s="2">
        <v>6.5</v>
      </c>
      <c r="R552" s="3" t="str">
        <f t="shared" si="18"/>
        <v>February</v>
      </c>
      <c r="S552" s="3">
        <f t="shared" si="17"/>
        <v>2</v>
      </c>
      <c r="T552" s="3" t="str">
        <f>IF(tbl_sales[[#This Row],[Sales]]&gt;=500,"High Value","Standard")</f>
        <v>Standard</v>
      </c>
      <c r="U552" s="1" t="str">
        <f>IF(tbl_sales[[#This Row],[Order Size]]="High Value","High Value Order","Standard Order")</f>
        <v>Standard Order</v>
      </c>
      <c r="V552" s="1"/>
      <c r="W552" s="17" t="s">
        <v>37</v>
      </c>
      <c r="X552" s="17"/>
      <c r="Y552" s="6"/>
      <c r="Z552" s="1" t="s">
        <v>37</v>
      </c>
    </row>
    <row r="553" spans="1:26">
      <c r="A553" s="3" t="s">
        <v>3223</v>
      </c>
      <c r="B553" s="3" t="s">
        <v>115</v>
      </c>
      <c r="C553" s="3" t="s">
        <v>116</v>
      </c>
      <c r="D553" s="3" t="s">
        <v>41</v>
      </c>
      <c r="E553" s="3" t="s">
        <v>25</v>
      </c>
      <c r="F553" s="3" t="s">
        <v>127</v>
      </c>
      <c r="G553" s="2">
        <v>54.31</v>
      </c>
      <c r="H553" s="2">
        <v>9</v>
      </c>
      <c r="I553" s="2">
        <v>24.439499999999999</v>
      </c>
      <c r="J553" s="2">
        <v>513.22950000000003</v>
      </c>
      <c r="K553" s="5">
        <v>43518</v>
      </c>
      <c r="L553" s="4">
        <v>0.45069444444444445</v>
      </c>
      <c r="M553" s="3" t="s">
        <v>49</v>
      </c>
      <c r="N553" s="2">
        <v>488.79</v>
      </c>
      <c r="O553" s="2">
        <v>4.7619047620000003</v>
      </c>
      <c r="P553" s="2">
        <v>24.439499999999999</v>
      </c>
      <c r="Q553" s="2">
        <v>8.9</v>
      </c>
      <c r="R553" s="3" t="str">
        <f t="shared" si="18"/>
        <v>February</v>
      </c>
      <c r="S553" s="3">
        <f t="shared" si="17"/>
        <v>2</v>
      </c>
      <c r="T553" s="3" t="str">
        <f>IF(tbl_sales[[#This Row],[Sales]]&gt;=500,"High Value","Standard")</f>
        <v>High Value</v>
      </c>
      <c r="U553" s="1" t="str">
        <f>IF(tbl_sales[[#This Row],[Order Size]]="High Value","High Value Order","Standard Order")</f>
        <v>High Value Order</v>
      </c>
      <c r="V553" s="1"/>
      <c r="W553" s="17" t="s">
        <v>37</v>
      </c>
      <c r="X553" s="17"/>
      <c r="Y553" s="6"/>
      <c r="Z553" s="1" t="s">
        <v>37</v>
      </c>
    </row>
    <row r="554" spans="1:26">
      <c r="A554" s="3" t="s">
        <v>3229</v>
      </c>
      <c r="B554" s="3" t="s">
        <v>115</v>
      </c>
      <c r="C554" s="3" t="s">
        <v>116</v>
      </c>
      <c r="D554" s="3" t="s">
        <v>41</v>
      </c>
      <c r="E554" s="3" t="s">
        <v>25</v>
      </c>
      <c r="F554" s="3" t="s">
        <v>26</v>
      </c>
      <c r="G554" s="2">
        <v>58.24</v>
      </c>
      <c r="H554" s="2">
        <v>9</v>
      </c>
      <c r="I554" s="2">
        <v>26.207999999999998</v>
      </c>
      <c r="J554" s="2">
        <v>550.36800000000005</v>
      </c>
      <c r="K554" s="5">
        <v>43501</v>
      </c>
      <c r="L554" s="4">
        <v>0.52361111111111114</v>
      </c>
      <c r="M554" s="3" t="s">
        <v>49</v>
      </c>
      <c r="N554" s="2">
        <v>524.16</v>
      </c>
      <c r="O554" s="2">
        <v>4.7619047620000003</v>
      </c>
      <c r="P554" s="2">
        <v>26.207999999999998</v>
      </c>
      <c r="Q554" s="2">
        <v>9.6999999999999993</v>
      </c>
      <c r="R554" s="3" t="str">
        <f t="shared" si="18"/>
        <v>February</v>
      </c>
      <c r="S554" s="3">
        <f t="shared" si="17"/>
        <v>2</v>
      </c>
      <c r="T554" s="3" t="str">
        <f>IF(tbl_sales[[#This Row],[Sales]]&gt;=500,"High Value","Standard")</f>
        <v>High Value</v>
      </c>
      <c r="U554" s="1" t="str">
        <f>IF(tbl_sales[[#This Row],[Order Size]]="High Value","High Value Order","Standard Order")</f>
        <v>High Value Order</v>
      </c>
      <c r="V554" s="1"/>
      <c r="W554" s="17" t="s">
        <v>37</v>
      </c>
      <c r="X554" s="17"/>
      <c r="Y554" s="6"/>
      <c r="Z554" s="1" t="s">
        <v>37</v>
      </c>
    </row>
    <row r="555" spans="1:26">
      <c r="A555" s="3" t="s">
        <v>3235</v>
      </c>
      <c r="B555" s="3" t="s">
        <v>39</v>
      </c>
      <c r="C555" s="3" t="s">
        <v>40</v>
      </c>
      <c r="D555" s="3" t="s">
        <v>41</v>
      </c>
      <c r="E555" s="3" t="s">
        <v>992</v>
      </c>
      <c r="F555" s="3" t="s">
        <v>42</v>
      </c>
      <c r="G555" s="2">
        <v>22.21</v>
      </c>
      <c r="H555" s="2">
        <v>6</v>
      </c>
      <c r="I555" s="2">
        <v>6.6630000000000003</v>
      </c>
      <c r="J555" s="2">
        <v>139.923</v>
      </c>
      <c r="K555" s="5">
        <v>43531</v>
      </c>
      <c r="L555" s="4">
        <v>0.43263888888888891</v>
      </c>
      <c r="M555" s="3" t="s">
        <v>59</v>
      </c>
      <c r="N555" s="2">
        <v>133.26</v>
      </c>
      <c r="O555" s="2">
        <v>4.7619047620000003</v>
      </c>
      <c r="P555" s="2">
        <v>6.6630000000000003</v>
      </c>
      <c r="Q555" s="2">
        <v>8.6</v>
      </c>
      <c r="R555" s="3" t="str">
        <f t="shared" si="18"/>
        <v>March</v>
      </c>
      <c r="S555" s="3">
        <f t="shared" si="17"/>
        <v>3</v>
      </c>
      <c r="T555" s="3" t="str">
        <f>IF(tbl_sales[[#This Row],[Sales]]&gt;=500,"High Value","Standard")</f>
        <v>Standard</v>
      </c>
      <c r="U555" s="1" t="str">
        <f>IF(tbl_sales[[#This Row],[Order Size]]="High Value","High Value Order","Standard Order")</f>
        <v>Standard Order</v>
      </c>
      <c r="V555" s="1"/>
      <c r="W555" s="17" t="s">
        <v>37</v>
      </c>
      <c r="X555" s="17"/>
      <c r="Y555" s="6"/>
      <c r="Z555" s="1" t="s">
        <v>37</v>
      </c>
    </row>
    <row r="556" spans="1:26">
      <c r="A556" s="3" t="s">
        <v>3240</v>
      </c>
      <c r="B556" s="3" t="s">
        <v>22</v>
      </c>
      <c r="C556" s="3" t="s">
        <v>23</v>
      </c>
      <c r="D556" s="3" t="s">
        <v>24</v>
      </c>
      <c r="E556" s="3" t="s">
        <v>992</v>
      </c>
      <c r="F556" s="3" t="s">
        <v>42</v>
      </c>
      <c r="G556" s="2">
        <v>19.32</v>
      </c>
      <c r="H556" s="2">
        <v>7</v>
      </c>
      <c r="I556" s="2">
        <v>6.7619999999999996</v>
      </c>
      <c r="J556" s="2">
        <v>142.00200000000001</v>
      </c>
      <c r="K556" s="5">
        <v>43549</v>
      </c>
      <c r="L556" s="4">
        <v>0.78541666666666665</v>
      </c>
      <c r="M556" s="3" t="s">
        <v>49</v>
      </c>
      <c r="N556" s="2">
        <v>135.24</v>
      </c>
      <c r="O556" s="2">
        <v>4.7619047620000003</v>
      </c>
      <c r="P556" s="2">
        <v>6.7619999999999996</v>
      </c>
      <c r="Q556" s="2">
        <v>6.9</v>
      </c>
      <c r="R556" s="3" t="str">
        <f t="shared" si="18"/>
        <v>March</v>
      </c>
      <c r="S556" s="3">
        <f t="shared" si="17"/>
        <v>3</v>
      </c>
      <c r="T556" s="3" t="str">
        <f>IF(tbl_sales[[#This Row],[Sales]]&gt;=500,"High Value","Standard")</f>
        <v>Standard</v>
      </c>
      <c r="U556" s="1" t="str">
        <f>IF(tbl_sales[[#This Row],[Order Size]]="High Value","High Value Order","Standard Order")</f>
        <v>Standard Order</v>
      </c>
      <c r="V556" s="1"/>
      <c r="W556" s="17" t="s">
        <v>37</v>
      </c>
      <c r="X556" s="17"/>
      <c r="Y556" s="6"/>
      <c r="Z556" s="1" t="s">
        <v>37</v>
      </c>
    </row>
    <row r="557" spans="1:26">
      <c r="A557" s="3" t="s">
        <v>3246</v>
      </c>
      <c r="B557" s="3" t="s">
        <v>115</v>
      </c>
      <c r="C557" s="3" t="s">
        <v>116</v>
      </c>
      <c r="D557" s="3" t="s">
        <v>41</v>
      </c>
      <c r="E557" s="3" t="s">
        <v>992</v>
      </c>
      <c r="F557" s="3" t="s">
        <v>53</v>
      </c>
      <c r="G557" s="2">
        <v>37.479999999999997</v>
      </c>
      <c r="H557" s="2">
        <v>3</v>
      </c>
      <c r="I557" s="2">
        <v>5.6219999999999999</v>
      </c>
      <c r="J557" s="2">
        <v>118.062</v>
      </c>
      <c r="K557" s="5">
        <v>43485</v>
      </c>
      <c r="L557" s="4">
        <v>0.57291666666666663</v>
      </c>
      <c r="M557" s="3" t="s">
        <v>59</v>
      </c>
      <c r="N557" s="2">
        <v>112.44</v>
      </c>
      <c r="O557" s="2">
        <v>4.7619047620000003</v>
      </c>
      <c r="P557" s="2">
        <v>5.6219999999999999</v>
      </c>
      <c r="Q557" s="2">
        <v>7.7</v>
      </c>
      <c r="R557" s="3" t="str">
        <f t="shared" si="18"/>
        <v>January</v>
      </c>
      <c r="S557" s="3">
        <f t="shared" si="17"/>
        <v>1</v>
      </c>
      <c r="T557" s="3" t="str">
        <f>IF(tbl_sales[[#This Row],[Sales]]&gt;=500,"High Value","Standard")</f>
        <v>Standard</v>
      </c>
      <c r="U557" s="1" t="str">
        <f>IF(tbl_sales[[#This Row],[Order Size]]="High Value","High Value Order","Standard Order")</f>
        <v>Standard Order</v>
      </c>
      <c r="V557" s="1"/>
      <c r="W557" s="17" t="s">
        <v>37</v>
      </c>
      <c r="X557" s="17"/>
      <c r="Y557" s="6"/>
      <c r="Z557" s="1" t="s">
        <v>37</v>
      </c>
    </row>
    <row r="558" spans="1:26">
      <c r="A558" s="3" t="s">
        <v>3251</v>
      </c>
      <c r="B558" s="3" t="s">
        <v>115</v>
      </c>
      <c r="C558" s="3" t="s">
        <v>116</v>
      </c>
      <c r="D558" s="3" t="s">
        <v>24</v>
      </c>
      <c r="E558" s="3" t="s">
        <v>25</v>
      </c>
      <c r="F558" s="3" t="s">
        <v>127</v>
      </c>
      <c r="G558" s="2">
        <v>72.040000000000006</v>
      </c>
      <c r="H558" s="2">
        <v>2</v>
      </c>
      <c r="I558" s="2">
        <v>7.2039999999999997</v>
      </c>
      <c r="J558" s="2">
        <v>151.28399999999999</v>
      </c>
      <c r="K558" s="5">
        <v>43500</v>
      </c>
      <c r="L558" s="4">
        <v>0.81805555555555554</v>
      </c>
      <c r="M558" s="3" t="s">
        <v>49</v>
      </c>
      <c r="N558" s="2">
        <v>144.08000000000001</v>
      </c>
      <c r="O558" s="2">
        <v>4.7619047620000003</v>
      </c>
      <c r="P558" s="2">
        <v>7.2039999999999997</v>
      </c>
      <c r="Q558" s="2">
        <v>9.5</v>
      </c>
      <c r="R558" s="3" t="str">
        <f t="shared" si="18"/>
        <v>February</v>
      </c>
      <c r="S558" s="3">
        <f t="shared" si="17"/>
        <v>2</v>
      </c>
      <c r="T558" s="3" t="str">
        <f>IF(tbl_sales[[#This Row],[Sales]]&gt;=500,"High Value","Standard")</f>
        <v>Standard</v>
      </c>
      <c r="U558" s="1" t="str">
        <f>IF(tbl_sales[[#This Row],[Order Size]]="High Value","High Value Order","Standard Order")</f>
        <v>Standard Order</v>
      </c>
      <c r="V558" s="1"/>
      <c r="W558" s="17" t="s">
        <v>37</v>
      </c>
      <c r="X558" s="17"/>
      <c r="Y558" s="6"/>
      <c r="Z558" s="1" t="s">
        <v>37</v>
      </c>
    </row>
    <row r="559" spans="1:26">
      <c r="A559" s="3" t="s">
        <v>3257</v>
      </c>
      <c r="B559" s="3" t="s">
        <v>39</v>
      </c>
      <c r="C559" s="3" t="s">
        <v>40</v>
      </c>
      <c r="D559" s="3" t="s">
        <v>24</v>
      </c>
      <c r="E559" s="3" t="s">
        <v>25</v>
      </c>
      <c r="F559" s="3" t="s">
        <v>117</v>
      </c>
      <c r="G559" s="2">
        <v>98.52</v>
      </c>
      <c r="H559" s="2">
        <v>10</v>
      </c>
      <c r="I559" s="2">
        <v>49.26</v>
      </c>
      <c r="J559" s="2">
        <v>1034.46</v>
      </c>
      <c r="K559" s="5">
        <v>43495</v>
      </c>
      <c r="L559" s="4">
        <v>0.84930555555555554</v>
      </c>
      <c r="M559" s="3" t="s">
        <v>33</v>
      </c>
      <c r="N559" s="2">
        <v>985.2</v>
      </c>
      <c r="O559" s="2">
        <v>4.7619047620000003</v>
      </c>
      <c r="P559" s="2">
        <v>49.26</v>
      </c>
      <c r="Q559" s="2">
        <v>4.5</v>
      </c>
      <c r="R559" s="3" t="str">
        <f t="shared" si="18"/>
        <v>January</v>
      </c>
      <c r="S559" s="3">
        <f t="shared" si="17"/>
        <v>1</v>
      </c>
      <c r="T559" s="3" t="str">
        <f>IF(tbl_sales[[#This Row],[Sales]]&gt;=500,"High Value","Standard")</f>
        <v>High Value</v>
      </c>
      <c r="U559" s="1" t="str">
        <f>IF(tbl_sales[[#This Row],[Order Size]]="High Value","High Value Order","Standard Order")</f>
        <v>High Value Order</v>
      </c>
      <c r="V559" s="1"/>
      <c r="W559" s="17" t="s">
        <v>37</v>
      </c>
      <c r="X559" s="17"/>
      <c r="Y559" s="6"/>
      <c r="Z559" s="1" t="s">
        <v>37</v>
      </c>
    </row>
    <row r="560" spans="1:26">
      <c r="A560" s="3" t="s">
        <v>3262</v>
      </c>
      <c r="B560" s="3" t="s">
        <v>22</v>
      </c>
      <c r="C560" s="3" t="s">
        <v>23</v>
      </c>
      <c r="D560" s="3" t="s">
        <v>24</v>
      </c>
      <c r="E560" s="3" t="s">
        <v>992</v>
      </c>
      <c r="F560" s="3" t="s">
        <v>117</v>
      </c>
      <c r="G560" s="2">
        <v>41.66</v>
      </c>
      <c r="H560" s="2">
        <v>6</v>
      </c>
      <c r="I560" s="2">
        <v>12.497999999999999</v>
      </c>
      <c r="J560" s="2">
        <v>262.45800000000003</v>
      </c>
      <c r="K560" s="5">
        <v>43467</v>
      </c>
      <c r="L560" s="4">
        <v>0.64166666666666672</v>
      </c>
      <c r="M560" s="3" t="s">
        <v>33</v>
      </c>
      <c r="N560" s="2">
        <v>249.96</v>
      </c>
      <c r="O560" s="2">
        <v>4.7619047620000003</v>
      </c>
      <c r="P560" s="2">
        <v>12.497999999999999</v>
      </c>
      <c r="Q560" s="2">
        <v>5.6</v>
      </c>
      <c r="R560" s="3" t="str">
        <f t="shared" si="18"/>
        <v>January</v>
      </c>
      <c r="S560" s="3">
        <f t="shared" si="17"/>
        <v>1</v>
      </c>
      <c r="T560" s="3" t="str">
        <f>IF(tbl_sales[[#This Row],[Sales]]&gt;=500,"High Value","Standard")</f>
        <v>Standard</v>
      </c>
      <c r="U560" s="1" t="str">
        <f>IF(tbl_sales[[#This Row],[Order Size]]="High Value","High Value Order","Standard Order")</f>
        <v>Standard Order</v>
      </c>
      <c r="V560" s="1"/>
      <c r="W560" s="17" t="s">
        <v>37</v>
      </c>
      <c r="X560" s="17"/>
      <c r="Y560" s="6"/>
      <c r="Z560" s="1" t="s">
        <v>37</v>
      </c>
    </row>
    <row r="561" spans="1:26">
      <c r="A561" s="3" t="s">
        <v>3267</v>
      </c>
      <c r="B561" s="3" t="s">
        <v>22</v>
      </c>
      <c r="C561" s="3" t="s">
        <v>23</v>
      </c>
      <c r="D561" s="3" t="s">
        <v>24</v>
      </c>
      <c r="E561" s="3" t="s">
        <v>25</v>
      </c>
      <c r="F561" s="3" t="s">
        <v>53</v>
      </c>
      <c r="G561" s="2">
        <v>72.42</v>
      </c>
      <c r="H561" s="2">
        <v>3</v>
      </c>
      <c r="I561" s="2">
        <v>10.863</v>
      </c>
      <c r="J561" s="2">
        <v>228.12299999999999</v>
      </c>
      <c r="K561" s="5">
        <v>43553</v>
      </c>
      <c r="L561" s="4">
        <v>0.70416666666666672</v>
      </c>
      <c r="M561" s="3" t="s">
        <v>33</v>
      </c>
      <c r="N561" s="2">
        <v>217.26</v>
      </c>
      <c r="O561" s="2">
        <v>4.7619047620000003</v>
      </c>
      <c r="P561" s="2">
        <v>10.863</v>
      </c>
      <c r="Q561" s="2">
        <v>8.1999999999999993</v>
      </c>
      <c r="R561" s="3" t="str">
        <f t="shared" si="18"/>
        <v>March</v>
      </c>
      <c r="S561" s="3">
        <f t="shared" si="17"/>
        <v>3</v>
      </c>
      <c r="T561" s="3" t="str">
        <f>IF(tbl_sales[[#This Row],[Sales]]&gt;=500,"High Value","Standard")</f>
        <v>Standard</v>
      </c>
      <c r="U561" s="1" t="str">
        <f>IF(tbl_sales[[#This Row],[Order Size]]="High Value","High Value Order","Standard Order")</f>
        <v>Standard Order</v>
      </c>
      <c r="V561" s="1"/>
      <c r="W561" s="17" t="s">
        <v>37</v>
      </c>
      <c r="X561" s="17"/>
      <c r="Y561" s="6"/>
      <c r="Z561" s="1" t="s">
        <v>37</v>
      </c>
    </row>
    <row r="562" spans="1:26">
      <c r="A562" s="3" t="s">
        <v>3272</v>
      </c>
      <c r="B562" s="3" t="s">
        <v>115</v>
      </c>
      <c r="C562" s="3" t="s">
        <v>116</v>
      </c>
      <c r="D562" s="3" t="s">
        <v>41</v>
      </c>
      <c r="E562" s="3" t="s">
        <v>992</v>
      </c>
      <c r="F562" s="3" t="s">
        <v>42</v>
      </c>
      <c r="G562" s="2">
        <v>21.58</v>
      </c>
      <c r="H562" s="2">
        <v>9</v>
      </c>
      <c r="I562" s="2">
        <v>9.7110000000000003</v>
      </c>
      <c r="J562" s="2">
        <v>203.93100000000001</v>
      </c>
      <c r="K562" s="5">
        <v>43538</v>
      </c>
      <c r="L562" s="4">
        <v>0.52222222222222225</v>
      </c>
      <c r="M562" s="3" t="s">
        <v>49</v>
      </c>
      <c r="N562" s="2">
        <v>194.22</v>
      </c>
      <c r="O562" s="2">
        <v>4.7619047620000003</v>
      </c>
      <c r="P562" s="2">
        <v>9.7110000000000003</v>
      </c>
      <c r="Q562" s="2">
        <v>7.3</v>
      </c>
      <c r="R562" s="3" t="str">
        <f t="shared" si="18"/>
        <v>March</v>
      </c>
      <c r="S562" s="3">
        <f t="shared" si="17"/>
        <v>3</v>
      </c>
      <c r="T562" s="3" t="str">
        <f>IF(tbl_sales[[#This Row],[Sales]]&gt;=500,"High Value","Standard")</f>
        <v>Standard</v>
      </c>
      <c r="U562" s="1" t="str">
        <f>IF(tbl_sales[[#This Row],[Order Size]]="High Value","High Value Order","Standard Order")</f>
        <v>Standard Order</v>
      </c>
      <c r="V562" s="1"/>
      <c r="W562" s="17" t="s">
        <v>37</v>
      </c>
      <c r="X562" s="17"/>
      <c r="Y562" s="6"/>
      <c r="Z562" s="1" t="s">
        <v>37</v>
      </c>
    </row>
    <row r="563" spans="1:26">
      <c r="A563" s="3" t="s">
        <v>3277</v>
      </c>
      <c r="B563" s="3" t="s">
        <v>39</v>
      </c>
      <c r="C563" s="3" t="s">
        <v>40</v>
      </c>
      <c r="D563" s="3" t="s">
        <v>41</v>
      </c>
      <c r="E563" s="3" t="s">
        <v>992</v>
      </c>
      <c r="F563" s="3" t="s">
        <v>117</v>
      </c>
      <c r="G563" s="2">
        <v>89.2</v>
      </c>
      <c r="H563" s="2">
        <v>10</v>
      </c>
      <c r="I563" s="2">
        <v>44.6</v>
      </c>
      <c r="J563" s="2">
        <v>936.6</v>
      </c>
      <c r="K563" s="5">
        <v>43507</v>
      </c>
      <c r="L563" s="4">
        <v>0.65416666666666667</v>
      </c>
      <c r="M563" s="3" t="s">
        <v>59</v>
      </c>
      <c r="N563" s="2">
        <v>892</v>
      </c>
      <c r="O563" s="2">
        <v>4.7619047620000003</v>
      </c>
      <c r="P563" s="2">
        <v>44.6</v>
      </c>
      <c r="Q563" s="2">
        <v>4.4000000000000004</v>
      </c>
      <c r="R563" s="3" t="str">
        <f t="shared" si="18"/>
        <v>February</v>
      </c>
      <c r="S563" s="3">
        <f t="shared" si="17"/>
        <v>2</v>
      </c>
      <c r="T563" s="3" t="str">
        <f>IF(tbl_sales[[#This Row],[Sales]]&gt;=500,"High Value","Standard")</f>
        <v>High Value</v>
      </c>
      <c r="U563" s="1" t="str">
        <f>IF(tbl_sales[[#This Row],[Order Size]]="High Value","High Value Order","Standard Order")</f>
        <v>High Value Order</v>
      </c>
      <c r="V563" s="1"/>
      <c r="W563" s="17" t="s">
        <v>37</v>
      </c>
      <c r="X563" s="17"/>
      <c r="Y563" s="6"/>
      <c r="Z563" s="1" t="s">
        <v>37</v>
      </c>
    </row>
    <row r="564" spans="1:26">
      <c r="A564" s="3" t="s">
        <v>3282</v>
      </c>
      <c r="B564" s="3" t="s">
        <v>115</v>
      </c>
      <c r="C564" s="3" t="s">
        <v>116</v>
      </c>
      <c r="D564" s="3" t="s">
        <v>41</v>
      </c>
      <c r="E564" s="3" t="s">
        <v>25</v>
      </c>
      <c r="F564" s="3" t="s">
        <v>42</v>
      </c>
      <c r="G564" s="2">
        <v>42.42</v>
      </c>
      <c r="H564" s="2">
        <v>8</v>
      </c>
      <c r="I564" s="2">
        <v>16.968</v>
      </c>
      <c r="J564" s="2">
        <v>356.32799999999997</v>
      </c>
      <c r="K564" s="5">
        <v>43495</v>
      </c>
      <c r="L564" s="4">
        <v>0.58194444444444449</v>
      </c>
      <c r="M564" s="3" t="s">
        <v>33</v>
      </c>
      <c r="N564" s="2">
        <v>339.36</v>
      </c>
      <c r="O564" s="2">
        <v>4.7619047620000003</v>
      </c>
      <c r="P564" s="2">
        <v>16.968</v>
      </c>
      <c r="Q564" s="2">
        <v>5.7</v>
      </c>
      <c r="R564" s="3" t="str">
        <f t="shared" si="18"/>
        <v>January</v>
      </c>
      <c r="S564" s="3">
        <f t="shared" si="17"/>
        <v>1</v>
      </c>
      <c r="T564" s="3" t="str">
        <f>IF(tbl_sales[[#This Row],[Sales]]&gt;=500,"High Value","Standard")</f>
        <v>Standard</v>
      </c>
      <c r="U564" s="1" t="str">
        <f>IF(tbl_sales[[#This Row],[Order Size]]="High Value","High Value Order","Standard Order")</f>
        <v>Standard Order</v>
      </c>
      <c r="V564" s="1"/>
      <c r="W564" s="17" t="s">
        <v>37</v>
      </c>
      <c r="X564" s="17"/>
      <c r="Y564" s="6"/>
      <c r="Z564" s="1" t="s">
        <v>37</v>
      </c>
    </row>
    <row r="565" spans="1:26">
      <c r="A565" s="3" t="s">
        <v>3286</v>
      </c>
      <c r="B565" s="3" t="s">
        <v>22</v>
      </c>
      <c r="C565" s="3" t="s">
        <v>23</v>
      </c>
      <c r="D565" s="3" t="s">
        <v>24</v>
      </c>
      <c r="E565" s="3" t="s">
        <v>992</v>
      </c>
      <c r="F565" s="3" t="s">
        <v>42</v>
      </c>
      <c r="G565" s="2">
        <v>74.510000000000005</v>
      </c>
      <c r="H565" s="2">
        <v>6</v>
      </c>
      <c r="I565" s="2">
        <v>22.353000000000002</v>
      </c>
      <c r="J565" s="2">
        <v>469.41300000000001</v>
      </c>
      <c r="K565" s="5">
        <v>43544</v>
      </c>
      <c r="L565" s="4">
        <v>0.63055555555555554</v>
      </c>
      <c r="M565" s="3" t="s">
        <v>33</v>
      </c>
      <c r="N565" s="2">
        <v>447.06</v>
      </c>
      <c r="O565" s="2">
        <v>4.7619047620000003</v>
      </c>
      <c r="P565" s="2">
        <v>22.353000000000002</v>
      </c>
      <c r="Q565" s="2">
        <v>5</v>
      </c>
      <c r="R565" s="3" t="str">
        <f t="shared" si="18"/>
        <v>March</v>
      </c>
      <c r="S565" s="3">
        <f t="shared" si="17"/>
        <v>3</v>
      </c>
      <c r="T565" s="3" t="str">
        <f>IF(tbl_sales[[#This Row],[Sales]]&gt;=500,"High Value","Standard")</f>
        <v>Standard</v>
      </c>
      <c r="U565" s="1" t="str">
        <f>IF(tbl_sales[[#This Row],[Order Size]]="High Value","High Value Order","Standard Order")</f>
        <v>Standard Order</v>
      </c>
      <c r="V565" s="1"/>
      <c r="W565" s="17" t="s">
        <v>37</v>
      </c>
      <c r="X565" s="17"/>
      <c r="Y565" s="6"/>
      <c r="Z565" s="1" t="s">
        <v>37</v>
      </c>
    </row>
    <row r="566" spans="1:26">
      <c r="A566" s="3" t="s">
        <v>3291</v>
      </c>
      <c r="B566" s="3" t="s">
        <v>115</v>
      </c>
      <c r="C566" s="3" t="s">
        <v>116</v>
      </c>
      <c r="D566" s="3" t="s">
        <v>41</v>
      </c>
      <c r="E566" s="3" t="s">
        <v>992</v>
      </c>
      <c r="F566" s="3" t="s">
        <v>127</v>
      </c>
      <c r="G566" s="2">
        <v>99.25</v>
      </c>
      <c r="H566" s="2">
        <v>2</v>
      </c>
      <c r="I566" s="2">
        <v>9.9250000000000007</v>
      </c>
      <c r="J566" s="2">
        <v>208.42500000000001</v>
      </c>
      <c r="K566" s="5">
        <v>43544</v>
      </c>
      <c r="L566" s="4">
        <v>0.54305555555555551</v>
      </c>
      <c r="M566" s="3" t="s">
        <v>49</v>
      </c>
      <c r="N566" s="2">
        <v>198.5</v>
      </c>
      <c r="O566" s="2">
        <v>4.7619047620000003</v>
      </c>
      <c r="P566" s="2">
        <v>9.9250000000000007</v>
      </c>
      <c r="Q566" s="2">
        <v>9</v>
      </c>
      <c r="R566" s="3" t="str">
        <f t="shared" si="18"/>
        <v>March</v>
      </c>
      <c r="S566" s="3">
        <f t="shared" si="17"/>
        <v>3</v>
      </c>
      <c r="T566" s="3" t="str">
        <f>IF(tbl_sales[[#This Row],[Sales]]&gt;=500,"High Value","Standard")</f>
        <v>Standard</v>
      </c>
      <c r="U566" s="1" t="str">
        <f>IF(tbl_sales[[#This Row],[Order Size]]="High Value","High Value Order","Standard Order")</f>
        <v>Standard Order</v>
      </c>
      <c r="V566" s="1"/>
      <c r="W566" s="17" t="s">
        <v>37</v>
      </c>
      <c r="X566" s="17"/>
      <c r="Y566" s="6"/>
      <c r="Z566" s="1" t="s">
        <v>37</v>
      </c>
    </row>
    <row r="567" spans="1:26">
      <c r="A567" s="3" t="s">
        <v>3296</v>
      </c>
      <c r="B567" s="3" t="s">
        <v>22</v>
      </c>
      <c r="C567" s="3" t="s">
        <v>23</v>
      </c>
      <c r="D567" s="3" t="s">
        <v>41</v>
      </c>
      <c r="E567" s="3" t="s">
        <v>25</v>
      </c>
      <c r="F567" s="3" t="s">
        <v>117</v>
      </c>
      <c r="G567" s="2">
        <v>81.209999999999994</v>
      </c>
      <c r="H567" s="2">
        <v>10</v>
      </c>
      <c r="I567" s="2">
        <v>40.604999999999997</v>
      </c>
      <c r="J567" s="2">
        <v>852.70500000000004</v>
      </c>
      <c r="K567" s="5">
        <v>43482</v>
      </c>
      <c r="L567" s="4">
        <v>0.54236111111111107</v>
      </c>
      <c r="M567" s="3" t="s">
        <v>59</v>
      </c>
      <c r="N567" s="2">
        <v>812.1</v>
      </c>
      <c r="O567" s="2">
        <v>4.7619047620000003</v>
      </c>
      <c r="P567" s="2">
        <v>40.604999999999997</v>
      </c>
      <c r="Q567" s="2">
        <v>6.3</v>
      </c>
      <c r="R567" s="3" t="str">
        <f t="shared" si="18"/>
        <v>January</v>
      </c>
      <c r="S567" s="3">
        <f t="shared" si="17"/>
        <v>1</v>
      </c>
      <c r="T567" s="3" t="str">
        <f>IF(tbl_sales[[#This Row],[Sales]]&gt;=500,"High Value","Standard")</f>
        <v>High Value</v>
      </c>
      <c r="U567" s="1" t="str">
        <f>IF(tbl_sales[[#This Row],[Order Size]]="High Value","High Value Order","Standard Order")</f>
        <v>High Value Order</v>
      </c>
      <c r="V567" s="1"/>
      <c r="W567" s="17" t="s">
        <v>37</v>
      </c>
      <c r="X567" s="17"/>
      <c r="Y567" s="6"/>
      <c r="Z567" s="1" t="s">
        <v>37</v>
      </c>
    </row>
    <row r="568" spans="1:26">
      <c r="A568" s="3" t="s">
        <v>3301</v>
      </c>
      <c r="B568" s="3" t="s">
        <v>39</v>
      </c>
      <c r="C568" s="3" t="s">
        <v>40</v>
      </c>
      <c r="D568" s="3" t="s">
        <v>41</v>
      </c>
      <c r="E568" s="3" t="s">
        <v>25</v>
      </c>
      <c r="F568" s="3" t="s">
        <v>72</v>
      </c>
      <c r="G568" s="2">
        <v>49.33</v>
      </c>
      <c r="H568" s="2">
        <v>10</v>
      </c>
      <c r="I568" s="2">
        <v>24.664999999999999</v>
      </c>
      <c r="J568" s="2">
        <v>517.96500000000003</v>
      </c>
      <c r="K568" s="5">
        <v>43499</v>
      </c>
      <c r="L568" s="4">
        <v>0.69444444444444442</v>
      </c>
      <c r="M568" s="3" t="s">
        <v>59</v>
      </c>
      <c r="N568" s="2">
        <v>493.3</v>
      </c>
      <c r="O568" s="2">
        <v>4.7619047620000003</v>
      </c>
      <c r="P568" s="2">
        <v>24.664999999999999</v>
      </c>
      <c r="Q568" s="2">
        <v>9.4</v>
      </c>
      <c r="R568" s="3" t="str">
        <f t="shared" si="18"/>
        <v>February</v>
      </c>
      <c r="S568" s="3">
        <f t="shared" si="17"/>
        <v>2</v>
      </c>
      <c r="T568" s="3" t="str">
        <f>IF(tbl_sales[[#This Row],[Sales]]&gt;=500,"High Value","Standard")</f>
        <v>High Value</v>
      </c>
      <c r="U568" s="1" t="str">
        <f>IF(tbl_sales[[#This Row],[Order Size]]="High Value","High Value Order","Standard Order")</f>
        <v>High Value Order</v>
      </c>
      <c r="V568" s="1"/>
      <c r="W568" s="17" t="s">
        <v>37</v>
      </c>
      <c r="X568" s="17"/>
      <c r="Y568" s="6"/>
      <c r="Z568" s="1" t="s">
        <v>37</v>
      </c>
    </row>
    <row r="569" spans="1:26">
      <c r="A569" s="3" t="s">
        <v>3306</v>
      </c>
      <c r="B569" s="3" t="s">
        <v>22</v>
      </c>
      <c r="C569" s="3" t="s">
        <v>23</v>
      </c>
      <c r="D569" s="3" t="s">
        <v>41</v>
      </c>
      <c r="E569" s="3" t="s">
        <v>25</v>
      </c>
      <c r="F569" s="3" t="s">
        <v>127</v>
      </c>
      <c r="G569" s="2">
        <v>65.739999999999995</v>
      </c>
      <c r="H569" s="2">
        <v>9</v>
      </c>
      <c r="I569" s="2">
        <v>29.582999999999998</v>
      </c>
      <c r="J569" s="2">
        <v>621.24300000000005</v>
      </c>
      <c r="K569" s="5">
        <v>43466</v>
      </c>
      <c r="L569" s="4">
        <v>0.57986111111111116</v>
      </c>
      <c r="M569" s="3" t="s">
        <v>49</v>
      </c>
      <c r="N569" s="2">
        <v>591.66</v>
      </c>
      <c r="O569" s="2">
        <v>4.7619047620000003</v>
      </c>
      <c r="P569" s="2">
        <v>29.582999999999998</v>
      </c>
      <c r="Q569" s="2">
        <v>7.7</v>
      </c>
      <c r="R569" s="3" t="str">
        <f t="shared" si="18"/>
        <v>January</v>
      </c>
      <c r="S569" s="3">
        <f t="shared" si="17"/>
        <v>1</v>
      </c>
      <c r="T569" s="3" t="str">
        <f>IF(tbl_sales[[#This Row],[Sales]]&gt;=500,"High Value","Standard")</f>
        <v>High Value</v>
      </c>
      <c r="U569" s="1" t="str">
        <f>IF(tbl_sales[[#This Row],[Order Size]]="High Value","High Value Order","Standard Order")</f>
        <v>High Value Order</v>
      </c>
      <c r="V569" s="1"/>
      <c r="W569" s="17" t="s">
        <v>37</v>
      </c>
      <c r="X569" s="17"/>
      <c r="Y569" s="6"/>
      <c r="Z569" s="1" t="s">
        <v>37</v>
      </c>
    </row>
    <row r="570" spans="1:26">
      <c r="A570" s="3" t="s">
        <v>3311</v>
      </c>
      <c r="B570" s="3" t="s">
        <v>115</v>
      </c>
      <c r="C570" s="3" t="s">
        <v>116</v>
      </c>
      <c r="D570" s="3" t="s">
        <v>41</v>
      </c>
      <c r="E570" s="3" t="s">
        <v>25</v>
      </c>
      <c r="F570" s="3" t="s">
        <v>127</v>
      </c>
      <c r="G570" s="2">
        <v>79.86</v>
      </c>
      <c r="H570" s="2">
        <v>7</v>
      </c>
      <c r="I570" s="2">
        <v>27.951000000000001</v>
      </c>
      <c r="J570" s="2">
        <v>586.971</v>
      </c>
      <c r="K570" s="5">
        <v>43475</v>
      </c>
      <c r="L570" s="4">
        <v>0.43958333333333333</v>
      </c>
      <c r="M570" s="3" t="s">
        <v>59</v>
      </c>
      <c r="N570" s="2">
        <v>559.02</v>
      </c>
      <c r="O570" s="2">
        <v>4.7619047620000003</v>
      </c>
      <c r="P570" s="2">
        <v>27.951000000000001</v>
      </c>
      <c r="Q570" s="2">
        <v>5.5</v>
      </c>
      <c r="R570" s="3" t="str">
        <f t="shared" si="18"/>
        <v>January</v>
      </c>
      <c r="S570" s="3">
        <f t="shared" si="17"/>
        <v>1</v>
      </c>
      <c r="T570" s="3" t="str">
        <f>IF(tbl_sales[[#This Row],[Sales]]&gt;=500,"High Value","Standard")</f>
        <v>High Value</v>
      </c>
      <c r="U570" s="1" t="str">
        <f>IF(tbl_sales[[#This Row],[Order Size]]="High Value","High Value Order","Standard Order")</f>
        <v>High Value Order</v>
      </c>
      <c r="V570" s="1"/>
      <c r="W570" s="17" t="s">
        <v>37</v>
      </c>
      <c r="X570" s="17"/>
      <c r="Y570" s="6"/>
      <c r="Z570" s="1" t="s">
        <v>37</v>
      </c>
    </row>
    <row r="571" spans="1:26">
      <c r="A571" s="3" t="s">
        <v>3317</v>
      </c>
      <c r="B571" s="3" t="s">
        <v>39</v>
      </c>
      <c r="C571" s="3" t="s">
        <v>40</v>
      </c>
      <c r="D571" s="3" t="s">
        <v>41</v>
      </c>
      <c r="E571" s="3" t="s">
        <v>25</v>
      </c>
      <c r="F571" s="3" t="s">
        <v>72</v>
      </c>
      <c r="G571" s="2">
        <v>73.98</v>
      </c>
      <c r="H571" s="2">
        <v>7</v>
      </c>
      <c r="I571" s="2">
        <v>25.893000000000001</v>
      </c>
      <c r="J571" s="2">
        <v>543.75300000000004</v>
      </c>
      <c r="K571" s="5">
        <v>43526</v>
      </c>
      <c r="L571" s="4">
        <v>0.6958333333333333</v>
      </c>
      <c r="M571" s="3" t="s">
        <v>33</v>
      </c>
      <c r="N571" s="2">
        <v>517.86</v>
      </c>
      <c r="O571" s="2">
        <v>4.7619047620000003</v>
      </c>
      <c r="P571" s="2">
        <v>25.893000000000001</v>
      </c>
      <c r="Q571" s="2">
        <v>4.0999999999999996</v>
      </c>
      <c r="R571" s="3" t="str">
        <f t="shared" si="18"/>
        <v>March</v>
      </c>
      <c r="S571" s="3">
        <f t="shared" si="17"/>
        <v>3</v>
      </c>
      <c r="T571" s="3" t="str">
        <f>IF(tbl_sales[[#This Row],[Sales]]&gt;=500,"High Value","Standard")</f>
        <v>High Value</v>
      </c>
      <c r="U571" s="1" t="str">
        <f>IF(tbl_sales[[#This Row],[Order Size]]="High Value","High Value Order","Standard Order")</f>
        <v>High Value Order</v>
      </c>
      <c r="V571" s="1"/>
      <c r="W571" s="17" t="s">
        <v>37</v>
      </c>
      <c r="X571" s="17"/>
      <c r="Y571" s="6"/>
      <c r="Z571" s="1" t="s">
        <v>37</v>
      </c>
    </row>
    <row r="572" spans="1:26">
      <c r="A572" s="3" t="s">
        <v>3322</v>
      </c>
      <c r="B572" s="3" t="s">
        <v>115</v>
      </c>
      <c r="C572" s="3" t="s">
        <v>116</v>
      </c>
      <c r="D572" s="3" t="s">
        <v>24</v>
      </c>
      <c r="E572" s="3" t="s">
        <v>25</v>
      </c>
      <c r="F572" s="3" t="s">
        <v>53</v>
      </c>
      <c r="G572" s="2">
        <v>82.04</v>
      </c>
      <c r="H572" s="2">
        <v>5</v>
      </c>
      <c r="I572" s="2">
        <v>20.51</v>
      </c>
      <c r="J572" s="2">
        <v>430.71</v>
      </c>
      <c r="K572" s="5">
        <v>43521</v>
      </c>
      <c r="L572" s="4">
        <v>0.71944444444444444</v>
      </c>
      <c r="M572" s="3" t="s">
        <v>59</v>
      </c>
      <c r="N572" s="2">
        <v>410.2</v>
      </c>
      <c r="O572" s="2">
        <v>4.7619047620000003</v>
      </c>
      <c r="P572" s="2">
        <v>20.51</v>
      </c>
      <c r="Q572" s="2">
        <v>7.6</v>
      </c>
      <c r="R572" s="3" t="str">
        <f t="shared" si="18"/>
        <v>February</v>
      </c>
      <c r="S572" s="3">
        <f t="shared" si="17"/>
        <v>2</v>
      </c>
      <c r="T572" s="3" t="str">
        <f>IF(tbl_sales[[#This Row],[Sales]]&gt;=500,"High Value","Standard")</f>
        <v>Standard</v>
      </c>
      <c r="U572" s="1" t="str">
        <f>IF(tbl_sales[[#This Row],[Order Size]]="High Value","High Value Order","Standard Order")</f>
        <v>Standard Order</v>
      </c>
      <c r="V572" s="1"/>
      <c r="W572" s="17" t="s">
        <v>37</v>
      </c>
      <c r="X572" s="17"/>
      <c r="Y572" s="6"/>
      <c r="Z572" s="1" t="s">
        <v>37</v>
      </c>
    </row>
    <row r="573" spans="1:26">
      <c r="A573" s="3" t="s">
        <v>3327</v>
      </c>
      <c r="B573" s="3" t="s">
        <v>115</v>
      </c>
      <c r="C573" s="3" t="s">
        <v>116</v>
      </c>
      <c r="D573" s="3" t="s">
        <v>24</v>
      </c>
      <c r="E573" s="3" t="s">
        <v>992</v>
      </c>
      <c r="F573" s="3" t="s">
        <v>72</v>
      </c>
      <c r="G573" s="2">
        <v>26.67</v>
      </c>
      <c r="H573" s="2">
        <v>10</v>
      </c>
      <c r="I573" s="2">
        <v>13.335000000000001</v>
      </c>
      <c r="J573" s="2">
        <v>280.03500000000003</v>
      </c>
      <c r="K573" s="5">
        <v>43494</v>
      </c>
      <c r="L573" s="4">
        <v>0.49166666666666664</v>
      </c>
      <c r="M573" s="3" t="s">
        <v>49</v>
      </c>
      <c r="N573" s="2">
        <v>266.7</v>
      </c>
      <c r="O573" s="2">
        <v>4.7619047620000003</v>
      </c>
      <c r="P573" s="2">
        <v>13.335000000000001</v>
      </c>
      <c r="Q573" s="2">
        <v>8.6</v>
      </c>
      <c r="R573" s="3" t="str">
        <f t="shared" si="18"/>
        <v>January</v>
      </c>
      <c r="S573" s="3">
        <f t="shared" si="17"/>
        <v>1</v>
      </c>
      <c r="T573" s="3" t="str">
        <f>IF(tbl_sales[[#This Row],[Sales]]&gt;=500,"High Value","Standard")</f>
        <v>Standard</v>
      </c>
      <c r="U573" s="1" t="str">
        <f>IF(tbl_sales[[#This Row],[Order Size]]="High Value","High Value Order","Standard Order")</f>
        <v>Standard Order</v>
      </c>
      <c r="V573" s="1"/>
      <c r="W573" s="17" t="s">
        <v>37</v>
      </c>
      <c r="X573" s="17"/>
      <c r="Y573" s="6"/>
      <c r="Z573" s="1" t="s">
        <v>37</v>
      </c>
    </row>
    <row r="574" spans="1:26">
      <c r="A574" s="3" t="s">
        <v>3332</v>
      </c>
      <c r="B574" s="3" t="s">
        <v>22</v>
      </c>
      <c r="C574" s="3" t="s">
        <v>23</v>
      </c>
      <c r="D574" s="3" t="s">
        <v>24</v>
      </c>
      <c r="E574" s="3" t="s">
        <v>992</v>
      </c>
      <c r="F574" s="3" t="s">
        <v>117</v>
      </c>
      <c r="G574" s="2">
        <v>10.130000000000001</v>
      </c>
      <c r="H574" s="2">
        <v>7</v>
      </c>
      <c r="I574" s="2">
        <v>3.5455000000000001</v>
      </c>
      <c r="J574" s="2">
        <v>74.455500000000001</v>
      </c>
      <c r="K574" s="5">
        <v>43534</v>
      </c>
      <c r="L574" s="4">
        <v>0.81597222222222221</v>
      </c>
      <c r="M574" s="3" t="s">
        <v>33</v>
      </c>
      <c r="N574" s="2">
        <v>70.91</v>
      </c>
      <c r="O574" s="2">
        <v>4.7619047620000003</v>
      </c>
      <c r="P574" s="2">
        <v>3.5455000000000001</v>
      </c>
      <c r="Q574" s="2">
        <v>8.3000000000000007</v>
      </c>
      <c r="R574" s="3" t="str">
        <f t="shared" si="18"/>
        <v>March</v>
      </c>
      <c r="S574" s="3">
        <f t="shared" si="17"/>
        <v>3</v>
      </c>
      <c r="T574" s="3" t="str">
        <f>IF(tbl_sales[[#This Row],[Sales]]&gt;=500,"High Value","Standard")</f>
        <v>Standard</v>
      </c>
      <c r="U574" s="1" t="str">
        <f>IF(tbl_sales[[#This Row],[Order Size]]="High Value","High Value Order","Standard Order")</f>
        <v>Standard Order</v>
      </c>
      <c r="V574" s="1"/>
      <c r="W574" s="17" t="s">
        <v>37</v>
      </c>
      <c r="X574" s="17"/>
      <c r="Y574" s="6"/>
      <c r="Z574" s="1" t="s">
        <v>37</v>
      </c>
    </row>
    <row r="575" spans="1:26">
      <c r="A575" s="3" t="s">
        <v>3336</v>
      </c>
      <c r="B575" s="3" t="s">
        <v>115</v>
      </c>
      <c r="C575" s="3" t="s">
        <v>116</v>
      </c>
      <c r="D575" s="3" t="s">
        <v>41</v>
      </c>
      <c r="E575" s="3" t="s">
        <v>992</v>
      </c>
      <c r="F575" s="3" t="s">
        <v>117</v>
      </c>
      <c r="G575" s="2">
        <v>72.39</v>
      </c>
      <c r="H575" s="2">
        <v>2</v>
      </c>
      <c r="I575" s="2">
        <v>7.2389999999999999</v>
      </c>
      <c r="J575" s="2">
        <v>152.01900000000001</v>
      </c>
      <c r="K575" s="5">
        <v>43478</v>
      </c>
      <c r="L575" s="4">
        <v>0.82986111111111116</v>
      </c>
      <c r="M575" s="3" t="s">
        <v>59</v>
      </c>
      <c r="N575" s="2">
        <v>144.78</v>
      </c>
      <c r="O575" s="2">
        <v>4.7619047620000003</v>
      </c>
      <c r="P575" s="2">
        <v>7.2389999999999999</v>
      </c>
      <c r="Q575" s="2">
        <v>8.1</v>
      </c>
      <c r="R575" s="3" t="str">
        <f t="shared" si="18"/>
        <v>January</v>
      </c>
      <c r="S575" s="3">
        <f t="shared" si="17"/>
        <v>1</v>
      </c>
      <c r="T575" s="3" t="str">
        <f>IF(tbl_sales[[#This Row],[Sales]]&gt;=500,"High Value","Standard")</f>
        <v>Standard</v>
      </c>
      <c r="U575" s="1" t="str">
        <f>IF(tbl_sales[[#This Row],[Order Size]]="High Value","High Value Order","Standard Order")</f>
        <v>Standard Order</v>
      </c>
      <c r="V575" s="1"/>
      <c r="W575" s="17" t="s">
        <v>37</v>
      </c>
      <c r="X575" s="17"/>
      <c r="Y575" s="6"/>
      <c r="Z575" s="1" t="s">
        <v>37</v>
      </c>
    </row>
    <row r="576" spans="1:26">
      <c r="A576" s="3" t="s">
        <v>3342</v>
      </c>
      <c r="B576" s="3" t="s">
        <v>22</v>
      </c>
      <c r="C576" s="3" t="s">
        <v>23</v>
      </c>
      <c r="D576" s="3" t="s">
        <v>41</v>
      </c>
      <c r="E576" s="3" t="s">
        <v>992</v>
      </c>
      <c r="F576" s="3" t="s">
        <v>72</v>
      </c>
      <c r="G576" s="2">
        <v>85.91</v>
      </c>
      <c r="H576" s="2">
        <v>5</v>
      </c>
      <c r="I576" s="2">
        <v>21.477499999999999</v>
      </c>
      <c r="J576" s="2">
        <v>451.02749999999997</v>
      </c>
      <c r="K576" s="5">
        <v>43546</v>
      </c>
      <c r="L576" s="4">
        <v>0.60624999999999996</v>
      </c>
      <c r="M576" s="3" t="s">
        <v>59</v>
      </c>
      <c r="N576" s="2">
        <v>429.55</v>
      </c>
      <c r="O576" s="2">
        <v>4.7619047620000003</v>
      </c>
      <c r="P576" s="2">
        <v>21.477499999999999</v>
      </c>
      <c r="Q576" s="2">
        <v>8.6</v>
      </c>
      <c r="R576" s="3" t="str">
        <f t="shared" si="18"/>
        <v>March</v>
      </c>
      <c r="S576" s="3">
        <f t="shared" si="17"/>
        <v>3</v>
      </c>
      <c r="T576" s="3" t="str">
        <f>IF(tbl_sales[[#This Row],[Sales]]&gt;=500,"High Value","Standard")</f>
        <v>Standard</v>
      </c>
      <c r="U576" s="1" t="str">
        <f>IF(tbl_sales[[#This Row],[Order Size]]="High Value","High Value Order","Standard Order")</f>
        <v>Standard Order</v>
      </c>
      <c r="V576" s="1"/>
      <c r="W576" s="17" t="s">
        <v>37</v>
      </c>
      <c r="X576" s="17"/>
      <c r="Y576" s="6"/>
      <c r="Z576" s="1" t="s">
        <v>37</v>
      </c>
    </row>
    <row r="577" spans="1:26">
      <c r="A577" s="3" t="s">
        <v>3348</v>
      </c>
      <c r="B577" s="3" t="s">
        <v>115</v>
      </c>
      <c r="C577" s="3" t="s">
        <v>116</v>
      </c>
      <c r="D577" s="3" t="s">
        <v>24</v>
      </c>
      <c r="E577" s="3" t="s">
        <v>992</v>
      </c>
      <c r="F577" s="3" t="s">
        <v>127</v>
      </c>
      <c r="G577" s="2">
        <v>81.31</v>
      </c>
      <c r="H577" s="2">
        <v>7</v>
      </c>
      <c r="I577" s="2">
        <v>28.458500000000001</v>
      </c>
      <c r="J577" s="2">
        <v>597.62850000000003</v>
      </c>
      <c r="K577" s="5">
        <v>43525</v>
      </c>
      <c r="L577" s="4">
        <v>0.8256944444444444</v>
      </c>
      <c r="M577" s="3" t="s">
        <v>33</v>
      </c>
      <c r="N577" s="2">
        <v>569.16999999999996</v>
      </c>
      <c r="O577" s="2">
        <v>4.7619047620000003</v>
      </c>
      <c r="P577" s="2">
        <v>28.458500000000001</v>
      </c>
      <c r="Q577" s="2">
        <v>6.3</v>
      </c>
      <c r="R577" s="3" t="str">
        <f t="shared" si="18"/>
        <v>March</v>
      </c>
      <c r="S577" s="3">
        <f t="shared" si="17"/>
        <v>3</v>
      </c>
      <c r="T577" s="3" t="str">
        <f>IF(tbl_sales[[#This Row],[Sales]]&gt;=500,"High Value","Standard")</f>
        <v>High Value</v>
      </c>
      <c r="U577" s="1" t="str">
        <f>IF(tbl_sales[[#This Row],[Order Size]]="High Value","High Value Order","Standard Order")</f>
        <v>High Value Order</v>
      </c>
      <c r="V577" s="1"/>
      <c r="W577" s="17" t="s">
        <v>37</v>
      </c>
      <c r="X577" s="17"/>
      <c r="Y577" s="6"/>
      <c r="Z577" s="1" t="s">
        <v>37</v>
      </c>
    </row>
    <row r="578" spans="1:26">
      <c r="A578" s="3" t="s">
        <v>3353</v>
      </c>
      <c r="B578" s="3" t="s">
        <v>115</v>
      </c>
      <c r="C578" s="3" t="s">
        <v>116</v>
      </c>
      <c r="D578" s="3" t="s">
        <v>41</v>
      </c>
      <c r="E578" s="3" t="s">
        <v>992</v>
      </c>
      <c r="F578" s="3" t="s">
        <v>117</v>
      </c>
      <c r="G578" s="2">
        <v>60.3</v>
      </c>
      <c r="H578" s="2">
        <v>4</v>
      </c>
      <c r="I578" s="2">
        <v>12.06</v>
      </c>
      <c r="J578" s="2">
        <v>253.26</v>
      </c>
      <c r="K578" s="5">
        <v>43516</v>
      </c>
      <c r="L578" s="4">
        <v>0.77986111111111112</v>
      </c>
      <c r="M578" s="3" t="s">
        <v>49</v>
      </c>
      <c r="N578" s="2">
        <v>241.2</v>
      </c>
      <c r="O578" s="2">
        <v>4.7619047620000003</v>
      </c>
      <c r="P578" s="2">
        <v>12.06</v>
      </c>
      <c r="Q578" s="2">
        <v>5.8</v>
      </c>
      <c r="R578" s="3" t="str">
        <f t="shared" si="18"/>
        <v>February</v>
      </c>
      <c r="S578" s="3">
        <f t="shared" ref="S578:S641" si="19">MONTH(K578)</f>
        <v>2</v>
      </c>
      <c r="T578" s="3" t="str">
        <f>IF(tbl_sales[[#This Row],[Sales]]&gt;=500,"High Value","Standard")</f>
        <v>Standard</v>
      </c>
      <c r="U578" s="1" t="str">
        <f>IF(tbl_sales[[#This Row],[Order Size]]="High Value","High Value Order","Standard Order")</f>
        <v>Standard Order</v>
      </c>
      <c r="V578" s="1"/>
      <c r="W578" s="17" t="s">
        <v>37</v>
      </c>
      <c r="X578" s="17"/>
      <c r="Y578" s="6"/>
      <c r="Z578" s="1" t="s">
        <v>37</v>
      </c>
    </row>
    <row r="579" spans="1:26">
      <c r="A579" s="3" t="s">
        <v>3358</v>
      </c>
      <c r="B579" s="3" t="s">
        <v>39</v>
      </c>
      <c r="C579" s="3" t="s">
        <v>40</v>
      </c>
      <c r="D579" s="3" t="s">
        <v>41</v>
      </c>
      <c r="E579" s="3" t="s">
        <v>992</v>
      </c>
      <c r="F579" s="3" t="s">
        <v>117</v>
      </c>
      <c r="G579" s="2">
        <v>31.77</v>
      </c>
      <c r="H579" s="2">
        <v>4</v>
      </c>
      <c r="I579" s="2">
        <v>6.3540000000000001</v>
      </c>
      <c r="J579" s="2">
        <v>133.434</v>
      </c>
      <c r="K579" s="5">
        <v>43479</v>
      </c>
      <c r="L579" s="4">
        <v>0.61319444444444449</v>
      </c>
      <c r="M579" s="3" t="s">
        <v>33</v>
      </c>
      <c r="N579" s="2">
        <v>127.08</v>
      </c>
      <c r="O579" s="2">
        <v>4.7619047620000003</v>
      </c>
      <c r="P579" s="2">
        <v>6.3540000000000001</v>
      </c>
      <c r="Q579" s="2">
        <v>6.2</v>
      </c>
      <c r="R579" s="3" t="str">
        <f t="shared" ref="R579:R642" si="20">TEXT(K579,"mmmm")</f>
        <v>January</v>
      </c>
      <c r="S579" s="3">
        <f t="shared" si="19"/>
        <v>1</v>
      </c>
      <c r="T579" s="3" t="str">
        <f>IF(tbl_sales[[#This Row],[Sales]]&gt;=500,"High Value","Standard")</f>
        <v>Standard</v>
      </c>
      <c r="U579" s="1" t="str">
        <f>IF(tbl_sales[[#This Row],[Order Size]]="High Value","High Value Order","Standard Order")</f>
        <v>Standard Order</v>
      </c>
      <c r="V579" s="1"/>
      <c r="W579" s="17" t="s">
        <v>37</v>
      </c>
      <c r="X579" s="17"/>
      <c r="Y579" s="6"/>
      <c r="Z579" s="1" t="s">
        <v>37</v>
      </c>
    </row>
    <row r="580" spans="1:26">
      <c r="A580" s="3" t="s">
        <v>3362</v>
      </c>
      <c r="B580" s="3" t="s">
        <v>22</v>
      </c>
      <c r="C580" s="3" t="s">
        <v>23</v>
      </c>
      <c r="D580" s="3" t="s">
        <v>41</v>
      </c>
      <c r="E580" s="3" t="s">
        <v>25</v>
      </c>
      <c r="F580" s="3" t="s">
        <v>26</v>
      </c>
      <c r="G580" s="2">
        <v>64.27</v>
      </c>
      <c r="H580" s="2">
        <v>4</v>
      </c>
      <c r="I580" s="2">
        <v>12.853999999999999</v>
      </c>
      <c r="J580" s="2">
        <v>269.93400000000003</v>
      </c>
      <c r="K580" s="5">
        <v>43550</v>
      </c>
      <c r="L580" s="4">
        <v>0.57916666666666672</v>
      </c>
      <c r="M580" s="3" t="s">
        <v>49</v>
      </c>
      <c r="N580" s="2">
        <v>257.08</v>
      </c>
      <c r="O580" s="2">
        <v>4.7619047620000003</v>
      </c>
      <c r="P580" s="2">
        <v>12.853999999999999</v>
      </c>
      <c r="Q580" s="2">
        <v>7.7</v>
      </c>
      <c r="R580" s="3" t="str">
        <f t="shared" si="20"/>
        <v>March</v>
      </c>
      <c r="S580" s="3">
        <f t="shared" si="19"/>
        <v>3</v>
      </c>
      <c r="T580" s="3" t="str">
        <f>IF(tbl_sales[[#This Row],[Sales]]&gt;=500,"High Value","Standard")</f>
        <v>Standard</v>
      </c>
      <c r="U580" s="1" t="str">
        <f>IF(tbl_sales[[#This Row],[Order Size]]="High Value","High Value Order","Standard Order")</f>
        <v>Standard Order</v>
      </c>
      <c r="V580" s="1"/>
      <c r="W580" s="17" t="s">
        <v>37</v>
      </c>
      <c r="X580" s="17"/>
      <c r="Y580" s="6"/>
      <c r="Z580" s="1" t="s">
        <v>37</v>
      </c>
    </row>
    <row r="581" spans="1:26">
      <c r="A581" s="3" t="s">
        <v>3368</v>
      </c>
      <c r="B581" s="3" t="s">
        <v>115</v>
      </c>
      <c r="C581" s="3" t="s">
        <v>116</v>
      </c>
      <c r="D581" s="3" t="s">
        <v>41</v>
      </c>
      <c r="E581" s="3" t="s">
        <v>992</v>
      </c>
      <c r="F581" s="3" t="s">
        <v>26</v>
      </c>
      <c r="G581" s="2">
        <v>69.510000000000005</v>
      </c>
      <c r="H581" s="2">
        <v>2</v>
      </c>
      <c r="I581" s="2">
        <v>6.9509999999999996</v>
      </c>
      <c r="J581" s="2">
        <v>145.971</v>
      </c>
      <c r="K581" s="5">
        <v>43525</v>
      </c>
      <c r="L581" s="4">
        <v>0.51041666666666663</v>
      </c>
      <c r="M581" s="3" t="s">
        <v>33</v>
      </c>
      <c r="N581" s="2">
        <v>139.02000000000001</v>
      </c>
      <c r="O581" s="2">
        <v>4.7619047620000003</v>
      </c>
      <c r="P581" s="2">
        <v>6.9509999999999996</v>
      </c>
      <c r="Q581" s="2">
        <v>8.1</v>
      </c>
      <c r="R581" s="3" t="str">
        <f t="shared" si="20"/>
        <v>March</v>
      </c>
      <c r="S581" s="3">
        <f t="shared" si="19"/>
        <v>3</v>
      </c>
      <c r="T581" s="3" t="str">
        <f>IF(tbl_sales[[#This Row],[Sales]]&gt;=500,"High Value","Standard")</f>
        <v>Standard</v>
      </c>
      <c r="U581" s="1" t="str">
        <f>IF(tbl_sales[[#This Row],[Order Size]]="High Value","High Value Order","Standard Order")</f>
        <v>Standard Order</v>
      </c>
      <c r="V581" s="1"/>
      <c r="W581" s="17" t="s">
        <v>37</v>
      </c>
      <c r="X581" s="17"/>
      <c r="Y581" s="6"/>
      <c r="Z581" s="1" t="s">
        <v>37</v>
      </c>
    </row>
    <row r="582" spans="1:26">
      <c r="A582" s="3" t="s">
        <v>3374</v>
      </c>
      <c r="B582" s="3" t="s">
        <v>39</v>
      </c>
      <c r="C582" s="3" t="s">
        <v>40</v>
      </c>
      <c r="D582" s="3" t="s">
        <v>41</v>
      </c>
      <c r="E582" s="3" t="s">
        <v>992</v>
      </c>
      <c r="F582" s="3" t="s">
        <v>117</v>
      </c>
      <c r="G582" s="2">
        <v>27.22</v>
      </c>
      <c r="H582" s="2">
        <v>3</v>
      </c>
      <c r="I582" s="2">
        <v>4.0830000000000002</v>
      </c>
      <c r="J582" s="2">
        <v>85.742999999999995</v>
      </c>
      <c r="K582" s="5">
        <v>43472</v>
      </c>
      <c r="L582" s="4">
        <v>0.52569444444444446</v>
      </c>
      <c r="M582" s="3" t="s">
        <v>49</v>
      </c>
      <c r="N582" s="2">
        <v>81.66</v>
      </c>
      <c r="O582" s="2">
        <v>4.7619047620000003</v>
      </c>
      <c r="P582" s="2">
        <v>4.0830000000000002</v>
      </c>
      <c r="Q582" s="2">
        <v>7.3</v>
      </c>
      <c r="R582" s="3" t="str">
        <f t="shared" si="20"/>
        <v>January</v>
      </c>
      <c r="S582" s="3">
        <f t="shared" si="19"/>
        <v>1</v>
      </c>
      <c r="T582" s="3" t="str">
        <f>IF(tbl_sales[[#This Row],[Sales]]&gt;=500,"High Value","Standard")</f>
        <v>Standard</v>
      </c>
      <c r="U582" s="1" t="str">
        <f>IF(tbl_sales[[#This Row],[Order Size]]="High Value","High Value Order","Standard Order")</f>
        <v>Standard Order</v>
      </c>
      <c r="V582" s="1"/>
      <c r="W582" s="17" t="s">
        <v>37</v>
      </c>
      <c r="X582" s="17"/>
      <c r="Y582" s="6"/>
      <c r="Z582" s="1" t="s">
        <v>37</v>
      </c>
    </row>
    <row r="583" spans="1:26">
      <c r="A583" s="3" t="s">
        <v>3380</v>
      </c>
      <c r="B583" s="3" t="s">
        <v>22</v>
      </c>
      <c r="C583" s="3" t="s">
        <v>23</v>
      </c>
      <c r="D583" s="3" t="s">
        <v>24</v>
      </c>
      <c r="E583" s="3" t="s">
        <v>25</v>
      </c>
      <c r="F583" s="3" t="s">
        <v>26</v>
      </c>
      <c r="G583" s="2">
        <v>77.680000000000007</v>
      </c>
      <c r="H583" s="2">
        <v>4</v>
      </c>
      <c r="I583" s="2">
        <v>15.536</v>
      </c>
      <c r="J583" s="2">
        <v>326.25599999999997</v>
      </c>
      <c r="K583" s="5">
        <v>43497</v>
      </c>
      <c r="L583" s="4">
        <v>0.82916666666666672</v>
      </c>
      <c r="M583" s="3" t="s">
        <v>49</v>
      </c>
      <c r="N583" s="2">
        <v>310.72000000000003</v>
      </c>
      <c r="O583" s="2">
        <v>4.7619047620000003</v>
      </c>
      <c r="P583" s="2">
        <v>15.536</v>
      </c>
      <c r="Q583" s="2">
        <v>8.4</v>
      </c>
      <c r="R583" s="3" t="str">
        <f t="shared" si="20"/>
        <v>February</v>
      </c>
      <c r="S583" s="3">
        <f t="shared" si="19"/>
        <v>2</v>
      </c>
      <c r="T583" s="3" t="str">
        <f>IF(tbl_sales[[#This Row],[Sales]]&gt;=500,"High Value","Standard")</f>
        <v>Standard</v>
      </c>
      <c r="U583" s="1" t="str">
        <f>IF(tbl_sales[[#This Row],[Order Size]]="High Value","High Value Order","Standard Order")</f>
        <v>Standard Order</v>
      </c>
      <c r="V583" s="1"/>
      <c r="W583" s="17" t="s">
        <v>37</v>
      </c>
      <c r="X583" s="17"/>
      <c r="Y583" s="6"/>
      <c r="Z583" s="1" t="s">
        <v>37</v>
      </c>
    </row>
    <row r="584" spans="1:26">
      <c r="A584" s="3" t="s">
        <v>3384</v>
      </c>
      <c r="B584" s="3" t="s">
        <v>39</v>
      </c>
      <c r="C584" s="3" t="s">
        <v>40</v>
      </c>
      <c r="D584" s="3" t="s">
        <v>24</v>
      </c>
      <c r="E584" s="3" t="s">
        <v>25</v>
      </c>
      <c r="F584" s="3" t="s">
        <v>127</v>
      </c>
      <c r="G584" s="2">
        <v>92.98</v>
      </c>
      <c r="H584" s="2">
        <v>2</v>
      </c>
      <c r="I584" s="2">
        <v>9.298</v>
      </c>
      <c r="J584" s="2">
        <v>195.25800000000001</v>
      </c>
      <c r="K584" s="5">
        <v>43509</v>
      </c>
      <c r="L584" s="4">
        <v>0.62916666666666665</v>
      </c>
      <c r="M584" s="3" t="s">
        <v>59</v>
      </c>
      <c r="N584" s="2">
        <v>185.96</v>
      </c>
      <c r="O584" s="2">
        <v>4.7619047620000003</v>
      </c>
      <c r="P584" s="2">
        <v>9.298</v>
      </c>
      <c r="Q584" s="2">
        <v>8</v>
      </c>
      <c r="R584" s="3" t="str">
        <f t="shared" si="20"/>
        <v>February</v>
      </c>
      <c r="S584" s="3">
        <f t="shared" si="19"/>
        <v>2</v>
      </c>
      <c r="T584" s="3" t="str">
        <f>IF(tbl_sales[[#This Row],[Sales]]&gt;=500,"High Value","Standard")</f>
        <v>Standard</v>
      </c>
      <c r="U584" s="1" t="str">
        <f>IF(tbl_sales[[#This Row],[Order Size]]="High Value","High Value Order","Standard Order")</f>
        <v>Standard Order</v>
      </c>
      <c r="V584" s="1"/>
      <c r="W584" s="17" t="s">
        <v>37</v>
      </c>
      <c r="X584" s="17"/>
      <c r="Y584" s="6"/>
      <c r="Z584" s="1" t="s">
        <v>37</v>
      </c>
    </row>
    <row r="585" spans="1:26">
      <c r="A585" s="3" t="s">
        <v>3390</v>
      </c>
      <c r="B585" s="3" t="s">
        <v>115</v>
      </c>
      <c r="C585" s="3" t="s">
        <v>116</v>
      </c>
      <c r="D585" s="3" t="s">
        <v>24</v>
      </c>
      <c r="E585" s="3" t="s">
        <v>25</v>
      </c>
      <c r="F585" s="3" t="s">
        <v>127</v>
      </c>
      <c r="G585" s="2">
        <v>18.079999999999998</v>
      </c>
      <c r="H585" s="2">
        <v>4</v>
      </c>
      <c r="I585" s="2">
        <v>3.6160000000000001</v>
      </c>
      <c r="J585" s="2">
        <v>75.936000000000007</v>
      </c>
      <c r="K585" s="5">
        <v>43479</v>
      </c>
      <c r="L585" s="4">
        <v>0.75208333333333333</v>
      </c>
      <c r="M585" s="3" t="s">
        <v>59</v>
      </c>
      <c r="N585" s="2">
        <v>72.319999999999993</v>
      </c>
      <c r="O585" s="2">
        <v>4.7619047620000003</v>
      </c>
      <c r="P585" s="2">
        <v>3.6160000000000001</v>
      </c>
      <c r="Q585" s="2">
        <v>9.5</v>
      </c>
      <c r="R585" s="3" t="str">
        <f t="shared" si="20"/>
        <v>January</v>
      </c>
      <c r="S585" s="3">
        <f t="shared" si="19"/>
        <v>1</v>
      </c>
      <c r="T585" s="3" t="str">
        <f>IF(tbl_sales[[#This Row],[Sales]]&gt;=500,"High Value","Standard")</f>
        <v>Standard</v>
      </c>
      <c r="U585" s="1" t="str">
        <f>IF(tbl_sales[[#This Row],[Order Size]]="High Value","High Value Order","Standard Order")</f>
        <v>Standard Order</v>
      </c>
      <c r="V585" s="1"/>
      <c r="W585" s="17" t="s">
        <v>37</v>
      </c>
      <c r="X585" s="17"/>
      <c r="Y585" s="6"/>
      <c r="Z585" s="1" t="s">
        <v>37</v>
      </c>
    </row>
    <row r="586" spans="1:26">
      <c r="A586" s="3" t="s">
        <v>3394</v>
      </c>
      <c r="B586" s="3" t="s">
        <v>115</v>
      </c>
      <c r="C586" s="3" t="s">
        <v>116</v>
      </c>
      <c r="D586" s="3" t="s">
        <v>41</v>
      </c>
      <c r="E586" s="3" t="s">
        <v>992</v>
      </c>
      <c r="F586" s="3" t="s">
        <v>72</v>
      </c>
      <c r="G586" s="2">
        <v>63.06</v>
      </c>
      <c r="H586" s="2">
        <v>3</v>
      </c>
      <c r="I586" s="2">
        <v>9.4589999999999996</v>
      </c>
      <c r="J586" s="2">
        <v>198.63900000000001</v>
      </c>
      <c r="K586" s="5">
        <v>43484</v>
      </c>
      <c r="L586" s="4">
        <v>0.66527777777777775</v>
      </c>
      <c r="M586" s="3" t="s">
        <v>33</v>
      </c>
      <c r="N586" s="2">
        <v>189.18</v>
      </c>
      <c r="O586" s="2">
        <v>4.7619047620000003</v>
      </c>
      <c r="P586" s="2">
        <v>9.4589999999999996</v>
      </c>
      <c r="Q586" s="2">
        <v>7</v>
      </c>
      <c r="R586" s="3" t="str">
        <f t="shared" si="20"/>
        <v>January</v>
      </c>
      <c r="S586" s="3">
        <f t="shared" si="19"/>
        <v>1</v>
      </c>
      <c r="T586" s="3" t="str">
        <f>IF(tbl_sales[[#This Row],[Sales]]&gt;=500,"High Value","Standard")</f>
        <v>Standard</v>
      </c>
      <c r="U586" s="1" t="str">
        <f>IF(tbl_sales[[#This Row],[Order Size]]="High Value","High Value Order","Standard Order")</f>
        <v>Standard Order</v>
      </c>
      <c r="V586" s="1"/>
      <c r="W586" s="17" t="s">
        <v>37</v>
      </c>
      <c r="X586" s="17"/>
      <c r="Y586" s="6"/>
      <c r="Z586" s="1" t="s">
        <v>37</v>
      </c>
    </row>
    <row r="587" spans="1:26">
      <c r="A587" s="3" t="s">
        <v>3400</v>
      </c>
      <c r="B587" s="3" t="s">
        <v>22</v>
      </c>
      <c r="C587" s="3" t="s">
        <v>23</v>
      </c>
      <c r="D587" s="3" t="s">
        <v>41</v>
      </c>
      <c r="E587" s="3" t="s">
        <v>992</v>
      </c>
      <c r="F587" s="3" t="s">
        <v>26</v>
      </c>
      <c r="G587" s="2">
        <v>51.71</v>
      </c>
      <c r="H587" s="2">
        <v>4</v>
      </c>
      <c r="I587" s="2">
        <v>10.342000000000001</v>
      </c>
      <c r="J587" s="2">
        <v>217.18199999999999</v>
      </c>
      <c r="K587" s="5">
        <v>43533</v>
      </c>
      <c r="L587" s="4">
        <v>0.57847222222222228</v>
      </c>
      <c r="M587" s="3" t="s">
        <v>59</v>
      </c>
      <c r="N587" s="2">
        <v>206.84</v>
      </c>
      <c r="O587" s="2">
        <v>4.7619047620000003</v>
      </c>
      <c r="P587" s="2">
        <v>10.342000000000001</v>
      </c>
      <c r="Q587" s="2">
        <v>9.8000000000000007</v>
      </c>
      <c r="R587" s="3" t="str">
        <f t="shared" si="20"/>
        <v>March</v>
      </c>
      <c r="S587" s="3">
        <f t="shared" si="19"/>
        <v>3</v>
      </c>
      <c r="T587" s="3" t="str">
        <f>IF(tbl_sales[[#This Row],[Sales]]&gt;=500,"High Value","Standard")</f>
        <v>Standard</v>
      </c>
      <c r="U587" s="1" t="str">
        <f>IF(tbl_sales[[#This Row],[Order Size]]="High Value","High Value Order","Standard Order")</f>
        <v>Standard Order</v>
      </c>
      <c r="V587" s="1"/>
      <c r="W587" s="17" t="s">
        <v>37</v>
      </c>
      <c r="X587" s="17"/>
      <c r="Y587" s="6"/>
      <c r="Z587" s="1" t="s">
        <v>37</v>
      </c>
    </row>
    <row r="588" spans="1:26">
      <c r="A588" s="3" t="s">
        <v>3405</v>
      </c>
      <c r="B588" s="3" t="s">
        <v>22</v>
      </c>
      <c r="C588" s="3" t="s">
        <v>23</v>
      </c>
      <c r="D588" s="3" t="s">
        <v>41</v>
      </c>
      <c r="E588" s="3" t="s">
        <v>25</v>
      </c>
      <c r="F588" s="3" t="s">
        <v>117</v>
      </c>
      <c r="G588" s="2">
        <v>52.34</v>
      </c>
      <c r="H588" s="2">
        <v>3</v>
      </c>
      <c r="I588" s="2">
        <v>7.851</v>
      </c>
      <c r="J588" s="2">
        <v>164.87100000000001</v>
      </c>
      <c r="K588" s="5">
        <v>43551</v>
      </c>
      <c r="L588" s="4">
        <v>0.5854166666666667</v>
      </c>
      <c r="M588" s="3" t="s">
        <v>49</v>
      </c>
      <c r="N588" s="2">
        <v>157.02000000000001</v>
      </c>
      <c r="O588" s="2">
        <v>4.7619047620000003</v>
      </c>
      <c r="P588" s="2">
        <v>7.851</v>
      </c>
      <c r="Q588" s="2">
        <v>9.1999999999999993</v>
      </c>
      <c r="R588" s="3" t="str">
        <f t="shared" si="20"/>
        <v>March</v>
      </c>
      <c r="S588" s="3">
        <f t="shared" si="19"/>
        <v>3</v>
      </c>
      <c r="T588" s="3" t="str">
        <f>IF(tbl_sales[[#This Row],[Sales]]&gt;=500,"High Value","Standard")</f>
        <v>Standard</v>
      </c>
      <c r="U588" s="1" t="str">
        <f>IF(tbl_sales[[#This Row],[Order Size]]="High Value","High Value Order","Standard Order")</f>
        <v>Standard Order</v>
      </c>
      <c r="V588" s="1"/>
      <c r="W588" s="17" t="s">
        <v>37</v>
      </c>
      <c r="X588" s="17"/>
      <c r="Y588" s="6"/>
      <c r="Z588" s="1" t="s">
        <v>37</v>
      </c>
    </row>
    <row r="589" spans="1:26">
      <c r="A589" s="3" t="s">
        <v>3411</v>
      </c>
      <c r="B589" s="3" t="s">
        <v>22</v>
      </c>
      <c r="C589" s="3" t="s">
        <v>23</v>
      </c>
      <c r="D589" s="3" t="s">
        <v>41</v>
      </c>
      <c r="E589" s="3" t="s">
        <v>25</v>
      </c>
      <c r="F589" s="3" t="s">
        <v>72</v>
      </c>
      <c r="G589" s="2">
        <v>43.06</v>
      </c>
      <c r="H589" s="2">
        <v>5</v>
      </c>
      <c r="I589" s="2">
        <v>10.765000000000001</v>
      </c>
      <c r="J589" s="2">
        <v>226.065</v>
      </c>
      <c r="K589" s="5">
        <v>43500</v>
      </c>
      <c r="L589" s="4">
        <v>0.69305555555555554</v>
      </c>
      <c r="M589" s="3" t="s">
        <v>33</v>
      </c>
      <c r="N589" s="2">
        <v>215.3</v>
      </c>
      <c r="O589" s="2">
        <v>4.7619047620000003</v>
      </c>
      <c r="P589" s="2">
        <v>10.765000000000001</v>
      </c>
      <c r="Q589" s="2">
        <v>7.7</v>
      </c>
      <c r="R589" s="3" t="str">
        <f t="shared" si="20"/>
        <v>February</v>
      </c>
      <c r="S589" s="3">
        <f t="shared" si="19"/>
        <v>2</v>
      </c>
      <c r="T589" s="3" t="str">
        <f>IF(tbl_sales[[#This Row],[Sales]]&gt;=500,"High Value","Standard")</f>
        <v>Standard</v>
      </c>
      <c r="U589" s="1" t="str">
        <f>IF(tbl_sales[[#This Row],[Order Size]]="High Value","High Value Order","Standard Order")</f>
        <v>Standard Order</v>
      </c>
      <c r="V589" s="1"/>
      <c r="W589" s="17" t="s">
        <v>37</v>
      </c>
      <c r="X589" s="17"/>
      <c r="Y589" s="6"/>
      <c r="Z589" s="1" t="s">
        <v>37</v>
      </c>
    </row>
    <row r="590" spans="1:26">
      <c r="A590" s="3" t="s">
        <v>3417</v>
      </c>
      <c r="B590" s="3" t="s">
        <v>39</v>
      </c>
      <c r="C590" s="3" t="s">
        <v>40</v>
      </c>
      <c r="D590" s="3" t="s">
        <v>41</v>
      </c>
      <c r="E590" s="3" t="s">
        <v>992</v>
      </c>
      <c r="F590" s="3" t="s">
        <v>127</v>
      </c>
      <c r="G590" s="2">
        <v>59.61</v>
      </c>
      <c r="H590" s="2">
        <v>10</v>
      </c>
      <c r="I590" s="2">
        <v>29.805</v>
      </c>
      <c r="J590" s="2">
        <v>625.90499999999997</v>
      </c>
      <c r="K590" s="5">
        <v>43538</v>
      </c>
      <c r="L590" s="4">
        <v>0.46319444444444446</v>
      </c>
      <c r="M590" s="3" t="s">
        <v>49</v>
      </c>
      <c r="N590" s="2">
        <v>596.1</v>
      </c>
      <c r="O590" s="2">
        <v>4.7619047620000003</v>
      </c>
      <c r="P590" s="2">
        <v>29.805</v>
      </c>
      <c r="Q590" s="2">
        <v>5.3</v>
      </c>
      <c r="R590" s="3" t="str">
        <f t="shared" si="20"/>
        <v>March</v>
      </c>
      <c r="S590" s="3">
        <f t="shared" si="19"/>
        <v>3</v>
      </c>
      <c r="T590" s="3" t="str">
        <f>IF(tbl_sales[[#This Row],[Sales]]&gt;=500,"High Value","Standard")</f>
        <v>High Value</v>
      </c>
      <c r="U590" s="1" t="str">
        <f>IF(tbl_sales[[#This Row],[Order Size]]="High Value","High Value Order","Standard Order")</f>
        <v>High Value Order</v>
      </c>
      <c r="V590" s="1"/>
      <c r="W590" s="17" t="s">
        <v>37</v>
      </c>
      <c r="X590" s="17"/>
      <c r="Y590" s="6"/>
      <c r="Z590" s="1" t="s">
        <v>37</v>
      </c>
    </row>
    <row r="591" spans="1:26">
      <c r="A591" s="3" t="s">
        <v>3423</v>
      </c>
      <c r="B591" s="3" t="s">
        <v>22</v>
      </c>
      <c r="C591" s="3" t="s">
        <v>23</v>
      </c>
      <c r="D591" s="3" t="s">
        <v>41</v>
      </c>
      <c r="E591" s="3" t="s">
        <v>992</v>
      </c>
      <c r="F591" s="3" t="s">
        <v>26</v>
      </c>
      <c r="G591" s="2">
        <v>14.62</v>
      </c>
      <c r="H591" s="2">
        <v>5</v>
      </c>
      <c r="I591" s="2">
        <v>3.6549999999999998</v>
      </c>
      <c r="J591" s="2">
        <v>76.754999999999995</v>
      </c>
      <c r="K591" s="5">
        <v>43528</v>
      </c>
      <c r="L591" s="4">
        <v>0.51597222222222228</v>
      </c>
      <c r="M591" s="3" t="s">
        <v>49</v>
      </c>
      <c r="N591" s="2">
        <v>73.099999999999994</v>
      </c>
      <c r="O591" s="2">
        <v>4.7619047620000003</v>
      </c>
      <c r="P591" s="2">
        <v>3.6549999999999998</v>
      </c>
      <c r="Q591" s="2">
        <v>4.4000000000000004</v>
      </c>
      <c r="R591" s="3" t="str">
        <f t="shared" si="20"/>
        <v>March</v>
      </c>
      <c r="S591" s="3">
        <f t="shared" si="19"/>
        <v>3</v>
      </c>
      <c r="T591" s="3" t="str">
        <f>IF(tbl_sales[[#This Row],[Sales]]&gt;=500,"High Value","Standard")</f>
        <v>Standard</v>
      </c>
      <c r="U591" s="1" t="str">
        <f>IF(tbl_sales[[#This Row],[Order Size]]="High Value","High Value Order","Standard Order")</f>
        <v>Standard Order</v>
      </c>
      <c r="V591" s="1"/>
      <c r="W591" s="17" t="s">
        <v>37</v>
      </c>
      <c r="X591" s="17"/>
      <c r="Y591" s="6"/>
      <c r="Z591" s="1" t="s">
        <v>37</v>
      </c>
    </row>
    <row r="592" spans="1:26">
      <c r="A592" s="3" t="s">
        <v>3429</v>
      </c>
      <c r="B592" s="3" t="s">
        <v>39</v>
      </c>
      <c r="C592" s="3" t="s">
        <v>40</v>
      </c>
      <c r="D592" s="3" t="s">
        <v>24</v>
      </c>
      <c r="E592" s="3" t="s">
        <v>992</v>
      </c>
      <c r="F592" s="3" t="s">
        <v>26</v>
      </c>
      <c r="G592" s="2">
        <v>46.53</v>
      </c>
      <c r="H592" s="2">
        <v>6</v>
      </c>
      <c r="I592" s="2">
        <v>13.959</v>
      </c>
      <c r="J592" s="2">
        <v>293.13900000000001</v>
      </c>
      <c r="K592" s="5">
        <v>43527</v>
      </c>
      <c r="L592" s="4">
        <v>0.45416666666666666</v>
      </c>
      <c r="M592" s="3" t="s">
        <v>59</v>
      </c>
      <c r="N592" s="2">
        <v>279.18</v>
      </c>
      <c r="O592" s="2">
        <v>4.7619047620000003</v>
      </c>
      <c r="P592" s="2">
        <v>13.959</v>
      </c>
      <c r="Q592" s="2">
        <v>4.3</v>
      </c>
      <c r="R592" s="3" t="str">
        <f t="shared" si="20"/>
        <v>March</v>
      </c>
      <c r="S592" s="3">
        <f t="shared" si="19"/>
        <v>3</v>
      </c>
      <c r="T592" s="3" t="str">
        <f>IF(tbl_sales[[#This Row],[Sales]]&gt;=500,"High Value","Standard")</f>
        <v>Standard</v>
      </c>
      <c r="U592" s="1" t="str">
        <f>IF(tbl_sales[[#This Row],[Order Size]]="High Value","High Value Order","Standard Order")</f>
        <v>Standard Order</v>
      </c>
      <c r="V592" s="1"/>
      <c r="W592" s="17" t="s">
        <v>37</v>
      </c>
      <c r="X592" s="17"/>
      <c r="Y592" s="6"/>
      <c r="Z592" s="1" t="s">
        <v>37</v>
      </c>
    </row>
    <row r="593" spans="1:26">
      <c r="A593" s="3" t="s">
        <v>3434</v>
      </c>
      <c r="B593" s="3" t="s">
        <v>39</v>
      </c>
      <c r="C593" s="3" t="s">
        <v>40</v>
      </c>
      <c r="D593" s="3" t="s">
        <v>24</v>
      </c>
      <c r="E593" s="3" t="s">
        <v>25</v>
      </c>
      <c r="F593" s="3" t="s">
        <v>53</v>
      </c>
      <c r="G593" s="2">
        <v>24.24</v>
      </c>
      <c r="H593" s="2">
        <v>7</v>
      </c>
      <c r="I593" s="2">
        <v>8.484</v>
      </c>
      <c r="J593" s="2">
        <v>178.16399999999999</v>
      </c>
      <c r="K593" s="5">
        <v>43492</v>
      </c>
      <c r="L593" s="4">
        <v>0.73472222222222228</v>
      </c>
      <c r="M593" s="3" t="s">
        <v>33</v>
      </c>
      <c r="N593" s="2">
        <v>169.68</v>
      </c>
      <c r="O593" s="2">
        <v>4.7619047620000003</v>
      </c>
      <c r="P593" s="2">
        <v>8.484</v>
      </c>
      <c r="Q593" s="2">
        <v>9.4</v>
      </c>
      <c r="R593" s="3" t="str">
        <f t="shared" si="20"/>
        <v>January</v>
      </c>
      <c r="S593" s="3">
        <f t="shared" si="19"/>
        <v>1</v>
      </c>
      <c r="T593" s="3" t="str">
        <f>IF(tbl_sales[[#This Row],[Sales]]&gt;=500,"High Value","Standard")</f>
        <v>Standard</v>
      </c>
      <c r="U593" s="1" t="str">
        <f>IF(tbl_sales[[#This Row],[Order Size]]="High Value","High Value Order","Standard Order")</f>
        <v>Standard Order</v>
      </c>
      <c r="V593" s="1"/>
      <c r="W593" s="17" t="s">
        <v>37</v>
      </c>
      <c r="X593" s="17"/>
      <c r="Y593" s="6"/>
      <c r="Z593" s="1" t="s">
        <v>37</v>
      </c>
    </row>
    <row r="594" spans="1:26">
      <c r="A594" s="3" t="s">
        <v>3439</v>
      </c>
      <c r="B594" s="3" t="s">
        <v>22</v>
      </c>
      <c r="C594" s="3" t="s">
        <v>23</v>
      </c>
      <c r="D594" s="3" t="s">
        <v>24</v>
      </c>
      <c r="E594" s="3" t="s">
        <v>25</v>
      </c>
      <c r="F594" s="3" t="s">
        <v>72</v>
      </c>
      <c r="G594" s="2">
        <v>45.58</v>
      </c>
      <c r="H594" s="2">
        <v>1</v>
      </c>
      <c r="I594" s="2">
        <v>2.2789999999999999</v>
      </c>
      <c r="J594" s="2">
        <v>47.859000000000002</v>
      </c>
      <c r="K594" s="5">
        <v>43503</v>
      </c>
      <c r="L594" s="4">
        <v>0.59236111111111112</v>
      </c>
      <c r="M594" s="3" t="s">
        <v>49</v>
      </c>
      <c r="N594" s="2">
        <v>45.58</v>
      </c>
      <c r="O594" s="2">
        <v>4.7619047620000003</v>
      </c>
      <c r="P594" s="2">
        <v>2.2789999999999999</v>
      </c>
      <c r="Q594" s="2">
        <v>9.8000000000000007</v>
      </c>
      <c r="R594" s="3" t="str">
        <f t="shared" si="20"/>
        <v>February</v>
      </c>
      <c r="S594" s="3">
        <f t="shared" si="19"/>
        <v>2</v>
      </c>
      <c r="T594" s="3" t="str">
        <f>IF(tbl_sales[[#This Row],[Sales]]&gt;=500,"High Value","Standard")</f>
        <v>Standard</v>
      </c>
      <c r="U594" s="1" t="str">
        <f>IF(tbl_sales[[#This Row],[Order Size]]="High Value","High Value Order","Standard Order")</f>
        <v>Standard Order</v>
      </c>
      <c r="V594" s="1"/>
      <c r="W594" s="17" t="s">
        <v>37</v>
      </c>
      <c r="X594" s="17"/>
      <c r="Y594" s="6"/>
      <c r="Z594" s="1" t="s">
        <v>37</v>
      </c>
    </row>
    <row r="595" spans="1:26">
      <c r="A595" s="3" t="s">
        <v>3444</v>
      </c>
      <c r="B595" s="3" t="s">
        <v>22</v>
      </c>
      <c r="C595" s="3" t="s">
        <v>23</v>
      </c>
      <c r="D595" s="3" t="s">
        <v>24</v>
      </c>
      <c r="E595" s="3" t="s">
        <v>25</v>
      </c>
      <c r="F595" s="3" t="s">
        <v>72</v>
      </c>
      <c r="G595" s="2">
        <v>75.2</v>
      </c>
      <c r="H595" s="2">
        <v>3</v>
      </c>
      <c r="I595" s="2">
        <v>11.28</v>
      </c>
      <c r="J595" s="2">
        <v>236.88</v>
      </c>
      <c r="K595" s="5">
        <v>43501</v>
      </c>
      <c r="L595" s="4">
        <v>0.49375000000000002</v>
      </c>
      <c r="M595" s="3" t="s">
        <v>33</v>
      </c>
      <c r="N595" s="2">
        <v>225.6</v>
      </c>
      <c r="O595" s="2">
        <v>4.7619047620000003</v>
      </c>
      <c r="P595" s="2">
        <v>11.28</v>
      </c>
      <c r="Q595" s="2">
        <v>4.8</v>
      </c>
      <c r="R595" s="3" t="str">
        <f t="shared" si="20"/>
        <v>February</v>
      </c>
      <c r="S595" s="3">
        <f t="shared" si="19"/>
        <v>2</v>
      </c>
      <c r="T595" s="3" t="str">
        <f>IF(tbl_sales[[#This Row],[Sales]]&gt;=500,"High Value","Standard")</f>
        <v>Standard</v>
      </c>
      <c r="U595" s="1" t="str">
        <f>IF(tbl_sales[[#This Row],[Order Size]]="High Value","High Value Order","Standard Order")</f>
        <v>Standard Order</v>
      </c>
      <c r="V595" s="1"/>
      <c r="W595" s="17" t="s">
        <v>37</v>
      </c>
      <c r="X595" s="17"/>
      <c r="Y595" s="6"/>
      <c r="Z595" s="1" t="s">
        <v>37</v>
      </c>
    </row>
    <row r="596" spans="1:26">
      <c r="A596" s="3" t="s">
        <v>3449</v>
      </c>
      <c r="B596" s="3" t="s">
        <v>115</v>
      </c>
      <c r="C596" s="3" t="s">
        <v>116</v>
      </c>
      <c r="D596" s="3" t="s">
        <v>24</v>
      </c>
      <c r="E596" s="3" t="s">
        <v>992</v>
      </c>
      <c r="F596" s="3" t="s">
        <v>72</v>
      </c>
      <c r="G596" s="2">
        <v>96.8</v>
      </c>
      <c r="H596" s="2">
        <v>3</v>
      </c>
      <c r="I596" s="2">
        <v>14.52</v>
      </c>
      <c r="J596" s="2">
        <v>304.92</v>
      </c>
      <c r="K596" s="5">
        <v>43539</v>
      </c>
      <c r="L596" s="4">
        <v>0.54513888888888884</v>
      </c>
      <c r="M596" s="3" t="s">
        <v>49</v>
      </c>
      <c r="N596" s="2">
        <v>290.39999999999998</v>
      </c>
      <c r="O596" s="2">
        <v>4.7619047620000003</v>
      </c>
      <c r="P596" s="2">
        <v>14.52</v>
      </c>
      <c r="Q596" s="2">
        <v>5.3</v>
      </c>
      <c r="R596" s="3" t="str">
        <f t="shared" si="20"/>
        <v>March</v>
      </c>
      <c r="S596" s="3">
        <f t="shared" si="19"/>
        <v>3</v>
      </c>
      <c r="T596" s="3" t="str">
        <f>IF(tbl_sales[[#This Row],[Sales]]&gt;=500,"High Value","Standard")</f>
        <v>Standard</v>
      </c>
      <c r="U596" s="1" t="str">
        <f>IF(tbl_sales[[#This Row],[Order Size]]="High Value","High Value Order","Standard Order")</f>
        <v>Standard Order</v>
      </c>
      <c r="V596" s="1"/>
      <c r="W596" s="17" t="s">
        <v>37</v>
      </c>
      <c r="X596" s="17"/>
      <c r="Y596" s="6"/>
      <c r="Z596" s="1" t="s">
        <v>37</v>
      </c>
    </row>
    <row r="597" spans="1:26">
      <c r="A597" s="3" t="s">
        <v>3454</v>
      </c>
      <c r="B597" s="3" t="s">
        <v>115</v>
      </c>
      <c r="C597" s="3" t="s">
        <v>116</v>
      </c>
      <c r="D597" s="3" t="s">
        <v>41</v>
      </c>
      <c r="E597" s="3" t="s">
        <v>992</v>
      </c>
      <c r="F597" s="3" t="s">
        <v>26</v>
      </c>
      <c r="G597" s="2">
        <v>14.82</v>
      </c>
      <c r="H597" s="2">
        <v>3</v>
      </c>
      <c r="I597" s="2">
        <v>2.2229999999999999</v>
      </c>
      <c r="J597" s="2">
        <v>46.683</v>
      </c>
      <c r="K597" s="5">
        <v>43525</v>
      </c>
      <c r="L597" s="4">
        <v>0.47916666666666669</v>
      </c>
      <c r="M597" s="3" t="s">
        <v>59</v>
      </c>
      <c r="N597" s="2">
        <v>44.46</v>
      </c>
      <c r="O597" s="2">
        <v>4.7619047620000003</v>
      </c>
      <c r="P597" s="2">
        <v>2.2229999999999999</v>
      </c>
      <c r="Q597" s="2">
        <v>8.6999999999999993</v>
      </c>
      <c r="R597" s="3" t="str">
        <f t="shared" si="20"/>
        <v>March</v>
      </c>
      <c r="S597" s="3">
        <f t="shared" si="19"/>
        <v>3</v>
      </c>
      <c r="T597" s="3" t="str">
        <f>IF(tbl_sales[[#This Row],[Sales]]&gt;=500,"High Value","Standard")</f>
        <v>Standard</v>
      </c>
      <c r="U597" s="1" t="str">
        <f>IF(tbl_sales[[#This Row],[Order Size]]="High Value","High Value Order","Standard Order")</f>
        <v>Standard Order</v>
      </c>
      <c r="V597" s="1"/>
      <c r="W597" s="17" t="s">
        <v>37</v>
      </c>
      <c r="X597" s="17"/>
      <c r="Y597" s="6"/>
      <c r="Z597" s="1" t="s">
        <v>37</v>
      </c>
    </row>
    <row r="598" spans="1:26">
      <c r="A598" s="3" t="s">
        <v>3459</v>
      </c>
      <c r="B598" s="3" t="s">
        <v>22</v>
      </c>
      <c r="C598" s="3" t="s">
        <v>23</v>
      </c>
      <c r="D598" s="3" t="s">
        <v>41</v>
      </c>
      <c r="E598" s="3" t="s">
        <v>992</v>
      </c>
      <c r="F598" s="3" t="s">
        <v>117</v>
      </c>
      <c r="G598" s="2">
        <v>52.2</v>
      </c>
      <c r="H598" s="2">
        <v>3</v>
      </c>
      <c r="I598" s="2">
        <v>7.83</v>
      </c>
      <c r="J598" s="2">
        <v>164.43</v>
      </c>
      <c r="K598" s="5">
        <v>43511</v>
      </c>
      <c r="L598" s="4">
        <v>0.5625</v>
      </c>
      <c r="M598" s="3" t="s">
        <v>59</v>
      </c>
      <c r="N598" s="2">
        <v>156.6</v>
      </c>
      <c r="O598" s="2">
        <v>4.7619047620000003</v>
      </c>
      <c r="P598" s="2">
        <v>7.83</v>
      </c>
      <c r="Q598" s="2">
        <v>9.5</v>
      </c>
      <c r="R598" s="3" t="str">
        <f t="shared" si="20"/>
        <v>February</v>
      </c>
      <c r="S598" s="3">
        <f t="shared" si="19"/>
        <v>2</v>
      </c>
      <c r="T598" s="3" t="str">
        <f>IF(tbl_sales[[#This Row],[Sales]]&gt;=500,"High Value","Standard")</f>
        <v>Standard</v>
      </c>
      <c r="U598" s="1" t="str">
        <f>IF(tbl_sales[[#This Row],[Order Size]]="High Value","High Value Order","Standard Order")</f>
        <v>Standard Order</v>
      </c>
      <c r="V598" s="1"/>
      <c r="W598" s="17" t="s">
        <v>37</v>
      </c>
      <c r="X598" s="17"/>
      <c r="Y598" s="6"/>
      <c r="Z598" s="1" t="s">
        <v>37</v>
      </c>
    </row>
    <row r="599" spans="1:26">
      <c r="A599" s="3" t="s">
        <v>3464</v>
      </c>
      <c r="B599" s="3" t="s">
        <v>39</v>
      </c>
      <c r="C599" s="3" t="s">
        <v>40</v>
      </c>
      <c r="D599" s="3" t="s">
        <v>41</v>
      </c>
      <c r="E599" s="3" t="s">
        <v>25</v>
      </c>
      <c r="F599" s="3" t="s">
        <v>72</v>
      </c>
      <c r="G599" s="2">
        <v>46.66</v>
      </c>
      <c r="H599" s="2">
        <v>9</v>
      </c>
      <c r="I599" s="2">
        <v>20.997</v>
      </c>
      <c r="J599" s="2">
        <v>440.93700000000001</v>
      </c>
      <c r="K599" s="5">
        <v>43513</v>
      </c>
      <c r="L599" s="4">
        <v>0.7993055555555556</v>
      </c>
      <c r="M599" s="3" t="s">
        <v>33</v>
      </c>
      <c r="N599" s="2">
        <v>419.94</v>
      </c>
      <c r="O599" s="2">
        <v>4.7619047620000003</v>
      </c>
      <c r="P599" s="2">
        <v>20.997</v>
      </c>
      <c r="Q599" s="2">
        <v>5.3</v>
      </c>
      <c r="R599" s="3" t="str">
        <f t="shared" si="20"/>
        <v>February</v>
      </c>
      <c r="S599" s="3">
        <f t="shared" si="19"/>
        <v>2</v>
      </c>
      <c r="T599" s="3" t="str">
        <f>IF(tbl_sales[[#This Row],[Sales]]&gt;=500,"High Value","Standard")</f>
        <v>Standard</v>
      </c>
      <c r="U599" s="1" t="str">
        <f>IF(tbl_sales[[#This Row],[Order Size]]="High Value","High Value Order","Standard Order")</f>
        <v>Standard Order</v>
      </c>
      <c r="V599" s="1"/>
      <c r="W599" s="17" t="s">
        <v>37</v>
      </c>
      <c r="X599" s="17"/>
      <c r="Y599" s="6"/>
      <c r="Z599" s="1" t="s">
        <v>37</v>
      </c>
    </row>
    <row r="600" spans="1:26">
      <c r="A600" s="3" t="s">
        <v>3470</v>
      </c>
      <c r="B600" s="3" t="s">
        <v>39</v>
      </c>
      <c r="C600" s="3" t="s">
        <v>40</v>
      </c>
      <c r="D600" s="3" t="s">
        <v>41</v>
      </c>
      <c r="E600" s="3" t="s">
        <v>25</v>
      </c>
      <c r="F600" s="3" t="s">
        <v>127</v>
      </c>
      <c r="G600" s="2">
        <v>36.85</v>
      </c>
      <c r="H600" s="2">
        <v>5</v>
      </c>
      <c r="I600" s="2">
        <v>9.2125000000000004</v>
      </c>
      <c r="J600" s="2">
        <v>193.46250000000001</v>
      </c>
      <c r="K600" s="5">
        <v>43491</v>
      </c>
      <c r="L600" s="4">
        <v>0.78680555555555554</v>
      </c>
      <c r="M600" s="3" t="s">
        <v>49</v>
      </c>
      <c r="N600" s="2">
        <v>184.25</v>
      </c>
      <c r="O600" s="2">
        <v>4.7619047620000003</v>
      </c>
      <c r="P600" s="2">
        <v>9.2125000000000004</v>
      </c>
      <c r="Q600" s="2">
        <v>9.1999999999999993</v>
      </c>
      <c r="R600" s="3" t="str">
        <f t="shared" si="20"/>
        <v>January</v>
      </c>
      <c r="S600" s="3">
        <f t="shared" si="19"/>
        <v>1</v>
      </c>
      <c r="T600" s="3" t="str">
        <f>IF(tbl_sales[[#This Row],[Sales]]&gt;=500,"High Value","Standard")</f>
        <v>Standard</v>
      </c>
      <c r="U600" s="1" t="str">
        <f>IF(tbl_sales[[#This Row],[Order Size]]="High Value","High Value Order","Standard Order")</f>
        <v>Standard Order</v>
      </c>
      <c r="V600" s="1"/>
      <c r="W600" s="17" t="s">
        <v>37</v>
      </c>
      <c r="X600" s="17"/>
      <c r="Y600" s="6"/>
      <c r="Z600" s="1" t="s">
        <v>37</v>
      </c>
    </row>
    <row r="601" spans="1:26">
      <c r="A601" s="3" t="s">
        <v>3476</v>
      </c>
      <c r="B601" s="3" t="s">
        <v>22</v>
      </c>
      <c r="C601" s="3" t="s">
        <v>23</v>
      </c>
      <c r="D601" s="3" t="s">
        <v>24</v>
      </c>
      <c r="E601" s="3" t="s">
        <v>25</v>
      </c>
      <c r="F601" s="3" t="s">
        <v>53</v>
      </c>
      <c r="G601" s="2">
        <v>70.319999999999993</v>
      </c>
      <c r="H601" s="2">
        <v>2</v>
      </c>
      <c r="I601" s="2">
        <v>7.032</v>
      </c>
      <c r="J601" s="2">
        <v>147.672</v>
      </c>
      <c r="K601" s="5">
        <v>43548</v>
      </c>
      <c r="L601" s="4">
        <v>0.59861111111111109</v>
      </c>
      <c r="M601" s="3" t="s">
        <v>33</v>
      </c>
      <c r="N601" s="2">
        <v>140.63999999999999</v>
      </c>
      <c r="O601" s="2">
        <v>4.7619047620000003</v>
      </c>
      <c r="P601" s="2">
        <v>7.032</v>
      </c>
      <c r="Q601" s="2">
        <v>9.6</v>
      </c>
      <c r="R601" s="3" t="str">
        <f t="shared" si="20"/>
        <v>March</v>
      </c>
      <c r="S601" s="3">
        <f t="shared" si="19"/>
        <v>3</v>
      </c>
      <c r="T601" s="3" t="str">
        <f>IF(tbl_sales[[#This Row],[Sales]]&gt;=500,"High Value","Standard")</f>
        <v>Standard</v>
      </c>
      <c r="U601" s="1" t="str">
        <f>IF(tbl_sales[[#This Row],[Order Size]]="High Value","High Value Order","Standard Order")</f>
        <v>Standard Order</v>
      </c>
      <c r="V601" s="1"/>
      <c r="W601" s="17" t="s">
        <v>37</v>
      </c>
      <c r="X601" s="17"/>
      <c r="Y601" s="6"/>
      <c r="Z601" s="1" t="s">
        <v>37</v>
      </c>
    </row>
    <row r="602" spans="1:26">
      <c r="A602" s="3" t="s">
        <v>3482</v>
      </c>
      <c r="B602" s="3" t="s">
        <v>39</v>
      </c>
      <c r="C602" s="3" t="s">
        <v>40</v>
      </c>
      <c r="D602" s="3" t="s">
        <v>41</v>
      </c>
      <c r="E602" s="3" t="s">
        <v>992</v>
      </c>
      <c r="F602" s="3" t="s">
        <v>42</v>
      </c>
      <c r="G602" s="2">
        <v>83.08</v>
      </c>
      <c r="H602" s="2">
        <v>1</v>
      </c>
      <c r="I602" s="2">
        <v>4.1539999999999999</v>
      </c>
      <c r="J602" s="2">
        <v>87.233999999999995</v>
      </c>
      <c r="K602" s="5">
        <v>43488</v>
      </c>
      <c r="L602" s="4">
        <v>0.71944444444444444</v>
      </c>
      <c r="M602" s="3" t="s">
        <v>33</v>
      </c>
      <c r="N602" s="2">
        <v>83.08</v>
      </c>
      <c r="O602" s="2">
        <v>4.7619047620000003</v>
      </c>
      <c r="P602" s="2">
        <v>4.1539999999999999</v>
      </c>
      <c r="Q602" s="2">
        <v>6.4</v>
      </c>
      <c r="R602" s="3" t="str">
        <f t="shared" si="20"/>
        <v>January</v>
      </c>
      <c r="S602" s="3">
        <f t="shared" si="19"/>
        <v>1</v>
      </c>
      <c r="T602" s="3" t="str">
        <f>IF(tbl_sales[[#This Row],[Sales]]&gt;=500,"High Value","Standard")</f>
        <v>Standard</v>
      </c>
      <c r="U602" s="1" t="str">
        <f>IF(tbl_sales[[#This Row],[Order Size]]="High Value","High Value Order","Standard Order")</f>
        <v>Standard Order</v>
      </c>
      <c r="V602" s="1"/>
      <c r="W602" s="17" t="s">
        <v>37</v>
      </c>
      <c r="X602" s="17"/>
      <c r="Y602" s="6"/>
      <c r="Z602" s="1" t="s">
        <v>37</v>
      </c>
    </row>
    <row r="603" spans="1:26">
      <c r="A603" s="3" t="s">
        <v>3483</v>
      </c>
      <c r="B603" s="3" t="s">
        <v>39</v>
      </c>
      <c r="C603" s="3" t="s">
        <v>40</v>
      </c>
      <c r="D603" s="3" t="s">
        <v>41</v>
      </c>
      <c r="E603" s="3" t="s">
        <v>25</v>
      </c>
      <c r="F603" s="3" t="s">
        <v>127</v>
      </c>
      <c r="G603" s="2">
        <v>64.989999999999995</v>
      </c>
      <c r="H603" s="2">
        <v>1</v>
      </c>
      <c r="I603" s="2">
        <v>3.2494999999999998</v>
      </c>
      <c r="J603" s="2">
        <v>68.239500000000007</v>
      </c>
      <c r="K603" s="5">
        <v>43491</v>
      </c>
      <c r="L603" s="4">
        <v>0.42083333333333334</v>
      </c>
      <c r="M603" s="3" t="s">
        <v>59</v>
      </c>
      <c r="N603" s="2">
        <v>64.989999999999995</v>
      </c>
      <c r="O603" s="2">
        <v>4.7619047620000003</v>
      </c>
      <c r="P603" s="2">
        <v>3.2494999999999998</v>
      </c>
      <c r="Q603" s="2">
        <v>4.5</v>
      </c>
      <c r="R603" s="3" t="str">
        <f t="shared" si="20"/>
        <v>January</v>
      </c>
      <c r="S603" s="3">
        <f t="shared" si="19"/>
        <v>1</v>
      </c>
      <c r="T603" s="3" t="str">
        <f>IF(tbl_sales[[#This Row],[Sales]]&gt;=500,"High Value","Standard")</f>
        <v>Standard</v>
      </c>
      <c r="U603" s="1" t="str">
        <f>IF(tbl_sales[[#This Row],[Order Size]]="High Value","High Value Order","Standard Order")</f>
        <v>Standard Order</v>
      </c>
      <c r="V603" s="1"/>
      <c r="W603" s="17" t="s">
        <v>37</v>
      </c>
      <c r="X603" s="17"/>
      <c r="Y603" s="6"/>
      <c r="Z603" s="1" t="s">
        <v>37</v>
      </c>
    </row>
    <row r="604" spans="1:26">
      <c r="A604" s="3" t="s">
        <v>3488</v>
      </c>
      <c r="B604" s="3" t="s">
        <v>39</v>
      </c>
      <c r="C604" s="3" t="s">
        <v>40</v>
      </c>
      <c r="D604" s="3" t="s">
        <v>41</v>
      </c>
      <c r="E604" s="3" t="s">
        <v>992</v>
      </c>
      <c r="F604" s="3" t="s">
        <v>117</v>
      </c>
      <c r="G604" s="2">
        <v>77.56</v>
      </c>
      <c r="H604" s="2">
        <v>10</v>
      </c>
      <c r="I604" s="2">
        <v>38.78</v>
      </c>
      <c r="J604" s="2">
        <v>814.38</v>
      </c>
      <c r="K604" s="5">
        <v>43538</v>
      </c>
      <c r="L604" s="4">
        <v>0.85763888888888884</v>
      </c>
      <c r="M604" s="3" t="s">
        <v>33</v>
      </c>
      <c r="N604" s="2">
        <v>775.6</v>
      </c>
      <c r="O604" s="2">
        <v>4.7619047620000003</v>
      </c>
      <c r="P604" s="2">
        <v>38.78</v>
      </c>
      <c r="Q604" s="2">
        <v>6.9</v>
      </c>
      <c r="R604" s="3" t="str">
        <f t="shared" si="20"/>
        <v>March</v>
      </c>
      <c r="S604" s="3">
        <f t="shared" si="19"/>
        <v>3</v>
      </c>
      <c r="T604" s="3" t="str">
        <f>IF(tbl_sales[[#This Row],[Sales]]&gt;=500,"High Value","Standard")</f>
        <v>High Value</v>
      </c>
      <c r="U604" s="1" t="str">
        <f>IF(tbl_sales[[#This Row],[Order Size]]="High Value","High Value Order","Standard Order")</f>
        <v>High Value Order</v>
      </c>
      <c r="V604" s="1"/>
      <c r="W604" s="17" t="s">
        <v>37</v>
      </c>
      <c r="X604" s="17"/>
      <c r="Y604" s="6"/>
      <c r="Z604" s="1" t="s">
        <v>37</v>
      </c>
    </row>
    <row r="605" spans="1:26">
      <c r="A605" s="3" t="s">
        <v>3493</v>
      </c>
      <c r="B605" s="3" t="s">
        <v>115</v>
      </c>
      <c r="C605" s="3" t="s">
        <v>116</v>
      </c>
      <c r="D605" s="3" t="s">
        <v>41</v>
      </c>
      <c r="E605" s="3" t="s">
        <v>25</v>
      </c>
      <c r="F605" s="3" t="s">
        <v>72</v>
      </c>
      <c r="G605" s="2">
        <v>54.51</v>
      </c>
      <c r="H605" s="2">
        <v>6</v>
      </c>
      <c r="I605" s="2">
        <v>16.353000000000002</v>
      </c>
      <c r="J605" s="2">
        <v>343.41300000000001</v>
      </c>
      <c r="K605" s="5">
        <v>43541</v>
      </c>
      <c r="L605" s="4">
        <v>0.57916666666666672</v>
      </c>
      <c r="M605" s="3" t="s">
        <v>33</v>
      </c>
      <c r="N605" s="2">
        <v>327.06</v>
      </c>
      <c r="O605" s="2">
        <v>4.7619047620000003</v>
      </c>
      <c r="P605" s="2">
        <v>16.353000000000002</v>
      </c>
      <c r="Q605" s="2">
        <v>7.8</v>
      </c>
      <c r="R605" s="3" t="str">
        <f t="shared" si="20"/>
        <v>March</v>
      </c>
      <c r="S605" s="3">
        <f t="shared" si="19"/>
        <v>3</v>
      </c>
      <c r="T605" s="3" t="str">
        <f>IF(tbl_sales[[#This Row],[Sales]]&gt;=500,"High Value","Standard")</f>
        <v>Standard</v>
      </c>
      <c r="U605" s="1" t="str">
        <f>IF(tbl_sales[[#This Row],[Order Size]]="High Value","High Value Order","Standard Order")</f>
        <v>Standard Order</v>
      </c>
      <c r="V605" s="1"/>
      <c r="W605" s="17" t="s">
        <v>37</v>
      </c>
      <c r="X605" s="17"/>
      <c r="Y605" s="6"/>
      <c r="Z605" s="1" t="s">
        <v>37</v>
      </c>
    </row>
    <row r="606" spans="1:26">
      <c r="A606" s="3" t="s">
        <v>3498</v>
      </c>
      <c r="B606" s="3" t="s">
        <v>39</v>
      </c>
      <c r="C606" s="3" t="s">
        <v>40</v>
      </c>
      <c r="D606" s="3" t="s">
        <v>24</v>
      </c>
      <c r="E606" s="3" t="s">
        <v>25</v>
      </c>
      <c r="F606" s="3" t="s">
        <v>127</v>
      </c>
      <c r="G606" s="2">
        <v>51.89</v>
      </c>
      <c r="H606" s="2">
        <v>7</v>
      </c>
      <c r="I606" s="2">
        <v>18.1615</v>
      </c>
      <c r="J606" s="2">
        <v>381.39150000000001</v>
      </c>
      <c r="K606" s="5">
        <v>43473</v>
      </c>
      <c r="L606" s="4">
        <v>0.83888888888888891</v>
      </c>
      <c r="M606" s="3" t="s">
        <v>49</v>
      </c>
      <c r="N606" s="2">
        <v>363.23</v>
      </c>
      <c r="O606" s="2">
        <v>4.7619047620000003</v>
      </c>
      <c r="P606" s="2">
        <v>18.1615</v>
      </c>
      <c r="Q606" s="2">
        <v>4.5</v>
      </c>
      <c r="R606" s="3" t="str">
        <f t="shared" si="20"/>
        <v>January</v>
      </c>
      <c r="S606" s="3">
        <f t="shared" si="19"/>
        <v>1</v>
      </c>
      <c r="T606" s="3" t="str">
        <f>IF(tbl_sales[[#This Row],[Sales]]&gt;=500,"High Value","Standard")</f>
        <v>Standard</v>
      </c>
      <c r="U606" s="1" t="str">
        <f>IF(tbl_sales[[#This Row],[Order Size]]="High Value","High Value Order","Standard Order")</f>
        <v>Standard Order</v>
      </c>
      <c r="V606" s="1"/>
      <c r="W606" s="17" t="s">
        <v>37</v>
      </c>
      <c r="X606" s="17"/>
      <c r="Y606" s="6"/>
      <c r="Z606" s="1" t="s">
        <v>37</v>
      </c>
    </row>
    <row r="607" spans="1:26">
      <c r="A607" s="3" t="s">
        <v>3504</v>
      </c>
      <c r="B607" s="3" t="s">
        <v>115</v>
      </c>
      <c r="C607" s="3" t="s">
        <v>116</v>
      </c>
      <c r="D607" s="3" t="s">
        <v>41</v>
      </c>
      <c r="E607" s="3" t="s">
        <v>992</v>
      </c>
      <c r="F607" s="3" t="s">
        <v>53</v>
      </c>
      <c r="G607" s="2">
        <v>31.75</v>
      </c>
      <c r="H607" s="2">
        <v>4</v>
      </c>
      <c r="I607" s="2">
        <v>6.35</v>
      </c>
      <c r="J607" s="2">
        <v>133.35</v>
      </c>
      <c r="K607" s="5">
        <v>43504</v>
      </c>
      <c r="L607" s="4">
        <v>0.6430555555555556</v>
      </c>
      <c r="M607" s="3" t="s">
        <v>49</v>
      </c>
      <c r="N607" s="2">
        <v>127</v>
      </c>
      <c r="O607" s="2">
        <v>4.7619047620000003</v>
      </c>
      <c r="P607" s="2">
        <v>6.35</v>
      </c>
      <c r="Q607" s="2">
        <v>8.6</v>
      </c>
      <c r="R607" s="3" t="str">
        <f t="shared" si="20"/>
        <v>February</v>
      </c>
      <c r="S607" s="3">
        <f t="shared" si="19"/>
        <v>2</v>
      </c>
      <c r="T607" s="3" t="str">
        <f>IF(tbl_sales[[#This Row],[Sales]]&gt;=500,"High Value","Standard")</f>
        <v>Standard</v>
      </c>
      <c r="U607" s="1" t="str">
        <f>IF(tbl_sales[[#This Row],[Order Size]]="High Value","High Value Order","Standard Order")</f>
        <v>Standard Order</v>
      </c>
      <c r="V607" s="1"/>
      <c r="W607" s="17" t="s">
        <v>37</v>
      </c>
      <c r="X607" s="17"/>
      <c r="Y607" s="6"/>
      <c r="Z607" s="1" t="s">
        <v>37</v>
      </c>
    </row>
    <row r="608" spans="1:26">
      <c r="A608" s="3" t="s">
        <v>3509</v>
      </c>
      <c r="B608" s="3" t="s">
        <v>22</v>
      </c>
      <c r="C608" s="3" t="s">
        <v>23</v>
      </c>
      <c r="D608" s="3" t="s">
        <v>24</v>
      </c>
      <c r="E608" s="3" t="s">
        <v>25</v>
      </c>
      <c r="F608" s="3" t="s">
        <v>127</v>
      </c>
      <c r="G608" s="2">
        <v>53.65</v>
      </c>
      <c r="H608" s="2">
        <v>7</v>
      </c>
      <c r="I608" s="2">
        <v>18.7775</v>
      </c>
      <c r="J608" s="2">
        <v>394.32749999999999</v>
      </c>
      <c r="K608" s="5">
        <v>43506</v>
      </c>
      <c r="L608" s="4">
        <v>0.53888888888888886</v>
      </c>
      <c r="M608" s="3" t="s">
        <v>33</v>
      </c>
      <c r="N608" s="2">
        <v>375.55</v>
      </c>
      <c r="O608" s="2">
        <v>4.7619047620000003</v>
      </c>
      <c r="P608" s="2">
        <v>18.7775</v>
      </c>
      <c r="Q608" s="2">
        <v>5.2</v>
      </c>
      <c r="R608" s="3" t="str">
        <f t="shared" si="20"/>
        <v>February</v>
      </c>
      <c r="S608" s="3">
        <f t="shared" si="19"/>
        <v>2</v>
      </c>
      <c r="T608" s="3" t="str">
        <f>IF(tbl_sales[[#This Row],[Sales]]&gt;=500,"High Value","Standard")</f>
        <v>Standard</v>
      </c>
      <c r="U608" s="1" t="str">
        <f>IF(tbl_sales[[#This Row],[Order Size]]="High Value","High Value Order","Standard Order")</f>
        <v>Standard Order</v>
      </c>
      <c r="V608" s="1"/>
      <c r="W608" s="17" t="s">
        <v>37</v>
      </c>
      <c r="X608" s="17"/>
      <c r="Y608" s="6"/>
      <c r="Z608" s="1" t="s">
        <v>37</v>
      </c>
    </row>
    <row r="609" spans="1:26">
      <c r="A609" s="3" t="s">
        <v>3515</v>
      </c>
      <c r="B609" s="3" t="s">
        <v>39</v>
      </c>
      <c r="C609" s="3" t="s">
        <v>40</v>
      </c>
      <c r="D609" s="3" t="s">
        <v>24</v>
      </c>
      <c r="E609" s="3" t="s">
        <v>25</v>
      </c>
      <c r="F609" s="3" t="s">
        <v>117</v>
      </c>
      <c r="G609" s="2">
        <v>49.79</v>
      </c>
      <c r="H609" s="2">
        <v>4</v>
      </c>
      <c r="I609" s="2">
        <v>9.9580000000000002</v>
      </c>
      <c r="J609" s="2">
        <v>209.11799999999999</v>
      </c>
      <c r="K609" s="5">
        <v>43552</v>
      </c>
      <c r="L609" s="4">
        <v>0.80277777777777781</v>
      </c>
      <c r="M609" s="3" t="s">
        <v>59</v>
      </c>
      <c r="N609" s="2">
        <v>199.16</v>
      </c>
      <c r="O609" s="2">
        <v>4.7619047620000003</v>
      </c>
      <c r="P609" s="2">
        <v>9.9580000000000002</v>
      </c>
      <c r="Q609" s="2">
        <v>6.4</v>
      </c>
      <c r="R609" s="3" t="str">
        <f t="shared" si="20"/>
        <v>March</v>
      </c>
      <c r="S609" s="3">
        <f t="shared" si="19"/>
        <v>3</v>
      </c>
      <c r="T609" s="3" t="str">
        <f>IF(tbl_sales[[#This Row],[Sales]]&gt;=500,"High Value","Standard")</f>
        <v>Standard</v>
      </c>
      <c r="U609" s="1" t="str">
        <f>IF(tbl_sales[[#This Row],[Order Size]]="High Value","High Value Order","Standard Order")</f>
        <v>Standard Order</v>
      </c>
      <c r="V609" s="1"/>
      <c r="W609" s="17" t="s">
        <v>37</v>
      </c>
      <c r="X609" s="17"/>
      <c r="Y609" s="6"/>
      <c r="Z609" s="1" t="s">
        <v>37</v>
      </c>
    </row>
    <row r="610" spans="1:26">
      <c r="A610" s="3" t="s">
        <v>3520</v>
      </c>
      <c r="B610" s="3" t="s">
        <v>22</v>
      </c>
      <c r="C610" s="3" t="s">
        <v>23</v>
      </c>
      <c r="D610" s="3" t="s">
        <v>41</v>
      </c>
      <c r="E610" s="3" t="s">
        <v>992</v>
      </c>
      <c r="F610" s="3" t="s">
        <v>127</v>
      </c>
      <c r="G610" s="2">
        <v>30.61</v>
      </c>
      <c r="H610" s="2">
        <v>1</v>
      </c>
      <c r="I610" s="2">
        <v>1.5305</v>
      </c>
      <c r="J610" s="2">
        <v>32.140500000000003</v>
      </c>
      <c r="K610" s="5">
        <v>43488</v>
      </c>
      <c r="L610" s="4">
        <v>0.51388888888888884</v>
      </c>
      <c r="M610" s="3" t="s">
        <v>33</v>
      </c>
      <c r="N610" s="2">
        <v>30.61</v>
      </c>
      <c r="O610" s="2">
        <v>4.7619047620000003</v>
      </c>
      <c r="P610" s="2">
        <v>1.5305</v>
      </c>
      <c r="Q610" s="2">
        <v>5.2</v>
      </c>
      <c r="R610" s="3" t="str">
        <f t="shared" si="20"/>
        <v>January</v>
      </c>
      <c r="S610" s="3">
        <f t="shared" si="19"/>
        <v>1</v>
      </c>
      <c r="T610" s="3" t="str">
        <f>IF(tbl_sales[[#This Row],[Sales]]&gt;=500,"High Value","Standard")</f>
        <v>Standard</v>
      </c>
      <c r="U610" s="1" t="str">
        <f>IF(tbl_sales[[#This Row],[Order Size]]="High Value","High Value Order","Standard Order")</f>
        <v>Standard Order</v>
      </c>
      <c r="V610" s="1"/>
      <c r="W610" s="17" t="s">
        <v>37</v>
      </c>
      <c r="X610" s="17"/>
      <c r="Y610" s="6"/>
      <c r="Z610" s="1" t="s">
        <v>37</v>
      </c>
    </row>
    <row r="611" spans="1:26">
      <c r="A611" s="3" t="s">
        <v>3523</v>
      </c>
      <c r="B611" s="3" t="s">
        <v>115</v>
      </c>
      <c r="C611" s="3" t="s">
        <v>116</v>
      </c>
      <c r="D611" s="3" t="s">
        <v>24</v>
      </c>
      <c r="E611" s="3" t="s">
        <v>992</v>
      </c>
      <c r="F611" s="3" t="s">
        <v>117</v>
      </c>
      <c r="G611" s="2">
        <v>57.89</v>
      </c>
      <c r="H611" s="2">
        <v>2</v>
      </c>
      <c r="I611" s="2">
        <v>5.7889999999999997</v>
      </c>
      <c r="J611" s="2">
        <v>121.569</v>
      </c>
      <c r="K611" s="5">
        <v>43482</v>
      </c>
      <c r="L611" s="4">
        <v>0.44236111111111109</v>
      </c>
      <c r="M611" s="3" t="s">
        <v>33</v>
      </c>
      <c r="N611" s="2">
        <v>115.78</v>
      </c>
      <c r="O611" s="2">
        <v>4.7619047620000003</v>
      </c>
      <c r="P611" s="2">
        <v>5.7889999999999997</v>
      </c>
      <c r="Q611" s="2">
        <v>8.9</v>
      </c>
      <c r="R611" s="3" t="str">
        <f t="shared" si="20"/>
        <v>January</v>
      </c>
      <c r="S611" s="3">
        <f t="shared" si="19"/>
        <v>1</v>
      </c>
      <c r="T611" s="3" t="str">
        <f>IF(tbl_sales[[#This Row],[Sales]]&gt;=500,"High Value","Standard")</f>
        <v>Standard</v>
      </c>
      <c r="U611" s="1" t="str">
        <f>IF(tbl_sales[[#This Row],[Order Size]]="High Value","High Value Order","Standard Order")</f>
        <v>Standard Order</v>
      </c>
      <c r="V611" s="1"/>
      <c r="W611" s="17" t="s">
        <v>37</v>
      </c>
      <c r="X611" s="17"/>
      <c r="Y611" s="6"/>
      <c r="Z611" s="1" t="s">
        <v>37</v>
      </c>
    </row>
    <row r="612" spans="1:26">
      <c r="A612" s="3" t="s">
        <v>3528</v>
      </c>
      <c r="B612" s="3" t="s">
        <v>22</v>
      </c>
      <c r="C612" s="3" t="s">
        <v>23</v>
      </c>
      <c r="D612" s="3" t="s">
        <v>41</v>
      </c>
      <c r="E612" s="3" t="s">
        <v>25</v>
      </c>
      <c r="F612" s="3" t="s">
        <v>42</v>
      </c>
      <c r="G612" s="2">
        <v>28.96</v>
      </c>
      <c r="H612" s="2">
        <v>1</v>
      </c>
      <c r="I612" s="2">
        <v>1.448</v>
      </c>
      <c r="J612" s="2">
        <v>30.408000000000001</v>
      </c>
      <c r="K612" s="5">
        <v>43503</v>
      </c>
      <c r="L612" s="4">
        <v>0.42916666666666664</v>
      </c>
      <c r="M612" s="3" t="s">
        <v>59</v>
      </c>
      <c r="N612" s="2">
        <v>28.96</v>
      </c>
      <c r="O612" s="2">
        <v>4.7619047620000003</v>
      </c>
      <c r="P612" s="2">
        <v>1.448</v>
      </c>
      <c r="Q612" s="2">
        <v>6.2</v>
      </c>
      <c r="R612" s="3" t="str">
        <f t="shared" si="20"/>
        <v>February</v>
      </c>
      <c r="S612" s="3">
        <f t="shared" si="19"/>
        <v>2</v>
      </c>
      <c r="T612" s="3" t="str">
        <f>IF(tbl_sales[[#This Row],[Sales]]&gt;=500,"High Value","Standard")</f>
        <v>Standard</v>
      </c>
      <c r="U612" s="1" t="str">
        <f>IF(tbl_sales[[#This Row],[Order Size]]="High Value","High Value Order","Standard Order")</f>
        <v>Standard Order</v>
      </c>
      <c r="V612" s="1"/>
      <c r="W612" s="17" t="s">
        <v>37</v>
      </c>
      <c r="X612" s="17"/>
      <c r="Y612" s="6"/>
      <c r="Z612" s="1" t="s">
        <v>37</v>
      </c>
    </row>
    <row r="613" spans="1:26">
      <c r="A613" s="3" t="s">
        <v>3533</v>
      </c>
      <c r="B613" s="3" t="s">
        <v>39</v>
      </c>
      <c r="C613" s="3" t="s">
        <v>40</v>
      </c>
      <c r="D613" s="3" t="s">
        <v>24</v>
      </c>
      <c r="E613" s="3" t="s">
        <v>25</v>
      </c>
      <c r="F613" s="3" t="s">
        <v>117</v>
      </c>
      <c r="G613" s="2">
        <v>98.97</v>
      </c>
      <c r="H613" s="2">
        <v>9</v>
      </c>
      <c r="I613" s="2">
        <v>44.536499999999997</v>
      </c>
      <c r="J613" s="2">
        <v>935.26649999999995</v>
      </c>
      <c r="K613" s="5">
        <v>43533</v>
      </c>
      <c r="L613" s="4">
        <v>0.47430555555555554</v>
      </c>
      <c r="M613" s="3" t="s">
        <v>49</v>
      </c>
      <c r="N613" s="2">
        <v>890.73</v>
      </c>
      <c r="O613" s="2">
        <v>4.7619047620000003</v>
      </c>
      <c r="P613" s="2">
        <v>44.536499999999997</v>
      </c>
      <c r="Q613" s="2">
        <v>6.7</v>
      </c>
      <c r="R613" s="3" t="str">
        <f t="shared" si="20"/>
        <v>March</v>
      </c>
      <c r="S613" s="3">
        <f t="shared" si="19"/>
        <v>3</v>
      </c>
      <c r="T613" s="3" t="str">
        <f>IF(tbl_sales[[#This Row],[Sales]]&gt;=500,"High Value","Standard")</f>
        <v>High Value</v>
      </c>
      <c r="U613" s="1" t="str">
        <f>IF(tbl_sales[[#This Row],[Order Size]]="High Value","High Value Order","Standard Order")</f>
        <v>High Value Order</v>
      </c>
      <c r="V613" s="1"/>
      <c r="W613" s="17" t="s">
        <v>37</v>
      </c>
      <c r="X613" s="17"/>
      <c r="Y613" s="6"/>
      <c r="Z613" s="1" t="s">
        <v>37</v>
      </c>
    </row>
    <row r="614" spans="1:26">
      <c r="A614" s="3" t="s">
        <v>3538</v>
      </c>
      <c r="B614" s="3" t="s">
        <v>115</v>
      </c>
      <c r="C614" s="3" t="s">
        <v>116</v>
      </c>
      <c r="D614" s="3" t="s">
        <v>24</v>
      </c>
      <c r="E614" s="3" t="s">
        <v>992</v>
      </c>
      <c r="F614" s="3" t="s">
        <v>127</v>
      </c>
      <c r="G614" s="2">
        <v>93.22</v>
      </c>
      <c r="H614" s="2">
        <v>3</v>
      </c>
      <c r="I614" s="2">
        <v>13.983000000000001</v>
      </c>
      <c r="J614" s="2">
        <v>293.64299999999997</v>
      </c>
      <c r="K614" s="5">
        <v>43489</v>
      </c>
      <c r="L614" s="4">
        <v>0.48958333333333331</v>
      </c>
      <c r="M614" s="3" t="s">
        <v>49</v>
      </c>
      <c r="N614" s="2">
        <v>279.66000000000003</v>
      </c>
      <c r="O614" s="2">
        <v>4.7619047620000003</v>
      </c>
      <c r="P614" s="2">
        <v>13.983000000000001</v>
      </c>
      <c r="Q614" s="2">
        <v>7.2</v>
      </c>
      <c r="R614" s="3" t="str">
        <f t="shared" si="20"/>
        <v>January</v>
      </c>
      <c r="S614" s="3">
        <f t="shared" si="19"/>
        <v>1</v>
      </c>
      <c r="T614" s="3" t="str">
        <f>IF(tbl_sales[[#This Row],[Sales]]&gt;=500,"High Value","Standard")</f>
        <v>Standard</v>
      </c>
      <c r="U614" s="1" t="str">
        <f>IF(tbl_sales[[#This Row],[Order Size]]="High Value","High Value Order","Standard Order")</f>
        <v>Standard Order</v>
      </c>
      <c r="V614" s="1"/>
      <c r="W614" s="17" t="s">
        <v>37</v>
      </c>
      <c r="X614" s="17"/>
      <c r="Y614" s="6"/>
      <c r="Z614" s="1" t="s">
        <v>37</v>
      </c>
    </row>
    <row r="615" spans="1:26">
      <c r="A615" s="3" t="s">
        <v>3544</v>
      </c>
      <c r="B615" s="3" t="s">
        <v>39</v>
      </c>
      <c r="C615" s="3" t="s">
        <v>40</v>
      </c>
      <c r="D615" s="3" t="s">
        <v>24</v>
      </c>
      <c r="E615" s="3" t="s">
        <v>992</v>
      </c>
      <c r="F615" s="3" t="s">
        <v>72</v>
      </c>
      <c r="G615" s="2">
        <v>80.930000000000007</v>
      </c>
      <c r="H615" s="2">
        <v>1</v>
      </c>
      <c r="I615" s="2">
        <v>4.0465</v>
      </c>
      <c r="J615" s="2">
        <v>84.976500000000001</v>
      </c>
      <c r="K615" s="5">
        <v>43484</v>
      </c>
      <c r="L615" s="4">
        <v>0.67222222222222228</v>
      </c>
      <c r="M615" s="3" t="s">
        <v>59</v>
      </c>
      <c r="N615" s="2">
        <v>80.930000000000007</v>
      </c>
      <c r="O615" s="2">
        <v>4.7619047620000003</v>
      </c>
      <c r="P615" s="2">
        <v>4.0465</v>
      </c>
      <c r="Q615" s="2">
        <v>9</v>
      </c>
      <c r="R615" s="3" t="str">
        <f t="shared" si="20"/>
        <v>January</v>
      </c>
      <c r="S615" s="3">
        <f t="shared" si="19"/>
        <v>1</v>
      </c>
      <c r="T615" s="3" t="str">
        <f>IF(tbl_sales[[#This Row],[Sales]]&gt;=500,"High Value","Standard")</f>
        <v>Standard</v>
      </c>
      <c r="U615" s="1" t="str">
        <f>IF(tbl_sales[[#This Row],[Order Size]]="High Value","High Value Order","Standard Order")</f>
        <v>Standard Order</v>
      </c>
      <c r="V615" s="1"/>
      <c r="W615" s="17" t="s">
        <v>37</v>
      </c>
      <c r="X615" s="17"/>
      <c r="Y615" s="6"/>
      <c r="Z615" s="1" t="s">
        <v>37</v>
      </c>
    </row>
    <row r="616" spans="1:26">
      <c r="A616" s="3" t="s">
        <v>3549</v>
      </c>
      <c r="B616" s="3" t="s">
        <v>22</v>
      </c>
      <c r="C616" s="3" t="s">
        <v>23</v>
      </c>
      <c r="D616" s="3" t="s">
        <v>24</v>
      </c>
      <c r="E616" s="3" t="s">
        <v>992</v>
      </c>
      <c r="F616" s="3" t="s">
        <v>117</v>
      </c>
      <c r="G616" s="2">
        <v>67.45</v>
      </c>
      <c r="H616" s="2">
        <v>10</v>
      </c>
      <c r="I616" s="2">
        <v>33.725000000000001</v>
      </c>
      <c r="J616" s="2">
        <v>708.22500000000002</v>
      </c>
      <c r="K616" s="5">
        <v>43499</v>
      </c>
      <c r="L616" s="4">
        <v>0.47569444444444442</v>
      </c>
      <c r="M616" s="3" t="s">
        <v>33</v>
      </c>
      <c r="N616" s="2">
        <v>674.5</v>
      </c>
      <c r="O616" s="2">
        <v>4.7619047620000003</v>
      </c>
      <c r="P616" s="2">
        <v>33.725000000000001</v>
      </c>
      <c r="Q616" s="2">
        <v>4.2</v>
      </c>
      <c r="R616" s="3" t="str">
        <f t="shared" si="20"/>
        <v>February</v>
      </c>
      <c r="S616" s="3">
        <f t="shared" si="19"/>
        <v>2</v>
      </c>
      <c r="T616" s="3" t="str">
        <f>IF(tbl_sales[[#This Row],[Sales]]&gt;=500,"High Value","Standard")</f>
        <v>High Value</v>
      </c>
      <c r="U616" s="1" t="str">
        <f>IF(tbl_sales[[#This Row],[Order Size]]="High Value","High Value Order","Standard Order")</f>
        <v>High Value Order</v>
      </c>
      <c r="V616" s="1"/>
      <c r="W616" s="17" t="s">
        <v>37</v>
      </c>
      <c r="X616" s="17"/>
      <c r="Y616" s="6"/>
      <c r="Z616" s="1" t="s">
        <v>37</v>
      </c>
    </row>
    <row r="617" spans="1:26">
      <c r="A617" s="3" t="s">
        <v>3554</v>
      </c>
      <c r="B617" s="3" t="s">
        <v>22</v>
      </c>
      <c r="C617" s="3" t="s">
        <v>23</v>
      </c>
      <c r="D617" s="3" t="s">
        <v>24</v>
      </c>
      <c r="E617" s="3" t="s">
        <v>25</v>
      </c>
      <c r="F617" s="3" t="s">
        <v>72</v>
      </c>
      <c r="G617" s="2">
        <v>38.72</v>
      </c>
      <c r="H617" s="2">
        <v>9</v>
      </c>
      <c r="I617" s="2">
        <v>17.423999999999999</v>
      </c>
      <c r="J617" s="2">
        <v>365.904</v>
      </c>
      <c r="K617" s="5">
        <v>43544</v>
      </c>
      <c r="L617" s="4">
        <v>0.51666666666666672</v>
      </c>
      <c r="M617" s="3" t="s">
        <v>33</v>
      </c>
      <c r="N617" s="2">
        <v>348.48</v>
      </c>
      <c r="O617" s="2">
        <v>4.7619047620000003</v>
      </c>
      <c r="P617" s="2">
        <v>17.423999999999999</v>
      </c>
      <c r="Q617" s="2">
        <v>4.2</v>
      </c>
      <c r="R617" s="3" t="str">
        <f t="shared" si="20"/>
        <v>March</v>
      </c>
      <c r="S617" s="3">
        <f t="shared" si="19"/>
        <v>3</v>
      </c>
      <c r="T617" s="3" t="str">
        <f>IF(tbl_sales[[#This Row],[Sales]]&gt;=500,"High Value","Standard")</f>
        <v>Standard</v>
      </c>
      <c r="U617" s="1" t="str">
        <f>IF(tbl_sales[[#This Row],[Order Size]]="High Value","High Value Order","Standard Order")</f>
        <v>Standard Order</v>
      </c>
      <c r="V617" s="1"/>
      <c r="W617" s="17" t="s">
        <v>37</v>
      </c>
      <c r="X617" s="17"/>
      <c r="Y617" s="6"/>
      <c r="Z617" s="1" t="s">
        <v>37</v>
      </c>
    </row>
    <row r="618" spans="1:26">
      <c r="A618" s="3" t="s">
        <v>3560</v>
      </c>
      <c r="B618" s="3" t="s">
        <v>115</v>
      </c>
      <c r="C618" s="3" t="s">
        <v>116</v>
      </c>
      <c r="D618" s="3" t="s">
        <v>24</v>
      </c>
      <c r="E618" s="3" t="s">
        <v>992</v>
      </c>
      <c r="F618" s="3" t="s">
        <v>72</v>
      </c>
      <c r="G618" s="2">
        <v>72.599999999999994</v>
      </c>
      <c r="H618" s="2">
        <v>6</v>
      </c>
      <c r="I618" s="2">
        <v>21.78</v>
      </c>
      <c r="J618" s="2">
        <v>457.38</v>
      </c>
      <c r="K618" s="5">
        <v>43478</v>
      </c>
      <c r="L618" s="4">
        <v>0.82708333333333328</v>
      </c>
      <c r="M618" s="3" t="s">
        <v>49</v>
      </c>
      <c r="N618" s="2">
        <v>435.6</v>
      </c>
      <c r="O618" s="2">
        <v>4.7619047620000003</v>
      </c>
      <c r="P618" s="2">
        <v>21.78</v>
      </c>
      <c r="Q618" s="2">
        <v>6.9</v>
      </c>
      <c r="R618" s="3" t="str">
        <f t="shared" si="20"/>
        <v>January</v>
      </c>
      <c r="S618" s="3">
        <f t="shared" si="19"/>
        <v>1</v>
      </c>
      <c r="T618" s="3" t="str">
        <f>IF(tbl_sales[[#This Row],[Sales]]&gt;=500,"High Value","Standard")</f>
        <v>Standard</v>
      </c>
      <c r="U618" s="1" t="str">
        <f>IF(tbl_sales[[#This Row],[Order Size]]="High Value","High Value Order","Standard Order")</f>
        <v>Standard Order</v>
      </c>
      <c r="V618" s="1"/>
      <c r="W618" s="17" t="s">
        <v>37</v>
      </c>
      <c r="X618" s="17"/>
      <c r="Y618" s="6"/>
      <c r="Z618" s="1" t="s">
        <v>37</v>
      </c>
    </row>
    <row r="619" spans="1:26">
      <c r="A619" s="3" t="s">
        <v>3566</v>
      </c>
      <c r="B619" s="3" t="s">
        <v>39</v>
      </c>
      <c r="C619" s="3" t="s">
        <v>40</v>
      </c>
      <c r="D619" s="3" t="s">
        <v>24</v>
      </c>
      <c r="E619" s="3" t="s">
        <v>992</v>
      </c>
      <c r="F619" s="3" t="s">
        <v>42</v>
      </c>
      <c r="G619" s="2">
        <v>87.91</v>
      </c>
      <c r="H619" s="2">
        <v>5</v>
      </c>
      <c r="I619" s="2">
        <v>21.977499999999999</v>
      </c>
      <c r="J619" s="2">
        <v>461.52749999999997</v>
      </c>
      <c r="K619" s="5">
        <v>43538</v>
      </c>
      <c r="L619" s="4">
        <v>0.75694444444444442</v>
      </c>
      <c r="M619" s="3" t="s">
        <v>33</v>
      </c>
      <c r="N619" s="2">
        <v>439.55</v>
      </c>
      <c r="O619" s="2">
        <v>4.7619047620000003</v>
      </c>
      <c r="P619" s="2">
        <v>21.977499999999999</v>
      </c>
      <c r="Q619" s="2">
        <v>4.4000000000000004</v>
      </c>
      <c r="R619" s="3" t="str">
        <f t="shared" si="20"/>
        <v>March</v>
      </c>
      <c r="S619" s="3">
        <f t="shared" si="19"/>
        <v>3</v>
      </c>
      <c r="T619" s="3" t="str">
        <f>IF(tbl_sales[[#This Row],[Sales]]&gt;=500,"High Value","Standard")</f>
        <v>Standard</v>
      </c>
      <c r="U619" s="1" t="str">
        <f>IF(tbl_sales[[#This Row],[Order Size]]="High Value","High Value Order","Standard Order")</f>
        <v>Standard Order</v>
      </c>
      <c r="V619" s="1"/>
      <c r="W619" s="17" t="s">
        <v>37</v>
      </c>
      <c r="X619" s="17"/>
      <c r="Y619" s="6"/>
      <c r="Z619" s="1" t="s">
        <v>37</v>
      </c>
    </row>
    <row r="620" spans="1:26">
      <c r="A620" s="3" t="s">
        <v>3572</v>
      </c>
      <c r="B620" s="3" t="s">
        <v>22</v>
      </c>
      <c r="C620" s="3" t="s">
        <v>23</v>
      </c>
      <c r="D620" s="3" t="s">
        <v>24</v>
      </c>
      <c r="E620" s="3" t="s">
        <v>992</v>
      </c>
      <c r="F620" s="3" t="s">
        <v>117</v>
      </c>
      <c r="G620" s="2">
        <v>98.53</v>
      </c>
      <c r="H620" s="2">
        <v>6</v>
      </c>
      <c r="I620" s="2">
        <v>29.559000000000001</v>
      </c>
      <c r="J620" s="2">
        <v>620.73900000000003</v>
      </c>
      <c r="K620" s="5">
        <v>43488</v>
      </c>
      <c r="L620" s="4">
        <v>0.47361111111111109</v>
      </c>
      <c r="M620" s="3" t="s">
        <v>59</v>
      </c>
      <c r="N620" s="2">
        <v>591.17999999999995</v>
      </c>
      <c r="O620" s="2">
        <v>4.7619047620000003</v>
      </c>
      <c r="P620" s="2">
        <v>29.559000000000001</v>
      </c>
      <c r="Q620" s="2">
        <v>4</v>
      </c>
      <c r="R620" s="3" t="str">
        <f t="shared" si="20"/>
        <v>January</v>
      </c>
      <c r="S620" s="3">
        <f t="shared" si="19"/>
        <v>1</v>
      </c>
      <c r="T620" s="3" t="str">
        <f>IF(tbl_sales[[#This Row],[Sales]]&gt;=500,"High Value","Standard")</f>
        <v>High Value</v>
      </c>
      <c r="U620" s="1" t="str">
        <f>IF(tbl_sales[[#This Row],[Order Size]]="High Value","High Value Order","Standard Order")</f>
        <v>High Value Order</v>
      </c>
      <c r="V620" s="1"/>
      <c r="W620" s="17" t="s">
        <v>37</v>
      </c>
      <c r="X620" s="17"/>
      <c r="Y620" s="6"/>
      <c r="Z620" s="1" t="s">
        <v>37</v>
      </c>
    </row>
    <row r="621" spans="1:26">
      <c r="A621" s="3" t="s">
        <v>3577</v>
      </c>
      <c r="B621" s="3" t="s">
        <v>39</v>
      </c>
      <c r="C621" s="3" t="s">
        <v>40</v>
      </c>
      <c r="D621" s="3" t="s">
        <v>24</v>
      </c>
      <c r="E621" s="3" t="s">
        <v>25</v>
      </c>
      <c r="F621" s="3" t="s">
        <v>127</v>
      </c>
      <c r="G621" s="2">
        <v>43.46</v>
      </c>
      <c r="H621" s="2">
        <v>6</v>
      </c>
      <c r="I621" s="2">
        <v>13.038</v>
      </c>
      <c r="J621" s="2">
        <v>273.798</v>
      </c>
      <c r="K621" s="5">
        <v>43503</v>
      </c>
      <c r="L621" s="4">
        <v>0.74652777777777779</v>
      </c>
      <c r="M621" s="3" t="s">
        <v>33</v>
      </c>
      <c r="N621" s="2">
        <v>260.76</v>
      </c>
      <c r="O621" s="2">
        <v>4.7619047620000003</v>
      </c>
      <c r="P621" s="2">
        <v>13.038</v>
      </c>
      <c r="Q621" s="2">
        <v>8.5</v>
      </c>
      <c r="R621" s="3" t="str">
        <f t="shared" si="20"/>
        <v>February</v>
      </c>
      <c r="S621" s="3">
        <f t="shared" si="19"/>
        <v>2</v>
      </c>
      <c r="T621" s="3" t="str">
        <f>IF(tbl_sales[[#This Row],[Sales]]&gt;=500,"High Value","Standard")</f>
        <v>Standard</v>
      </c>
      <c r="U621" s="1" t="str">
        <f>IF(tbl_sales[[#This Row],[Order Size]]="High Value","High Value Order","Standard Order")</f>
        <v>Standard Order</v>
      </c>
      <c r="V621" s="1"/>
      <c r="W621" s="17" t="s">
        <v>37</v>
      </c>
      <c r="X621" s="17"/>
      <c r="Y621" s="6"/>
      <c r="Z621" s="1" t="s">
        <v>37</v>
      </c>
    </row>
    <row r="622" spans="1:26">
      <c r="A622" s="3" t="s">
        <v>3582</v>
      </c>
      <c r="B622" s="3" t="s">
        <v>22</v>
      </c>
      <c r="C622" s="3" t="s">
        <v>23</v>
      </c>
      <c r="D622" s="3" t="s">
        <v>41</v>
      </c>
      <c r="E622" s="3" t="s">
        <v>25</v>
      </c>
      <c r="F622" s="3" t="s">
        <v>117</v>
      </c>
      <c r="G622" s="2">
        <v>71.680000000000007</v>
      </c>
      <c r="H622" s="2">
        <v>3</v>
      </c>
      <c r="I622" s="2">
        <v>10.752000000000001</v>
      </c>
      <c r="J622" s="2">
        <v>225.792</v>
      </c>
      <c r="K622" s="5">
        <v>43552</v>
      </c>
      <c r="L622" s="4">
        <v>0.64583333333333337</v>
      </c>
      <c r="M622" s="3" t="s">
        <v>59</v>
      </c>
      <c r="N622" s="2">
        <v>215.04</v>
      </c>
      <c r="O622" s="2">
        <v>4.7619047620000003</v>
      </c>
      <c r="P622" s="2">
        <v>10.752000000000001</v>
      </c>
      <c r="Q622" s="2">
        <v>9.1999999999999993</v>
      </c>
      <c r="R622" s="3" t="str">
        <f t="shared" si="20"/>
        <v>March</v>
      </c>
      <c r="S622" s="3">
        <f t="shared" si="19"/>
        <v>3</v>
      </c>
      <c r="T622" s="3" t="str">
        <f>IF(tbl_sales[[#This Row],[Sales]]&gt;=500,"High Value","Standard")</f>
        <v>Standard</v>
      </c>
      <c r="U622" s="1" t="str">
        <f>IF(tbl_sales[[#This Row],[Order Size]]="High Value","High Value Order","Standard Order")</f>
        <v>Standard Order</v>
      </c>
      <c r="V622" s="1"/>
      <c r="W622" s="17" t="s">
        <v>37</v>
      </c>
      <c r="X622" s="17"/>
      <c r="Y622" s="6"/>
      <c r="Z622" s="1" t="s">
        <v>37</v>
      </c>
    </row>
    <row r="623" spans="1:26">
      <c r="A623" s="3" t="s">
        <v>3587</v>
      </c>
      <c r="B623" s="3" t="s">
        <v>22</v>
      </c>
      <c r="C623" s="3" t="s">
        <v>23</v>
      </c>
      <c r="D623" s="3" t="s">
        <v>24</v>
      </c>
      <c r="E623" s="3" t="s">
        <v>25</v>
      </c>
      <c r="F623" s="3" t="s">
        <v>117</v>
      </c>
      <c r="G623" s="2">
        <v>91.61</v>
      </c>
      <c r="H623" s="2">
        <v>1</v>
      </c>
      <c r="I623" s="2">
        <v>4.5804999999999998</v>
      </c>
      <c r="J623" s="2">
        <v>96.1905</v>
      </c>
      <c r="K623" s="5">
        <v>43544</v>
      </c>
      <c r="L623" s="4">
        <v>0.82222222222222219</v>
      </c>
      <c r="M623" s="3" t="s">
        <v>49</v>
      </c>
      <c r="N623" s="2">
        <v>91.61</v>
      </c>
      <c r="O623" s="2">
        <v>4.7619047620000003</v>
      </c>
      <c r="P623" s="2">
        <v>4.5804999999999998</v>
      </c>
      <c r="Q623" s="2">
        <v>9.8000000000000007</v>
      </c>
      <c r="R623" s="3" t="str">
        <f t="shared" si="20"/>
        <v>March</v>
      </c>
      <c r="S623" s="3">
        <f t="shared" si="19"/>
        <v>3</v>
      </c>
      <c r="T623" s="3" t="str">
        <f>IF(tbl_sales[[#This Row],[Sales]]&gt;=500,"High Value","Standard")</f>
        <v>Standard</v>
      </c>
      <c r="U623" s="1" t="str">
        <f>IF(tbl_sales[[#This Row],[Order Size]]="High Value","High Value Order","Standard Order")</f>
        <v>Standard Order</v>
      </c>
      <c r="V623" s="1"/>
      <c r="W623" s="17" t="s">
        <v>37</v>
      </c>
      <c r="X623" s="17"/>
      <c r="Y623" s="6"/>
      <c r="Z623" s="1" t="s">
        <v>37</v>
      </c>
    </row>
    <row r="624" spans="1:26">
      <c r="A624" s="3" t="s">
        <v>3591</v>
      </c>
      <c r="B624" s="3" t="s">
        <v>115</v>
      </c>
      <c r="C624" s="3" t="s">
        <v>116</v>
      </c>
      <c r="D624" s="3" t="s">
        <v>24</v>
      </c>
      <c r="E624" s="3" t="s">
        <v>25</v>
      </c>
      <c r="F624" s="3" t="s">
        <v>53</v>
      </c>
      <c r="G624" s="2">
        <v>94.59</v>
      </c>
      <c r="H624" s="2">
        <v>7</v>
      </c>
      <c r="I624" s="2">
        <v>33.106499999999997</v>
      </c>
      <c r="J624" s="2">
        <v>695.23649999999998</v>
      </c>
      <c r="K624" s="5">
        <v>43482</v>
      </c>
      <c r="L624" s="4">
        <v>0.64375000000000004</v>
      </c>
      <c r="M624" s="3" t="s">
        <v>59</v>
      </c>
      <c r="N624" s="2">
        <v>662.13</v>
      </c>
      <c r="O624" s="2">
        <v>4.7619047620000003</v>
      </c>
      <c r="P624" s="2">
        <v>33.106499999999997</v>
      </c>
      <c r="Q624" s="2">
        <v>4.9000000000000004</v>
      </c>
      <c r="R624" s="3" t="str">
        <f t="shared" si="20"/>
        <v>January</v>
      </c>
      <c r="S624" s="3">
        <f t="shared" si="19"/>
        <v>1</v>
      </c>
      <c r="T624" s="3" t="str">
        <f>IF(tbl_sales[[#This Row],[Sales]]&gt;=500,"High Value","Standard")</f>
        <v>High Value</v>
      </c>
      <c r="U624" s="1" t="str">
        <f>IF(tbl_sales[[#This Row],[Order Size]]="High Value","High Value Order","Standard Order")</f>
        <v>High Value Order</v>
      </c>
      <c r="V624" s="1"/>
      <c r="W624" s="17" t="s">
        <v>37</v>
      </c>
      <c r="X624" s="17"/>
      <c r="Y624" s="6"/>
      <c r="Z624" s="1" t="s">
        <v>37</v>
      </c>
    </row>
    <row r="625" spans="1:26">
      <c r="A625" s="3" t="s">
        <v>3597</v>
      </c>
      <c r="B625" s="3" t="s">
        <v>115</v>
      </c>
      <c r="C625" s="3" t="s">
        <v>116</v>
      </c>
      <c r="D625" s="3" t="s">
        <v>41</v>
      </c>
      <c r="E625" s="3" t="s">
        <v>25</v>
      </c>
      <c r="F625" s="3" t="s">
        <v>127</v>
      </c>
      <c r="G625" s="2">
        <v>83.25</v>
      </c>
      <c r="H625" s="2">
        <v>10</v>
      </c>
      <c r="I625" s="2">
        <v>41.625</v>
      </c>
      <c r="J625" s="2">
        <v>874.125</v>
      </c>
      <c r="K625" s="5">
        <v>43477</v>
      </c>
      <c r="L625" s="4">
        <v>0.47569444444444442</v>
      </c>
      <c r="M625" s="3" t="s">
        <v>59</v>
      </c>
      <c r="N625" s="2">
        <v>832.5</v>
      </c>
      <c r="O625" s="2">
        <v>4.7619047620000003</v>
      </c>
      <c r="P625" s="2">
        <v>41.625</v>
      </c>
      <c r="Q625" s="2">
        <v>4.4000000000000004</v>
      </c>
      <c r="R625" s="3" t="str">
        <f t="shared" si="20"/>
        <v>January</v>
      </c>
      <c r="S625" s="3">
        <f t="shared" si="19"/>
        <v>1</v>
      </c>
      <c r="T625" s="3" t="str">
        <f>IF(tbl_sales[[#This Row],[Sales]]&gt;=500,"High Value","Standard")</f>
        <v>High Value</v>
      </c>
      <c r="U625" s="1" t="str">
        <f>IF(tbl_sales[[#This Row],[Order Size]]="High Value","High Value Order","Standard Order")</f>
        <v>High Value Order</v>
      </c>
      <c r="V625" s="1"/>
      <c r="W625" s="17" t="s">
        <v>37</v>
      </c>
      <c r="X625" s="17"/>
      <c r="Y625" s="6"/>
      <c r="Z625" s="1" t="s">
        <v>37</v>
      </c>
    </row>
    <row r="626" spans="1:26">
      <c r="A626" s="3" t="s">
        <v>3602</v>
      </c>
      <c r="B626" s="3" t="s">
        <v>115</v>
      </c>
      <c r="C626" s="3" t="s">
        <v>116</v>
      </c>
      <c r="D626" s="3" t="s">
        <v>24</v>
      </c>
      <c r="E626" s="3" t="s">
        <v>992</v>
      </c>
      <c r="F626" s="3" t="s">
        <v>127</v>
      </c>
      <c r="G626" s="2">
        <v>91.35</v>
      </c>
      <c r="H626" s="2">
        <v>1</v>
      </c>
      <c r="I626" s="2">
        <v>4.5674999999999999</v>
      </c>
      <c r="J626" s="2">
        <v>95.917500000000004</v>
      </c>
      <c r="K626" s="5">
        <v>43512</v>
      </c>
      <c r="L626" s="4">
        <v>0.65416666666666667</v>
      </c>
      <c r="M626" s="3" t="s">
        <v>49</v>
      </c>
      <c r="N626" s="2">
        <v>91.35</v>
      </c>
      <c r="O626" s="2">
        <v>4.7619047620000003</v>
      </c>
      <c r="P626" s="2">
        <v>4.5674999999999999</v>
      </c>
      <c r="Q626" s="2">
        <v>6.8</v>
      </c>
      <c r="R626" s="3" t="str">
        <f t="shared" si="20"/>
        <v>February</v>
      </c>
      <c r="S626" s="3">
        <f t="shared" si="19"/>
        <v>2</v>
      </c>
      <c r="T626" s="3" t="str">
        <f>IF(tbl_sales[[#This Row],[Sales]]&gt;=500,"High Value","Standard")</f>
        <v>Standard</v>
      </c>
      <c r="U626" s="1" t="str">
        <f>IF(tbl_sales[[#This Row],[Order Size]]="High Value","High Value Order","Standard Order")</f>
        <v>Standard Order</v>
      </c>
      <c r="V626" s="1"/>
      <c r="W626" s="17" t="s">
        <v>37</v>
      </c>
      <c r="X626" s="17"/>
      <c r="Y626" s="6"/>
      <c r="Z626" s="1"/>
    </row>
    <row r="627" spans="1:26">
      <c r="A627" s="3" t="s">
        <v>3606</v>
      </c>
      <c r="B627" s="3" t="s">
        <v>115</v>
      </c>
      <c r="C627" s="3" t="s">
        <v>116</v>
      </c>
      <c r="D627" s="3" t="s">
        <v>24</v>
      </c>
      <c r="E627" s="3" t="s">
        <v>25</v>
      </c>
      <c r="F627" s="3" t="s">
        <v>117</v>
      </c>
      <c r="G627" s="2">
        <v>78.88</v>
      </c>
      <c r="H627" s="2">
        <v>2</v>
      </c>
      <c r="I627" s="2">
        <v>7.8879999999999999</v>
      </c>
      <c r="J627" s="2">
        <v>165.648</v>
      </c>
      <c r="K627" s="5">
        <v>43491</v>
      </c>
      <c r="L627" s="4">
        <v>0.6694444444444444</v>
      </c>
      <c r="M627" s="3" t="s">
        <v>49</v>
      </c>
      <c r="N627" s="2">
        <v>157.76</v>
      </c>
      <c r="O627" s="2">
        <v>4.7619047620000003</v>
      </c>
      <c r="P627" s="2">
        <v>7.8879999999999999</v>
      </c>
      <c r="Q627" s="2">
        <v>9.1</v>
      </c>
      <c r="R627" s="3" t="str">
        <f t="shared" si="20"/>
        <v>January</v>
      </c>
      <c r="S627" s="3">
        <f t="shared" si="19"/>
        <v>1</v>
      </c>
      <c r="T627" s="3" t="str">
        <f>IF(tbl_sales[[#This Row],[Sales]]&gt;=500,"High Value","Standard")</f>
        <v>Standard</v>
      </c>
      <c r="U627" s="1" t="str">
        <f>IF(tbl_sales[[#This Row],[Order Size]]="High Value","High Value Order","Standard Order")</f>
        <v>Standard Order</v>
      </c>
      <c r="V627" s="1"/>
      <c r="W627" s="17" t="s">
        <v>37</v>
      </c>
      <c r="X627" s="17"/>
      <c r="Y627" s="6"/>
      <c r="Z627" s="1"/>
    </row>
    <row r="628" spans="1:26">
      <c r="A628" s="3" t="s">
        <v>3612</v>
      </c>
      <c r="B628" s="3" t="s">
        <v>22</v>
      </c>
      <c r="C628" s="3" t="s">
        <v>23</v>
      </c>
      <c r="D628" s="3" t="s">
        <v>41</v>
      </c>
      <c r="E628" s="3" t="s">
        <v>992</v>
      </c>
      <c r="F628" s="3" t="s">
        <v>72</v>
      </c>
      <c r="G628" s="2">
        <v>60.87</v>
      </c>
      <c r="H628" s="2">
        <v>2</v>
      </c>
      <c r="I628" s="2">
        <v>6.0869999999999997</v>
      </c>
      <c r="J628" s="2">
        <v>127.827</v>
      </c>
      <c r="K628" s="5">
        <v>43533</v>
      </c>
      <c r="L628" s="4">
        <v>0.52569444444444446</v>
      </c>
      <c r="M628" s="3" t="s">
        <v>33</v>
      </c>
      <c r="N628" s="2">
        <v>121.74</v>
      </c>
      <c r="O628" s="2">
        <v>4.7619047620000003</v>
      </c>
      <c r="P628" s="2">
        <v>6.0869999999999997</v>
      </c>
      <c r="Q628" s="2">
        <v>8.6999999999999993</v>
      </c>
      <c r="R628" s="3" t="str">
        <f t="shared" si="20"/>
        <v>March</v>
      </c>
      <c r="S628" s="3">
        <f t="shared" si="19"/>
        <v>3</v>
      </c>
      <c r="T628" s="3" t="str">
        <f>IF(tbl_sales[[#This Row],[Sales]]&gt;=500,"High Value","Standard")</f>
        <v>Standard</v>
      </c>
      <c r="U628" s="1" t="str">
        <f>IF(tbl_sales[[#This Row],[Order Size]]="High Value","High Value Order","Standard Order")</f>
        <v>Standard Order</v>
      </c>
      <c r="V628" s="1"/>
      <c r="W628" s="17" t="s">
        <v>37</v>
      </c>
      <c r="X628" s="17"/>
      <c r="Y628" s="6"/>
      <c r="Z628" s="1"/>
    </row>
    <row r="629" spans="1:26">
      <c r="A629" s="3" t="s">
        <v>3617</v>
      </c>
      <c r="B629" s="3" t="s">
        <v>115</v>
      </c>
      <c r="C629" s="3" t="s">
        <v>116</v>
      </c>
      <c r="D629" s="3" t="s">
        <v>24</v>
      </c>
      <c r="E629" s="3" t="s">
        <v>992</v>
      </c>
      <c r="F629" s="3" t="s">
        <v>26</v>
      </c>
      <c r="G629" s="2">
        <v>82.58</v>
      </c>
      <c r="H629" s="2">
        <v>10</v>
      </c>
      <c r="I629" s="2">
        <v>41.29</v>
      </c>
      <c r="J629" s="2">
        <v>867.09</v>
      </c>
      <c r="K629" s="5">
        <v>43538</v>
      </c>
      <c r="L629" s="4">
        <v>0.6118055555555556</v>
      </c>
      <c r="M629" s="3" t="s">
        <v>49</v>
      </c>
      <c r="N629" s="2">
        <v>825.8</v>
      </c>
      <c r="O629" s="2">
        <v>4.7619047620000003</v>
      </c>
      <c r="P629" s="2">
        <v>41.29</v>
      </c>
      <c r="Q629" s="2">
        <v>5</v>
      </c>
      <c r="R629" s="3" t="str">
        <f t="shared" si="20"/>
        <v>March</v>
      </c>
      <c r="S629" s="3">
        <f t="shared" si="19"/>
        <v>3</v>
      </c>
      <c r="T629" s="3" t="str">
        <f>IF(tbl_sales[[#This Row],[Sales]]&gt;=500,"High Value","Standard")</f>
        <v>High Value</v>
      </c>
      <c r="U629" s="1" t="str">
        <f>IF(tbl_sales[[#This Row],[Order Size]]="High Value","High Value Order","Standard Order")</f>
        <v>High Value Order</v>
      </c>
      <c r="V629" s="1"/>
      <c r="W629" s="17" t="s">
        <v>37</v>
      </c>
      <c r="X629" s="17"/>
      <c r="Y629" s="6"/>
      <c r="Z629" s="1"/>
    </row>
    <row r="630" spans="1:26">
      <c r="A630" s="3" t="s">
        <v>3623</v>
      </c>
      <c r="B630" s="3" t="s">
        <v>22</v>
      </c>
      <c r="C630" s="3" t="s">
        <v>23</v>
      </c>
      <c r="D630" s="3" t="s">
        <v>24</v>
      </c>
      <c r="E630" s="3" t="s">
        <v>992</v>
      </c>
      <c r="F630" s="3" t="s">
        <v>53</v>
      </c>
      <c r="G630" s="2">
        <v>53.3</v>
      </c>
      <c r="H630" s="2">
        <v>3</v>
      </c>
      <c r="I630" s="2">
        <v>7.9950000000000001</v>
      </c>
      <c r="J630" s="2">
        <v>167.89500000000001</v>
      </c>
      <c r="K630" s="5">
        <v>43490</v>
      </c>
      <c r="L630" s="4">
        <v>0.59652777777777777</v>
      </c>
      <c r="M630" s="3" t="s">
        <v>33</v>
      </c>
      <c r="N630" s="2">
        <v>159.9</v>
      </c>
      <c r="O630" s="2">
        <v>4.7619047620000003</v>
      </c>
      <c r="P630" s="2">
        <v>7.9950000000000001</v>
      </c>
      <c r="Q630" s="2">
        <v>7.5</v>
      </c>
      <c r="R630" s="3" t="str">
        <f t="shared" si="20"/>
        <v>January</v>
      </c>
      <c r="S630" s="3">
        <f t="shared" si="19"/>
        <v>1</v>
      </c>
      <c r="T630" s="3" t="str">
        <f>IF(tbl_sales[[#This Row],[Sales]]&gt;=500,"High Value","Standard")</f>
        <v>Standard</v>
      </c>
      <c r="U630" s="1" t="str">
        <f>IF(tbl_sales[[#This Row],[Order Size]]="High Value","High Value Order","Standard Order")</f>
        <v>Standard Order</v>
      </c>
      <c r="V630" s="1"/>
      <c r="W630" s="17" t="s">
        <v>37</v>
      </c>
      <c r="X630" s="17"/>
      <c r="Y630" s="6"/>
      <c r="Z630" s="1"/>
    </row>
    <row r="631" spans="1:26">
      <c r="A631" s="3" t="s">
        <v>3629</v>
      </c>
      <c r="B631" s="3" t="s">
        <v>22</v>
      </c>
      <c r="C631" s="3" t="s">
        <v>23</v>
      </c>
      <c r="D631" s="3" t="s">
        <v>41</v>
      </c>
      <c r="E631" s="3" t="s">
        <v>25</v>
      </c>
      <c r="F631" s="3" t="s">
        <v>127</v>
      </c>
      <c r="G631" s="2">
        <v>12.09</v>
      </c>
      <c r="H631" s="2">
        <v>1</v>
      </c>
      <c r="I631" s="2">
        <v>0.60450000000000004</v>
      </c>
      <c r="J631" s="2">
        <v>12.6945</v>
      </c>
      <c r="K631" s="5">
        <v>43491</v>
      </c>
      <c r="L631" s="4">
        <v>0.7631944444444444</v>
      </c>
      <c r="M631" s="3" t="s">
        <v>59</v>
      </c>
      <c r="N631" s="2">
        <v>12.09</v>
      </c>
      <c r="O631" s="2">
        <v>4.7619047620000003</v>
      </c>
      <c r="P631" s="2">
        <v>0.60450000000000004</v>
      </c>
      <c r="Q631" s="2">
        <v>8.1999999999999993</v>
      </c>
      <c r="R631" s="3" t="str">
        <f t="shared" si="20"/>
        <v>January</v>
      </c>
      <c r="S631" s="3">
        <f t="shared" si="19"/>
        <v>1</v>
      </c>
      <c r="T631" s="3" t="str">
        <f>IF(tbl_sales[[#This Row],[Sales]]&gt;=500,"High Value","Standard")</f>
        <v>Standard</v>
      </c>
      <c r="U631" s="1" t="str">
        <f>IF(tbl_sales[[#This Row],[Order Size]]="High Value","High Value Order","Standard Order")</f>
        <v>Standard Order</v>
      </c>
      <c r="V631" s="1"/>
      <c r="W631" s="17" t="s">
        <v>37</v>
      </c>
      <c r="X631" s="17"/>
      <c r="Y631" s="6"/>
      <c r="Z631" s="1"/>
    </row>
    <row r="632" spans="1:26">
      <c r="A632" s="3" t="s">
        <v>3633</v>
      </c>
      <c r="B632" s="3" t="s">
        <v>22</v>
      </c>
      <c r="C632" s="3" t="s">
        <v>23</v>
      </c>
      <c r="D632" s="3" t="s">
        <v>41</v>
      </c>
      <c r="E632" s="3" t="s">
        <v>992</v>
      </c>
      <c r="F632" s="3" t="s">
        <v>72</v>
      </c>
      <c r="G632" s="2">
        <v>64.19</v>
      </c>
      <c r="H632" s="2">
        <v>10</v>
      </c>
      <c r="I632" s="2">
        <v>32.094999999999999</v>
      </c>
      <c r="J632" s="2">
        <v>673.995</v>
      </c>
      <c r="K632" s="5">
        <v>43484</v>
      </c>
      <c r="L632" s="4">
        <v>0.58888888888888891</v>
      </c>
      <c r="M632" s="3" t="s">
        <v>59</v>
      </c>
      <c r="N632" s="2">
        <v>641.9</v>
      </c>
      <c r="O632" s="2">
        <v>4.7619047620000003</v>
      </c>
      <c r="P632" s="2">
        <v>32.094999999999999</v>
      </c>
      <c r="Q632" s="2">
        <v>6.7</v>
      </c>
      <c r="R632" s="3" t="str">
        <f t="shared" si="20"/>
        <v>January</v>
      </c>
      <c r="S632" s="3">
        <f t="shared" si="19"/>
        <v>1</v>
      </c>
      <c r="T632" s="3" t="str">
        <f>IF(tbl_sales[[#This Row],[Sales]]&gt;=500,"High Value","Standard")</f>
        <v>High Value</v>
      </c>
      <c r="U632" s="1" t="str">
        <f>IF(tbl_sales[[#This Row],[Order Size]]="High Value","High Value Order","Standard Order")</f>
        <v>High Value Order</v>
      </c>
      <c r="V632" s="1"/>
      <c r="W632" s="17" t="s">
        <v>37</v>
      </c>
      <c r="X632" s="17"/>
      <c r="Y632" s="6"/>
      <c r="Z632" s="1"/>
    </row>
    <row r="633" spans="1:26">
      <c r="A633" s="3" t="s">
        <v>3639</v>
      </c>
      <c r="B633" s="3" t="s">
        <v>22</v>
      </c>
      <c r="C633" s="3" t="s">
        <v>23</v>
      </c>
      <c r="D633" s="3" t="s">
        <v>41</v>
      </c>
      <c r="E633" s="3" t="s">
        <v>992</v>
      </c>
      <c r="F633" s="3" t="s">
        <v>42</v>
      </c>
      <c r="G633" s="2">
        <v>78.31</v>
      </c>
      <c r="H633" s="2">
        <v>3</v>
      </c>
      <c r="I633" s="2">
        <v>11.746499999999999</v>
      </c>
      <c r="J633" s="2">
        <v>246.6765</v>
      </c>
      <c r="K633" s="5">
        <v>43529</v>
      </c>
      <c r="L633" s="4">
        <v>0.69305555555555554</v>
      </c>
      <c r="M633" s="3" t="s">
        <v>33</v>
      </c>
      <c r="N633" s="2">
        <v>234.93</v>
      </c>
      <c r="O633" s="2">
        <v>4.7619047620000003</v>
      </c>
      <c r="P633" s="2">
        <v>11.746499999999999</v>
      </c>
      <c r="Q633" s="2">
        <v>5.4</v>
      </c>
      <c r="R633" s="3" t="str">
        <f t="shared" si="20"/>
        <v>March</v>
      </c>
      <c r="S633" s="3">
        <f t="shared" si="19"/>
        <v>3</v>
      </c>
      <c r="T633" s="3" t="str">
        <f>IF(tbl_sales[[#This Row],[Sales]]&gt;=500,"High Value","Standard")</f>
        <v>Standard</v>
      </c>
      <c r="U633" s="1" t="str">
        <f>IF(tbl_sales[[#This Row],[Order Size]]="High Value","High Value Order","Standard Order")</f>
        <v>Standard Order</v>
      </c>
      <c r="V633" s="1"/>
      <c r="W633" s="17" t="s">
        <v>37</v>
      </c>
      <c r="X633" s="17"/>
      <c r="Y633" s="6"/>
      <c r="Z633" s="1"/>
    </row>
    <row r="634" spans="1:26">
      <c r="A634" s="3" t="s">
        <v>3643</v>
      </c>
      <c r="B634" s="3" t="s">
        <v>22</v>
      </c>
      <c r="C634" s="3" t="s">
        <v>23</v>
      </c>
      <c r="D634" s="3" t="s">
        <v>24</v>
      </c>
      <c r="E634" s="3" t="s">
        <v>992</v>
      </c>
      <c r="F634" s="3" t="s">
        <v>117</v>
      </c>
      <c r="G634" s="2">
        <v>83.77</v>
      </c>
      <c r="H634" s="2">
        <v>2</v>
      </c>
      <c r="I634" s="2">
        <v>8.3770000000000007</v>
      </c>
      <c r="J634" s="2">
        <v>175.917</v>
      </c>
      <c r="K634" s="5">
        <v>43480</v>
      </c>
      <c r="L634" s="4">
        <v>0.45416666666666666</v>
      </c>
      <c r="M634" s="3" t="s">
        <v>59</v>
      </c>
      <c r="N634" s="2">
        <v>167.54</v>
      </c>
      <c r="O634" s="2">
        <v>4.7619047620000003</v>
      </c>
      <c r="P634" s="2">
        <v>8.3770000000000007</v>
      </c>
      <c r="Q634" s="2">
        <v>7</v>
      </c>
      <c r="R634" s="3" t="str">
        <f t="shared" si="20"/>
        <v>January</v>
      </c>
      <c r="S634" s="3">
        <f t="shared" si="19"/>
        <v>1</v>
      </c>
      <c r="T634" s="3" t="str">
        <f>IF(tbl_sales[[#This Row],[Sales]]&gt;=500,"High Value","Standard")</f>
        <v>Standard</v>
      </c>
      <c r="U634" s="1" t="str">
        <f>IF(tbl_sales[[#This Row],[Order Size]]="High Value","High Value Order","Standard Order")</f>
        <v>Standard Order</v>
      </c>
      <c r="V634" s="1"/>
      <c r="W634" s="17" t="s">
        <v>37</v>
      </c>
      <c r="X634" s="17"/>
      <c r="Y634" s="6"/>
      <c r="Z634" s="1"/>
    </row>
    <row r="635" spans="1:26">
      <c r="A635" s="3" t="s">
        <v>3647</v>
      </c>
      <c r="B635" s="3" t="s">
        <v>115</v>
      </c>
      <c r="C635" s="3" t="s">
        <v>116</v>
      </c>
      <c r="D635" s="3" t="s">
        <v>41</v>
      </c>
      <c r="E635" s="3" t="s">
        <v>992</v>
      </c>
      <c r="F635" s="3" t="s">
        <v>53</v>
      </c>
      <c r="G635" s="2">
        <v>99.7</v>
      </c>
      <c r="H635" s="2">
        <v>3</v>
      </c>
      <c r="I635" s="2">
        <v>14.955</v>
      </c>
      <c r="J635" s="2">
        <v>314.05500000000001</v>
      </c>
      <c r="K635" s="5">
        <v>43542</v>
      </c>
      <c r="L635" s="4">
        <v>0.47847222222222224</v>
      </c>
      <c r="M635" s="3" t="s">
        <v>33</v>
      </c>
      <c r="N635" s="2">
        <v>299.10000000000002</v>
      </c>
      <c r="O635" s="2">
        <v>4.7619047620000003</v>
      </c>
      <c r="P635" s="2">
        <v>14.955</v>
      </c>
      <c r="Q635" s="2">
        <v>4.7</v>
      </c>
      <c r="R635" s="3" t="str">
        <f t="shared" si="20"/>
        <v>March</v>
      </c>
      <c r="S635" s="3">
        <f t="shared" si="19"/>
        <v>3</v>
      </c>
      <c r="T635" s="3" t="str">
        <f>IF(tbl_sales[[#This Row],[Sales]]&gt;=500,"High Value","Standard")</f>
        <v>Standard</v>
      </c>
      <c r="U635" s="1" t="str">
        <f>IF(tbl_sales[[#This Row],[Order Size]]="High Value","High Value Order","Standard Order")</f>
        <v>Standard Order</v>
      </c>
      <c r="V635" s="1"/>
      <c r="W635" s="17" t="s">
        <v>37</v>
      </c>
      <c r="X635" s="17"/>
      <c r="Y635" s="6"/>
      <c r="Z635" s="1"/>
    </row>
    <row r="636" spans="1:26">
      <c r="A636" s="3" t="s">
        <v>3653</v>
      </c>
      <c r="B636" s="3" t="s">
        <v>115</v>
      </c>
      <c r="C636" s="3" t="s">
        <v>116</v>
      </c>
      <c r="D636" s="3" t="s">
        <v>24</v>
      </c>
      <c r="E636" s="3" t="s">
        <v>992</v>
      </c>
      <c r="F636" s="3" t="s">
        <v>117</v>
      </c>
      <c r="G636" s="2">
        <v>79.91</v>
      </c>
      <c r="H636" s="2">
        <v>3</v>
      </c>
      <c r="I636" s="2">
        <v>11.986499999999999</v>
      </c>
      <c r="J636" s="2">
        <v>251.7165</v>
      </c>
      <c r="K636" s="5">
        <v>43544</v>
      </c>
      <c r="L636" s="4">
        <v>0.81111111111111112</v>
      </c>
      <c r="M636" s="3" t="s">
        <v>59</v>
      </c>
      <c r="N636" s="2">
        <v>239.73</v>
      </c>
      <c r="O636" s="2">
        <v>4.7619047620000003</v>
      </c>
      <c r="P636" s="2">
        <v>11.986499999999999</v>
      </c>
      <c r="Q636" s="2">
        <v>5</v>
      </c>
      <c r="R636" s="3" t="str">
        <f t="shared" si="20"/>
        <v>March</v>
      </c>
      <c r="S636" s="3">
        <f t="shared" si="19"/>
        <v>3</v>
      </c>
      <c r="T636" s="3" t="str">
        <f>IF(tbl_sales[[#This Row],[Sales]]&gt;=500,"High Value","Standard")</f>
        <v>Standard</v>
      </c>
      <c r="U636" s="1" t="str">
        <f>IF(tbl_sales[[#This Row],[Order Size]]="High Value","High Value Order","Standard Order")</f>
        <v>Standard Order</v>
      </c>
      <c r="V636" s="1"/>
      <c r="W636" s="17" t="s">
        <v>37</v>
      </c>
      <c r="X636" s="17"/>
      <c r="Y636" s="6"/>
      <c r="Z636" s="1"/>
    </row>
    <row r="637" spans="1:26">
      <c r="A637" s="3" t="s">
        <v>3658</v>
      </c>
      <c r="B637" s="3" t="s">
        <v>115</v>
      </c>
      <c r="C637" s="3" t="s">
        <v>116</v>
      </c>
      <c r="D637" s="3" t="s">
        <v>24</v>
      </c>
      <c r="E637" s="3" t="s">
        <v>992</v>
      </c>
      <c r="F637" s="3" t="s">
        <v>26</v>
      </c>
      <c r="G637" s="2">
        <v>66.47</v>
      </c>
      <c r="H637" s="2">
        <v>10</v>
      </c>
      <c r="I637" s="2">
        <v>33.234999999999999</v>
      </c>
      <c r="J637" s="2">
        <v>697.93499999999995</v>
      </c>
      <c r="K637" s="5">
        <v>43480</v>
      </c>
      <c r="L637" s="4">
        <v>0.62569444444444444</v>
      </c>
      <c r="M637" s="3" t="s">
        <v>59</v>
      </c>
      <c r="N637" s="2">
        <v>664.7</v>
      </c>
      <c r="O637" s="2">
        <v>4.7619047620000003</v>
      </c>
      <c r="P637" s="2">
        <v>33.234999999999999</v>
      </c>
      <c r="Q637" s="2">
        <v>5</v>
      </c>
      <c r="R637" s="3" t="str">
        <f t="shared" si="20"/>
        <v>January</v>
      </c>
      <c r="S637" s="3">
        <f t="shared" si="19"/>
        <v>1</v>
      </c>
      <c r="T637" s="3" t="str">
        <f>IF(tbl_sales[[#This Row],[Sales]]&gt;=500,"High Value","Standard")</f>
        <v>High Value</v>
      </c>
      <c r="U637" s="1" t="str">
        <f>IF(tbl_sales[[#This Row],[Order Size]]="High Value","High Value Order","Standard Order")</f>
        <v>High Value Order</v>
      </c>
      <c r="V637" s="1"/>
      <c r="W637" s="17" t="s">
        <v>37</v>
      </c>
      <c r="X637" s="17"/>
      <c r="Y637" s="6"/>
      <c r="Z637" s="1"/>
    </row>
    <row r="638" spans="1:26">
      <c r="A638" s="3" t="s">
        <v>3663</v>
      </c>
      <c r="B638" s="3" t="s">
        <v>22</v>
      </c>
      <c r="C638" s="3" t="s">
        <v>23</v>
      </c>
      <c r="D638" s="3" t="s">
        <v>41</v>
      </c>
      <c r="E638" s="3" t="s">
        <v>992</v>
      </c>
      <c r="F638" s="3" t="s">
        <v>26</v>
      </c>
      <c r="G638" s="2">
        <v>28.95</v>
      </c>
      <c r="H638" s="2">
        <v>7</v>
      </c>
      <c r="I638" s="2">
        <v>10.1325</v>
      </c>
      <c r="J638" s="2">
        <v>212.7825</v>
      </c>
      <c r="K638" s="5">
        <v>43527</v>
      </c>
      <c r="L638" s="4">
        <v>0.85486111111111107</v>
      </c>
      <c r="M638" s="3" t="s">
        <v>59</v>
      </c>
      <c r="N638" s="2">
        <v>202.65</v>
      </c>
      <c r="O638" s="2">
        <v>4.7619047620000003</v>
      </c>
      <c r="P638" s="2">
        <v>10.1325</v>
      </c>
      <c r="Q638" s="2">
        <v>6</v>
      </c>
      <c r="R638" s="3" t="str">
        <f t="shared" si="20"/>
        <v>March</v>
      </c>
      <c r="S638" s="3">
        <f t="shared" si="19"/>
        <v>3</v>
      </c>
      <c r="T638" s="3" t="str">
        <f>IF(tbl_sales[[#This Row],[Sales]]&gt;=500,"High Value","Standard")</f>
        <v>Standard</v>
      </c>
      <c r="U638" s="1" t="str">
        <f>IF(tbl_sales[[#This Row],[Order Size]]="High Value","High Value Order","Standard Order")</f>
        <v>Standard Order</v>
      </c>
      <c r="V638" s="1"/>
      <c r="W638" s="17" t="s">
        <v>37</v>
      </c>
      <c r="X638" s="17"/>
      <c r="Y638" s="6"/>
      <c r="Z638" s="1"/>
    </row>
    <row r="639" spans="1:26">
      <c r="A639" s="3" t="s">
        <v>3668</v>
      </c>
      <c r="B639" s="3" t="s">
        <v>39</v>
      </c>
      <c r="C639" s="3" t="s">
        <v>40</v>
      </c>
      <c r="D639" s="3" t="s">
        <v>41</v>
      </c>
      <c r="E639" s="3" t="s">
        <v>25</v>
      </c>
      <c r="F639" s="3" t="s">
        <v>42</v>
      </c>
      <c r="G639" s="2">
        <v>46.2</v>
      </c>
      <c r="H639" s="2">
        <v>1</v>
      </c>
      <c r="I639" s="2">
        <v>2.31</v>
      </c>
      <c r="J639" s="2">
        <v>48.51</v>
      </c>
      <c r="K639" s="5">
        <v>43543</v>
      </c>
      <c r="L639" s="4">
        <v>0.51111111111111107</v>
      </c>
      <c r="M639" s="3" t="s">
        <v>49</v>
      </c>
      <c r="N639" s="2">
        <v>46.2</v>
      </c>
      <c r="O639" s="2">
        <v>4.7619047620000003</v>
      </c>
      <c r="P639" s="2">
        <v>2.31</v>
      </c>
      <c r="Q639" s="2">
        <v>6.3</v>
      </c>
      <c r="R639" s="3" t="str">
        <f t="shared" si="20"/>
        <v>March</v>
      </c>
      <c r="S639" s="3">
        <f t="shared" si="19"/>
        <v>3</v>
      </c>
      <c r="T639" s="3" t="str">
        <f>IF(tbl_sales[[#This Row],[Sales]]&gt;=500,"High Value","Standard")</f>
        <v>Standard</v>
      </c>
      <c r="U639" s="1" t="str">
        <f>IF(tbl_sales[[#This Row],[Order Size]]="High Value","High Value Order","Standard Order")</f>
        <v>Standard Order</v>
      </c>
      <c r="V639" s="1"/>
      <c r="W639" s="17" t="s">
        <v>37</v>
      </c>
      <c r="X639" s="17"/>
      <c r="Y639" s="6"/>
      <c r="Z639" s="1"/>
    </row>
    <row r="640" spans="1:26">
      <c r="A640" s="3" t="s">
        <v>3672</v>
      </c>
      <c r="B640" s="3" t="s">
        <v>115</v>
      </c>
      <c r="C640" s="3" t="s">
        <v>116</v>
      </c>
      <c r="D640" s="3" t="s">
        <v>24</v>
      </c>
      <c r="E640" s="3" t="s">
        <v>25</v>
      </c>
      <c r="F640" s="3" t="s">
        <v>117</v>
      </c>
      <c r="G640" s="2">
        <v>17.63</v>
      </c>
      <c r="H640" s="2">
        <v>5</v>
      </c>
      <c r="I640" s="2">
        <v>4.4074999999999998</v>
      </c>
      <c r="J640" s="2">
        <v>92.557500000000005</v>
      </c>
      <c r="K640" s="5">
        <v>43532</v>
      </c>
      <c r="L640" s="4">
        <v>0.64375000000000004</v>
      </c>
      <c r="M640" s="3" t="s">
        <v>49</v>
      </c>
      <c r="N640" s="2">
        <v>88.15</v>
      </c>
      <c r="O640" s="2">
        <v>4.7619047620000003</v>
      </c>
      <c r="P640" s="2">
        <v>4.4074999999999998</v>
      </c>
      <c r="Q640" s="2">
        <v>8.5</v>
      </c>
      <c r="R640" s="3" t="str">
        <f t="shared" si="20"/>
        <v>March</v>
      </c>
      <c r="S640" s="3">
        <f t="shared" si="19"/>
        <v>3</v>
      </c>
      <c r="T640" s="3" t="str">
        <f>IF(tbl_sales[[#This Row],[Sales]]&gt;=500,"High Value","Standard")</f>
        <v>Standard</v>
      </c>
      <c r="U640" s="1" t="str">
        <f>IF(tbl_sales[[#This Row],[Order Size]]="High Value","High Value Order","Standard Order")</f>
        <v>Standard Order</v>
      </c>
      <c r="V640" s="1"/>
      <c r="W640" s="17" t="s">
        <v>37</v>
      </c>
      <c r="X640" s="17"/>
      <c r="Y640" s="6"/>
      <c r="Z640" s="1"/>
    </row>
    <row r="641" spans="1:26">
      <c r="A641" s="3" t="s">
        <v>3677</v>
      </c>
      <c r="B641" s="3" t="s">
        <v>115</v>
      </c>
      <c r="C641" s="3" t="s">
        <v>116</v>
      </c>
      <c r="D641" s="3" t="s">
        <v>41</v>
      </c>
      <c r="E641" s="3" t="s">
        <v>992</v>
      </c>
      <c r="F641" s="3" t="s">
        <v>127</v>
      </c>
      <c r="G641" s="2">
        <v>52.42</v>
      </c>
      <c r="H641" s="2">
        <v>3</v>
      </c>
      <c r="I641" s="2">
        <v>7.8630000000000004</v>
      </c>
      <c r="J641" s="2">
        <v>165.12299999999999</v>
      </c>
      <c r="K641" s="5">
        <v>43523</v>
      </c>
      <c r="L641" s="4">
        <v>0.73333333333333328</v>
      </c>
      <c r="M641" s="3" t="s">
        <v>33</v>
      </c>
      <c r="N641" s="2">
        <v>157.26</v>
      </c>
      <c r="O641" s="2">
        <v>4.7619047620000003</v>
      </c>
      <c r="P641" s="2">
        <v>7.8630000000000004</v>
      </c>
      <c r="Q641" s="2">
        <v>7.5</v>
      </c>
      <c r="R641" s="3" t="str">
        <f t="shared" si="20"/>
        <v>February</v>
      </c>
      <c r="S641" s="3">
        <f t="shared" si="19"/>
        <v>2</v>
      </c>
      <c r="T641" s="3" t="str">
        <f>IF(tbl_sales[[#This Row],[Sales]]&gt;=500,"High Value","Standard")</f>
        <v>Standard</v>
      </c>
      <c r="U641" s="1" t="str">
        <f>IF(tbl_sales[[#This Row],[Order Size]]="High Value","High Value Order","Standard Order")</f>
        <v>Standard Order</v>
      </c>
      <c r="V641" s="1"/>
      <c r="W641" s="17" t="s">
        <v>37</v>
      </c>
      <c r="X641" s="17"/>
      <c r="Y641" s="6"/>
      <c r="Z641" s="1"/>
    </row>
    <row r="642" spans="1:26">
      <c r="A642" s="3" t="s">
        <v>3682</v>
      </c>
      <c r="B642" s="3" t="s">
        <v>115</v>
      </c>
      <c r="C642" s="3" t="s">
        <v>116</v>
      </c>
      <c r="D642" s="3" t="s">
        <v>24</v>
      </c>
      <c r="E642" s="3" t="s">
        <v>25</v>
      </c>
      <c r="F642" s="3" t="s">
        <v>117</v>
      </c>
      <c r="G642" s="2">
        <v>98.79</v>
      </c>
      <c r="H642" s="2">
        <v>3</v>
      </c>
      <c r="I642" s="2">
        <v>14.8185</v>
      </c>
      <c r="J642" s="2">
        <v>311.18849999999998</v>
      </c>
      <c r="K642" s="5">
        <v>43519</v>
      </c>
      <c r="L642" s="4">
        <v>0.83333333333333337</v>
      </c>
      <c r="M642" s="3" t="s">
        <v>33</v>
      </c>
      <c r="N642" s="2">
        <v>296.37</v>
      </c>
      <c r="O642" s="2">
        <v>4.7619047620000003</v>
      </c>
      <c r="P642" s="2">
        <v>14.8185</v>
      </c>
      <c r="Q642" s="2">
        <v>6.4</v>
      </c>
      <c r="R642" s="3" t="str">
        <f t="shared" si="20"/>
        <v>February</v>
      </c>
      <c r="S642" s="3">
        <f t="shared" ref="S642:S705" si="21">MONTH(K642)</f>
        <v>2</v>
      </c>
      <c r="T642" s="3" t="str">
        <f>IF(tbl_sales[[#This Row],[Sales]]&gt;=500,"High Value","Standard")</f>
        <v>Standard</v>
      </c>
      <c r="U642" s="1" t="str">
        <f>IF(tbl_sales[[#This Row],[Order Size]]="High Value","High Value Order","Standard Order")</f>
        <v>Standard Order</v>
      </c>
      <c r="V642" s="1"/>
      <c r="W642" s="17" t="s">
        <v>37</v>
      </c>
      <c r="X642" s="17"/>
      <c r="Y642" s="6"/>
      <c r="Z642" s="1"/>
    </row>
    <row r="643" spans="1:26">
      <c r="A643" s="3" t="s">
        <v>3688</v>
      </c>
      <c r="B643" s="3" t="s">
        <v>39</v>
      </c>
      <c r="C643" s="3" t="s">
        <v>40</v>
      </c>
      <c r="D643" s="3" t="s">
        <v>24</v>
      </c>
      <c r="E643" s="3" t="s">
        <v>25</v>
      </c>
      <c r="F643" s="3" t="s">
        <v>42</v>
      </c>
      <c r="G643" s="2">
        <v>88.55</v>
      </c>
      <c r="H643" s="2">
        <v>8</v>
      </c>
      <c r="I643" s="2">
        <v>35.42</v>
      </c>
      <c r="J643" s="2">
        <v>743.82</v>
      </c>
      <c r="K643" s="5">
        <v>43543</v>
      </c>
      <c r="L643" s="4">
        <v>0.64513888888888893</v>
      </c>
      <c r="M643" s="3" t="s">
        <v>33</v>
      </c>
      <c r="N643" s="2">
        <v>708.4</v>
      </c>
      <c r="O643" s="2">
        <v>4.7619047620000003</v>
      </c>
      <c r="P643" s="2">
        <v>35.42</v>
      </c>
      <c r="Q643" s="2">
        <v>4.7</v>
      </c>
      <c r="R643" s="3" t="str">
        <f t="shared" ref="R643:R706" si="22">TEXT(K643,"mmmm")</f>
        <v>March</v>
      </c>
      <c r="S643" s="3">
        <f t="shared" si="21"/>
        <v>3</v>
      </c>
      <c r="T643" s="3" t="str">
        <f>IF(tbl_sales[[#This Row],[Sales]]&gt;=500,"High Value","Standard")</f>
        <v>High Value</v>
      </c>
      <c r="U643" s="1" t="str">
        <f>IF(tbl_sales[[#This Row],[Order Size]]="High Value","High Value Order","Standard Order")</f>
        <v>High Value Order</v>
      </c>
      <c r="V643" s="1"/>
      <c r="W643" s="17" t="s">
        <v>37</v>
      </c>
      <c r="X643" s="17"/>
      <c r="Y643" s="6"/>
      <c r="Z643" s="1"/>
    </row>
    <row r="644" spans="1:26">
      <c r="A644" s="3" t="s">
        <v>3694</v>
      </c>
      <c r="B644" s="3" t="s">
        <v>115</v>
      </c>
      <c r="C644" s="3" t="s">
        <v>116</v>
      </c>
      <c r="D644" s="3" t="s">
        <v>24</v>
      </c>
      <c r="E644" s="3" t="s">
        <v>992</v>
      </c>
      <c r="F644" s="3" t="s">
        <v>42</v>
      </c>
      <c r="G644" s="2">
        <v>55.67</v>
      </c>
      <c r="H644" s="2">
        <v>2</v>
      </c>
      <c r="I644" s="2">
        <v>5.5670000000000002</v>
      </c>
      <c r="J644" s="2">
        <v>116.907</v>
      </c>
      <c r="K644" s="5">
        <v>43551</v>
      </c>
      <c r="L644" s="4">
        <v>0.63055555555555554</v>
      </c>
      <c r="M644" s="3" t="s">
        <v>33</v>
      </c>
      <c r="N644" s="2">
        <v>111.34</v>
      </c>
      <c r="O644" s="2">
        <v>4.7619047620000003</v>
      </c>
      <c r="P644" s="2">
        <v>5.5670000000000002</v>
      </c>
      <c r="Q644" s="2">
        <v>6</v>
      </c>
      <c r="R644" s="3" t="str">
        <f t="shared" si="22"/>
        <v>March</v>
      </c>
      <c r="S644" s="3">
        <f t="shared" si="21"/>
        <v>3</v>
      </c>
      <c r="T644" s="3" t="str">
        <f>IF(tbl_sales[[#This Row],[Sales]]&gt;=500,"High Value","Standard")</f>
        <v>Standard</v>
      </c>
      <c r="U644" s="1" t="str">
        <f>IF(tbl_sales[[#This Row],[Order Size]]="High Value","High Value Order","Standard Order")</f>
        <v>Standard Order</v>
      </c>
      <c r="V644" s="1"/>
      <c r="W644" s="17" t="s">
        <v>37</v>
      </c>
      <c r="X644" s="17"/>
      <c r="Y644" s="6"/>
      <c r="Z644" s="1"/>
    </row>
    <row r="645" spans="1:26">
      <c r="A645" s="3" t="s">
        <v>3699</v>
      </c>
      <c r="B645" s="3" t="s">
        <v>39</v>
      </c>
      <c r="C645" s="3" t="s">
        <v>40</v>
      </c>
      <c r="D645" s="3" t="s">
        <v>24</v>
      </c>
      <c r="E645" s="3" t="s">
        <v>25</v>
      </c>
      <c r="F645" s="3" t="s">
        <v>117</v>
      </c>
      <c r="G645" s="2">
        <v>72.52</v>
      </c>
      <c r="H645" s="2">
        <v>8</v>
      </c>
      <c r="I645" s="2">
        <v>29.007999999999999</v>
      </c>
      <c r="J645" s="2">
        <v>609.16800000000001</v>
      </c>
      <c r="K645" s="5">
        <v>43554</v>
      </c>
      <c r="L645" s="4">
        <v>0.80972222222222223</v>
      </c>
      <c r="M645" s="3" t="s">
        <v>59</v>
      </c>
      <c r="N645" s="2">
        <v>580.16</v>
      </c>
      <c r="O645" s="2">
        <v>4.7619047620000003</v>
      </c>
      <c r="P645" s="2">
        <v>29.007999999999999</v>
      </c>
      <c r="Q645" s="2">
        <v>4</v>
      </c>
      <c r="R645" s="3" t="str">
        <f t="shared" si="22"/>
        <v>March</v>
      </c>
      <c r="S645" s="3">
        <f t="shared" si="21"/>
        <v>3</v>
      </c>
      <c r="T645" s="3" t="str">
        <f>IF(tbl_sales[[#This Row],[Sales]]&gt;=500,"High Value","Standard")</f>
        <v>High Value</v>
      </c>
      <c r="U645" s="1" t="str">
        <f>IF(tbl_sales[[#This Row],[Order Size]]="High Value","High Value Order","Standard Order")</f>
        <v>High Value Order</v>
      </c>
      <c r="V645" s="1"/>
      <c r="W645" s="17" t="s">
        <v>37</v>
      </c>
      <c r="X645" s="17"/>
      <c r="Y645" s="6"/>
      <c r="Z645" s="1"/>
    </row>
    <row r="646" spans="1:26">
      <c r="A646" s="3" t="s">
        <v>3703</v>
      </c>
      <c r="B646" s="3" t="s">
        <v>39</v>
      </c>
      <c r="C646" s="3" t="s">
        <v>40</v>
      </c>
      <c r="D646" s="3" t="s">
        <v>24</v>
      </c>
      <c r="E646" s="3" t="s">
        <v>992</v>
      </c>
      <c r="F646" s="3" t="s">
        <v>42</v>
      </c>
      <c r="G646" s="2">
        <v>12.05</v>
      </c>
      <c r="H646" s="2">
        <v>5</v>
      </c>
      <c r="I646" s="2">
        <v>3.0125000000000002</v>
      </c>
      <c r="J646" s="2">
        <v>63.262500000000003</v>
      </c>
      <c r="K646" s="5">
        <v>43512</v>
      </c>
      <c r="L646" s="4">
        <v>0.66180555555555554</v>
      </c>
      <c r="M646" s="3" t="s">
        <v>33</v>
      </c>
      <c r="N646" s="2">
        <v>60.25</v>
      </c>
      <c r="O646" s="2">
        <v>4.7619047620000003</v>
      </c>
      <c r="P646" s="2">
        <v>3.0125000000000002</v>
      </c>
      <c r="Q646" s="2">
        <v>5.5</v>
      </c>
      <c r="R646" s="3" t="str">
        <f t="shared" si="22"/>
        <v>February</v>
      </c>
      <c r="S646" s="3">
        <f t="shared" si="21"/>
        <v>2</v>
      </c>
      <c r="T646" s="3" t="str">
        <f>IF(tbl_sales[[#This Row],[Sales]]&gt;=500,"High Value","Standard")</f>
        <v>Standard</v>
      </c>
      <c r="U646" s="1" t="str">
        <f>IF(tbl_sales[[#This Row],[Order Size]]="High Value","High Value Order","Standard Order")</f>
        <v>Standard Order</v>
      </c>
      <c r="V646" s="1"/>
      <c r="W646" s="17" t="s">
        <v>37</v>
      </c>
      <c r="X646" s="17"/>
      <c r="Y646" s="6"/>
      <c r="Z646" s="1"/>
    </row>
    <row r="647" spans="1:26">
      <c r="A647" s="3" t="s">
        <v>3708</v>
      </c>
      <c r="B647" s="3" t="s">
        <v>22</v>
      </c>
      <c r="C647" s="3" t="s">
        <v>23</v>
      </c>
      <c r="D647" s="3" t="s">
        <v>24</v>
      </c>
      <c r="E647" s="3" t="s">
        <v>992</v>
      </c>
      <c r="F647" s="3" t="s">
        <v>53</v>
      </c>
      <c r="G647" s="2">
        <v>19.36</v>
      </c>
      <c r="H647" s="2">
        <v>9</v>
      </c>
      <c r="I647" s="2">
        <v>8.7119999999999997</v>
      </c>
      <c r="J647" s="2">
        <v>182.952</v>
      </c>
      <c r="K647" s="5">
        <v>43483</v>
      </c>
      <c r="L647" s="4">
        <v>0.77986111111111112</v>
      </c>
      <c r="M647" s="3" t="s">
        <v>33</v>
      </c>
      <c r="N647" s="2">
        <v>174.24</v>
      </c>
      <c r="O647" s="2">
        <v>4.7619047620000003</v>
      </c>
      <c r="P647" s="2">
        <v>8.7119999999999997</v>
      </c>
      <c r="Q647" s="2">
        <v>8.6999999999999993</v>
      </c>
      <c r="R647" s="3" t="str">
        <f t="shared" si="22"/>
        <v>January</v>
      </c>
      <c r="S647" s="3">
        <f t="shared" si="21"/>
        <v>1</v>
      </c>
      <c r="T647" s="3" t="str">
        <f>IF(tbl_sales[[#This Row],[Sales]]&gt;=500,"High Value","Standard")</f>
        <v>Standard</v>
      </c>
      <c r="U647" s="1" t="str">
        <f>IF(tbl_sales[[#This Row],[Order Size]]="High Value","High Value Order","Standard Order")</f>
        <v>Standard Order</v>
      </c>
      <c r="V647" s="1"/>
      <c r="W647" s="17" t="s">
        <v>37</v>
      </c>
      <c r="X647" s="17"/>
      <c r="Y647" s="6"/>
      <c r="Z647" s="1"/>
    </row>
    <row r="648" spans="1:26">
      <c r="A648" s="3" t="s">
        <v>3713</v>
      </c>
      <c r="B648" s="3" t="s">
        <v>39</v>
      </c>
      <c r="C648" s="3" t="s">
        <v>40</v>
      </c>
      <c r="D648" s="3" t="s">
        <v>41</v>
      </c>
      <c r="E648" s="3" t="s">
        <v>992</v>
      </c>
      <c r="F648" s="3" t="s">
        <v>26</v>
      </c>
      <c r="G648" s="2">
        <v>70.209999999999994</v>
      </c>
      <c r="H648" s="2">
        <v>6</v>
      </c>
      <c r="I648" s="2">
        <v>21.062999999999999</v>
      </c>
      <c r="J648" s="2">
        <v>442.32299999999998</v>
      </c>
      <c r="K648" s="5">
        <v>43554</v>
      </c>
      <c r="L648" s="4">
        <v>0.62361111111111112</v>
      </c>
      <c r="M648" s="3" t="s">
        <v>49</v>
      </c>
      <c r="N648" s="2">
        <v>421.26</v>
      </c>
      <c r="O648" s="2">
        <v>4.7619047620000003</v>
      </c>
      <c r="P648" s="2">
        <v>21.062999999999999</v>
      </c>
      <c r="Q648" s="2">
        <v>7.4</v>
      </c>
      <c r="R648" s="3" t="str">
        <f t="shared" si="22"/>
        <v>March</v>
      </c>
      <c r="S648" s="3">
        <f t="shared" si="21"/>
        <v>3</v>
      </c>
      <c r="T648" s="3" t="str">
        <f>IF(tbl_sales[[#This Row],[Sales]]&gt;=500,"High Value","Standard")</f>
        <v>Standard</v>
      </c>
      <c r="U648" s="1" t="str">
        <f>IF(tbl_sales[[#This Row],[Order Size]]="High Value","High Value Order","Standard Order")</f>
        <v>Standard Order</v>
      </c>
      <c r="V648" s="1"/>
      <c r="W648" s="17" t="s">
        <v>37</v>
      </c>
      <c r="X648" s="17"/>
      <c r="Y648" s="6"/>
      <c r="Z648" s="1"/>
    </row>
    <row r="649" spans="1:26">
      <c r="A649" s="3" t="s">
        <v>3719</v>
      </c>
      <c r="B649" s="3" t="s">
        <v>115</v>
      </c>
      <c r="C649" s="3" t="s">
        <v>116</v>
      </c>
      <c r="D649" s="3" t="s">
        <v>24</v>
      </c>
      <c r="E649" s="3" t="s">
        <v>992</v>
      </c>
      <c r="F649" s="3" t="s">
        <v>127</v>
      </c>
      <c r="G649" s="2">
        <v>33.630000000000003</v>
      </c>
      <c r="H649" s="2">
        <v>1</v>
      </c>
      <c r="I649" s="2">
        <v>1.6815</v>
      </c>
      <c r="J649" s="2">
        <v>35.311500000000002</v>
      </c>
      <c r="K649" s="5">
        <v>43544</v>
      </c>
      <c r="L649" s="4">
        <v>0.82986111111111116</v>
      </c>
      <c r="M649" s="3" t="s">
        <v>49</v>
      </c>
      <c r="N649" s="2">
        <v>33.630000000000003</v>
      </c>
      <c r="O649" s="2">
        <v>4.7619047620000003</v>
      </c>
      <c r="P649" s="2">
        <v>1.6815</v>
      </c>
      <c r="Q649" s="2">
        <v>5.6</v>
      </c>
      <c r="R649" s="3" t="str">
        <f t="shared" si="22"/>
        <v>March</v>
      </c>
      <c r="S649" s="3">
        <f t="shared" si="21"/>
        <v>3</v>
      </c>
      <c r="T649" s="3" t="str">
        <f>IF(tbl_sales[[#This Row],[Sales]]&gt;=500,"High Value","Standard")</f>
        <v>Standard</v>
      </c>
      <c r="U649" s="1" t="str">
        <f>IF(tbl_sales[[#This Row],[Order Size]]="High Value","High Value Order","Standard Order")</f>
        <v>Standard Order</v>
      </c>
      <c r="V649" s="1"/>
      <c r="W649" s="17" t="s">
        <v>37</v>
      </c>
      <c r="X649" s="17"/>
      <c r="Y649" s="6"/>
      <c r="Z649" s="1"/>
    </row>
    <row r="650" spans="1:26">
      <c r="A650" s="3" t="s">
        <v>3723</v>
      </c>
      <c r="B650" s="3" t="s">
        <v>39</v>
      </c>
      <c r="C650" s="3" t="s">
        <v>40</v>
      </c>
      <c r="D650" s="3" t="s">
        <v>24</v>
      </c>
      <c r="E650" s="3" t="s">
        <v>25</v>
      </c>
      <c r="F650" s="3" t="s">
        <v>72</v>
      </c>
      <c r="G650" s="2">
        <v>15.49</v>
      </c>
      <c r="H650" s="2">
        <v>2</v>
      </c>
      <c r="I650" s="2">
        <v>1.5489999999999999</v>
      </c>
      <c r="J650" s="2">
        <v>32.529000000000003</v>
      </c>
      <c r="K650" s="5">
        <v>43481</v>
      </c>
      <c r="L650" s="4">
        <v>0.63194444444444442</v>
      </c>
      <c r="M650" s="3" t="s">
        <v>49</v>
      </c>
      <c r="N650" s="2">
        <v>30.98</v>
      </c>
      <c r="O650" s="2">
        <v>4.7619047620000003</v>
      </c>
      <c r="P650" s="2">
        <v>1.5489999999999999</v>
      </c>
      <c r="Q650" s="2">
        <v>6.3</v>
      </c>
      <c r="R650" s="3" t="str">
        <f t="shared" si="22"/>
        <v>January</v>
      </c>
      <c r="S650" s="3">
        <f t="shared" si="21"/>
        <v>1</v>
      </c>
      <c r="T650" s="3" t="str">
        <f>IF(tbl_sales[[#This Row],[Sales]]&gt;=500,"High Value","Standard")</f>
        <v>Standard</v>
      </c>
      <c r="U650" s="1" t="str">
        <f>IF(tbl_sales[[#This Row],[Order Size]]="High Value","High Value Order","Standard Order")</f>
        <v>Standard Order</v>
      </c>
      <c r="V650" s="1"/>
      <c r="W650" s="17" t="s">
        <v>37</v>
      </c>
      <c r="X650" s="17"/>
      <c r="Y650" s="6"/>
      <c r="Z650" s="1"/>
    </row>
    <row r="651" spans="1:26">
      <c r="A651" s="3" t="s">
        <v>3728</v>
      </c>
      <c r="B651" s="3" t="s">
        <v>39</v>
      </c>
      <c r="C651" s="3" t="s">
        <v>40</v>
      </c>
      <c r="D651" s="3" t="s">
        <v>41</v>
      </c>
      <c r="E651" s="3" t="s">
        <v>992</v>
      </c>
      <c r="F651" s="3" t="s">
        <v>42</v>
      </c>
      <c r="G651" s="2">
        <v>24.74</v>
      </c>
      <c r="H651" s="2">
        <v>10</v>
      </c>
      <c r="I651" s="2">
        <v>12.37</v>
      </c>
      <c r="J651" s="2">
        <v>259.77</v>
      </c>
      <c r="K651" s="5">
        <v>43520</v>
      </c>
      <c r="L651" s="4">
        <v>0.69722222222222219</v>
      </c>
      <c r="M651" s="3" t="s">
        <v>49</v>
      </c>
      <c r="N651" s="2">
        <v>247.4</v>
      </c>
      <c r="O651" s="2">
        <v>4.7619047620000003</v>
      </c>
      <c r="P651" s="2">
        <v>12.37</v>
      </c>
      <c r="Q651" s="2">
        <v>7.1</v>
      </c>
      <c r="R651" s="3" t="str">
        <f t="shared" si="22"/>
        <v>February</v>
      </c>
      <c r="S651" s="3">
        <f t="shared" si="21"/>
        <v>2</v>
      </c>
      <c r="T651" s="3" t="str">
        <f>IF(tbl_sales[[#This Row],[Sales]]&gt;=500,"High Value","Standard")</f>
        <v>Standard</v>
      </c>
      <c r="U651" s="1" t="str">
        <f>IF(tbl_sales[[#This Row],[Order Size]]="High Value","High Value Order","Standard Order")</f>
        <v>Standard Order</v>
      </c>
      <c r="V651" s="1"/>
      <c r="W651" s="17" t="s">
        <v>37</v>
      </c>
      <c r="X651" s="17"/>
      <c r="Y651" s="6"/>
      <c r="Z651" s="1"/>
    </row>
    <row r="652" spans="1:26">
      <c r="A652" s="3" t="s">
        <v>3732</v>
      </c>
      <c r="B652" s="3" t="s">
        <v>115</v>
      </c>
      <c r="C652" s="3" t="s">
        <v>116</v>
      </c>
      <c r="D652" s="3" t="s">
        <v>41</v>
      </c>
      <c r="E652" s="3" t="s">
        <v>992</v>
      </c>
      <c r="F652" s="3" t="s">
        <v>42</v>
      </c>
      <c r="G652" s="2">
        <v>75.66</v>
      </c>
      <c r="H652" s="2">
        <v>5</v>
      </c>
      <c r="I652" s="2">
        <v>18.914999999999999</v>
      </c>
      <c r="J652" s="2">
        <v>397.21499999999997</v>
      </c>
      <c r="K652" s="5">
        <v>43480</v>
      </c>
      <c r="L652" s="4">
        <v>0.76527777777777772</v>
      </c>
      <c r="M652" s="3" t="s">
        <v>33</v>
      </c>
      <c r="N652" s="2">
        <v>378.3</v>
      </c>
      <c r="O652" s="2">
        <v>4.7619047620000003</v>
      </c>
      <c r="P652" s="2">
        <v>18.914999999999999</v>
      </c>
      <c r="Q652" s="2">
        <v>7.8</v>
      </c>
      <c r="R652" s="3" t="str">
        <f t="shared" si="22"/>
        <v>January</v>
      </c>
      <c r="S652" s="3">
        <f t="shared" si="21"/>
        <v>1</v>
      </c>
      <c r="T652" s="3" t="str">
        <f>IF(tbl_sales[[#This Row],[Sales]]&gt;=500,"High Value","Standard")</f>
        <v>Standard</v>
      </c>
      <c r="U652" s="1" t="str">
        <f>IF(tbl_sales[[#This Row],[Order Size]]="High Value","High Value Order","Standard Order")</f>
        <v>Standard Order</v>
      </c>
      <c r="V652" s="1"/>
      <c r="W652" s="17" t="s">
        <v>37</v>
      </c>
      <c r="X652" s="17"/>
      <c r="Y652" s="6"/>
      <c r="Z652" s="1"/>
    </row>
    <row r="653" spans="1:26">
      <c r="A653" s="3" t="s">
        <v>3737</v>
      </c>
      <c r="B653" s="3" t="s">
        <v>115</v>
      </c>
      <c r="C653" s="3" t="s">
        <v>116</v>
      </c>
      <c r="D653" s="3" t="s">
        <v>41</v>
      </c>
      <c r="E653" s="3" t="s">
        <v>25</v>
      </c>
      <c r="F653" s="3" t="s">
        <v>26</v>
      </c>
      <c r="G653" s="2">
        <v>55.81</v>
      </c>
      <c r="H653" s="2">
        <v>6</v>
      </c>
      <c r="I653" s="2">
        <v>16.742999999999999</v>
      </c>
      <c r="J653" s="2">
        <v>351.60300000000001</v>
      </c>
      <c r="K653" s="5">
        <v>43487</v>
      </c>
      <c r="L653" s="4">
        <v>0.49444444444444446</v>
      </c>
      <c r="M653" s="3" t="s">
        <v>49</v>
      </c>
      <c r="N653" s="2">
        <v>334.86</v>
      </c>
      <c r="O653" s="2">
        <v>4.7619047620000003</v>
      </c>
      <c r="P653" s="2">
        <v>16.742999999999999</v>
      </c>
      <c r="Q653" s="2">
        <v>9.9</v>
      </c>
      <c r="R653" s="3" t="str">
        <f t="shared" si="22"/>
        <v>January</v>
      </c>
      <c r="S653" s="3">
        <f t="shared" si="21"/>
        <v>1</v>
      </c>
      <c r="T653" s="3" t="str">
        <f>IF(tbl_sales[[#This Row],[Sales]]&gt;=500,"High Value","Standard")</f>
        <v>Standard</v>
      </c>
      <c r="U653" s="1" t="str">
        <f>IF(tbl_sales[[#This Row],[Order Size]]="High Value","High Value Order","Standard Order")</f>
        <v>Standard Order</v>
      </c>
      <c r="V653" s="1"/>
      <c r="W653" s="17" t="s">
        <v>37</v>
      </c>
      <c r="X653" s="17"/>
      <c r="Y653" s="6"/>
      <c r="Z653" s="1"/>
    </row>
    <row r="654" spans="1:26">
      <c r="A654" s="3" t="s">
        <v>3743</v>
      </c>
      <c r="B654" s="3" t="s">
        <v>22</v>
      </c>
      <c r="C654" s="3" t="s">
        <v>23</v>
      </c>
      <c r="D654" s="3" t="s">
        <v>24</v>
      </c>
      <c r="E654" s="3" t="s">
        <v>992</v>
      </c>
      <c r="F654" s="3" t="s">
        <v>53</v>
      </c>
      <c r="G654" s="2">
        <v>72.78</v>
      </c>
      <c r="H654" s="2">
        <v>10</v>
      </c>
      <c r="I654" s="2">
        <v>36.39</v>
      </c>
      <c r="J654" s="2">
        <v>764.19</v>
      </c>
      <c r="K654" s="5">
        <v>43499</v>
      </c>
      <c r="L654" s="4">
        <v>0.72499999999999998</v>
      </c>
      <c r="M654" s="3" t="s">
        <v>49</v>
      </c>
      <c r="N654" s="2">
        <v>727.8</v>
      </c>
      <c r="O654" s="2">
        <v>4.7619047620000003</v>
      </c>
      <c r="P654" s="2">
        <v>36.39</v>
      </c>
      <c r="Q654" s="2">
        <v>7.3</v>
      </c>
      <c r="R654" s="3" t="str">
        <f t="shared" si="22"/>
        <v>February</v>
      </c>
      <c r="S654" s="3">
        <f t="shared" si="21"/>
        <v>2</v>
      </c>
      <c r="T654" s="3" t="str">
        <f>IF(tbl_sales[[#This Row],[Sales]]&gt;=500,"High Value","Standard")</f>
        <v>High Value</v>
      </c>
      <c r="U654" s="1" t="str">
        <f>IF(tbl_sales[[#This Row],[Order Size]]="High Value","High Value Order","Standard Order")</f>
        <v>High Value Order</v>
      </c>
      <c r="V654" s="1"/>
      <c r="W654" s="17" t="s">
        <v>37</v>
      </c>
      <c r="X654" s="17"/>
      <c r="Y654" s="6"/>
      <c r="Z654" s="1"/>
    </row>
    <row r="655" spans="1:26">
      <c r="A655" s="3" t="s">
        <v>3748</v>
      </c>
      <c r="B655" s="3" t="s">
        <v>115</v>
      </c>
      <c r="C655" s="3" t="s">
        <v>116</v>
      </c>
      <c r="D655" s="3" t="s">
        <v>24</v>
      </c>
      <c r="E655" s="3" t="s">
        <v>992</v>
      </c>
      <c r="F655" s="3" t="s">
        <v>72</v>
      </c>
      <c r="G655" s="2">
        <v>37.32</v>
      </c>
      <c r="H655" s="2">
        <v>9</v>
      </c>
      <c r="I655" s="2">
        <v>16.794</v>
      </c>
      <c r="J655" s="2">
        <v>352.67399999999998</v>
      </c>
      <c r="K655" s="5">
        <v>43530</v>
      </c>
      <c r="L655" s="4">
        <v>0.64652777777777781</v>
      </c>
      <c r="M655" s="3" t="s">
        <v>33</v>
      </c>
      <c r="N655" s="2">
        <v>335.88</v>
      </c>
      <c r="O655" s="2">
        <v>4.7619047620000003</v>
      </c>
      <c r="P655" s="2">
        <v>16.794</v>
      </c>
      <c r="Q655" s="2">
        <v>5.0999999999999996</v>
      </c>
      <c r="R655" s="3" t="str">
        <f t="shared" si="22"/>
        <v>March</v>
      </c>
      <c r="S655" s="3">
        <f t="shared" si="21"/>
        <v>3</v>
      </c>
      <c r="T655" s="3" t="str">
        <f>IF(tbl_sales[[#This Row],[Sales]]&gt;=500,"High Value","Standard")</f>
        <v>Standard</v>
      </c>
      <c r="U655" s="1" t="str">
        <f>IF(tbl_sales[[#This Row],[Order Size]]="High Value","High Value Order","Standard Order")</f>
        <v>Standard Order</v>
      </c>
      <c r="V655" s="1"/>
      <c r="W655" s="17" t="s">
        <v>37</v>
      </c>
      <c r="X655" s="17"/>
      <c r="Y655" s="6"/>
      <c r="Z655" s="1"/>
    </row>
    <row r="656" spans="1:26">
      <c r="A656" s="3" t="s">
        <v>3753</v>
      </c>
      <c r="B656" s="3" t="s">
        <v>115</v>
      </c>
      <c r="C656" s="3" t="s">
        <v>116</v>
      </c>
      <c r="D656" s="3" t="s">
        <v>24</v>
      </c>
      <c r="E656" s="3" t="s">
        <v>992</v>
      </c>
      <c r="F656" s="3" t="s">
        <v>127</v>
      </c>
      <c r="G656" s="2">
        <v>60.18</v>
      </c>
      <c r="H656" s="2">
        <v>4</v>
      </c>
      <c r="I656" s="2">
        <v>12.036</v>
      </c>
      <c r="J656" s="2">
        <v>252.756</v>
      </c>
      <c r="K656" s="5">
        <v>43512</v>
      </c>
      <c r="L656" s="4">
        <v>0.75277777777777777</v>
      </c>
      <c r="M656" s="3" t="s">
        <v>59</v>
      </c>
      <c r="N656" s="2">
        <v>240.72</v>
      </c>
      <c r="O656" s="2">
        <v>4.7619047620000003</v>
      </c>
      <c r="P656" s="2">
        <v>12.036</v>
      </c>
      <c r="Q656" s="2">
        <v>9.4</v>
      </c>
      <c r="R656" s="3" t="str">
        <f t="shared" si="22"/>
        <v>February</v>
      </c>
      <c r="S656" s="3">
        <f t="shared" si="21"/>
        <v>2</v>
      </c>
      <c r="T656" s="3" t="str">
        <f>IF(tbl_sales[[#This Row],[Sales]]&gt;=500,"High Value","Standard")</f>
        <v>Standard</v>
      </c>
      <c r="U656" s="1" t="str">
        <f>IF(tbl_sales[[#This Row],[Order Size]]="High Value","High Value Order","Standard Order")</f>
        <v>Standard Order</v>
      </c>
      <c r="V656" s="1"/>
      <c r="W656" s="17" t="s">
        <v>37</v>
      </c>
      <c r="X656" s="17"/>
      <c r="Y656" s="6"/>
      <c r="Z656" s="1"/>
    </row>
    <row r="657" spans="1:26">
      <c r="A657" s="3" t="s">
        <v>3758</v>
      </c>
      <c r="B657" s="3" t="s">
        <v>22</v>
      </c>
      <c r="C657" s="3" t="s">
        <v>23</v>
      </c>
      <c r="D657" s="3" t="s">
        <v>41</v>
      </c>
      <c r="E657" s="3" t="s">
        <v>25</v>
      </c>
      <c r="F657" s="3" t="s">
        <v>42</v>
      </c>
      <c r="G657" s="2">
        <v>15.69</v>
      </c>
      <c r="H657" s="2">
        <v>3</v>
      </c>
      <c r="I657" s="2">
        <v>2.3534999999999999</v>
      </c>
      <c r="J657" s="2">
        <v>49.423499999999997</v>
      </c>
      <c r="K657" s="5">
        <v>43538</v>
      </c>
      <c r="L657" s="4">
        <v>0.59236111111111112</v>
      </c>
      <c r="M657" s="3" t="s">
        <v>59</v>
      </c>
      <c r="N657" s="2">
        <v>47.07</v>
      </c>
      <c r="O657" s="2">
        <v>4.7619047620000003</v>
      </c>
      <c r="P657" s="2">
        <v>2.3534999999999999</v>
      </c>
      <c r="Q657" s="2">
        <v>5.8</v>
      </c>
      <c r="R657" s="3" t="str">
        <f t="shared" si="22"/>
        <v>March</v>
      </c>
      <c r="S657" s="3">
        <f t="shared" si="21"/>
        <v>3</v>
      </c>
      <c r="T657" s="3" t="str">
        <f>IF(tbl_sales[[#This Row],[Sales]]&gt;=500,"High Value","Standard")</f>
        <v>Standard</v>
      </c>
      <c r="U657" s="1" t="str">
        <f>IF(tbl_sales[[#This Row],[Order Size]]="High Value","High Value Order","Standard Order")</f>
        <v>Standard Order</v>
      </c>
      <c r="V657" s="1"/>
      <c r="W657" s="17" t="s">
        <v>37</v>
      </c>
      <c r="X657" s="17"/>
      <c r="Y657" s="6"/>
      <c r="Z657" s="1"/>
    </row>
    <row r="658" spans="1:26">
      <c r="A658" s="3" t="s">
        <v>3763</v>
      </c>
      <c r="B658" s="3" t="s">
        <v>39</v>
      </c>
      <c r="C658" s="3" t="s">
        <v>40</v>
      </c>
      <c r="D658" s="3" t="s">
        <v>41</v>
      </c>
      <c r="E658" s="3" t="s">
        <v>25</v>
      </c>
      <c r="F658" s="3" t="s">
        <v>42</v>
      </c>
      <c r="G658" s="2">
        <v>99.69</v>
      </c>
      <c r="H658" s="2">
        <v>1</v>
      </c>
      <c r="I658" s="2">
        <v>4.9844999999999997</v>
      </c>
      <c r="J658" s="2">
        <v>104.67449999999999</v>
      </c>
      <c r="K658" s="5">
        <v>43523</v>
      </c>
      <c r="L658" s="4">
        <v>0.43263888888888891</v>
      </c>
      <c r="M658" s="3" t="s">
        <v>59</v>
      </c>
      <c r="N658" s="2">
        <v>99.69</v>
      </c>
      <c r="O658" s="2">
        <v>4.7619047620000003</v>
      </c>
      <c r="P658" s="2">
        <v>4.9844999999999997</v>
      </c>
      <c r="Q658" s="2">
        <v>8</v>
      </c>
      <c r="R658" s="3" t="str">
        <f t="shared" si="22"/>
        <v>February</v>
      </c>
      <c r="S658" s="3">
        <f t="shared" si="21"/>
        <v>2</v>
      </c>
      <c r="T658" s="3" t="str">
        <f>IF(tbl_sales[[#This Row],[Sales]]&gt;=500,"High Value","Standard")</f>
        <v>Standard</v>
      </c>
      <c r="U658" s="1" t="str">
        <f>IF(tbl_sales[[#This Row],[Order Size]]="High Value","High Value Order","Standard Order")</f>
        <v>Standard Order</v>
      </c>
      <c r="V658" s="1"/>
      <c r="W658" s="17" t="s">
        <v>37</v>
      </c>
      <c r="X658" s="17"/>
      <c r="Y658" s="6"/>
      <c r="Z658" s="1"/>
    </row>
    <row r="659" spans="1:26">
      <c r="A659" s="3" t="s">
        <v>3766</v>
      </c>
      <c r="B659" s="3" t="s">
        <v>22</v>
      </c>
      <c r="C659" s="3" t="s">
        <v>23</v>
      </c>
      <c r="D659" s="3" t="s">
        <v>24</v>
      </c>
      <c r="E659" s="3" t="s">
        <v>25</v>
      </c>
      <c r="F659" s="3" t="s">
        <v>127</v>
      </c>
      <c r="G659" s="2">
        <v>88.15</v>
      </c>
      <c r="H659" s="2">
        <v>3</v>
      </c>
      <c r="I659" s="2">
        <v>13.2225</v>
      </c>
      <c r="J659" s="2">
        <v>277.67250000000001</v>
      </c>
      <c r="K659" s="5">
        <v>43483</v>
      </c>
      <c r="L659" s="4">
        <v>0.42430555555555555</v>
      </c>
      <c r="M659" s="3" t="s">
        <v>33</v>
      </c>
      <c r="N659" s="2">
        <v>264.45</v>
      </c>
      <c r="O659" s="2">
        <v>4.7619047620000003</v>
      </c>
      <c r="P659" s="2">
        <v>13.2225</v>
      </c>
      <c r="Q659" s="2">
        <v>7.9</v>
      </c>
      <c r="R659" s="3" t="str">
        <f t="shared" si="22"/>
        <v>January</v>
      </c>
      <c r="S659" s="3">
        <f t="shared" si="21"/>
        <v>1</v>
      </c>
      <c r="T659" s="3" t="str">
        <f>IF(tbl_sales[[#This Row],[Sales]]&gt;=500,"High Value","Standard")</f>
        <v>Standard</v>
      </c>
      <c r="U659" s="1" t="str">
        <f>IF(tbl_sales[[#This Row],[Order Size]]="High Value","High Value Order","Standard Order")</f>
        <v>Standard Order</v>
      </c>
      <c r="V659" s="1"/>
      <c r="W659" s="17" t="s">
        <v>37</v>
      </c>
      <c r="X659" s="17"/>
      <c r="Y659" s="6"/>
      <c r="Z659" s="1"/>
    </row>
    <row r="660" spans="1:26">
      <c r="A660" s="3" t="s">
        <v>3770</v>
      </c>
      <c r="B660" s="3" t="s">
        <v>22</v>
      </c>
      <c r="C660" s="3" t="s">
        <v>23</v>
      </c>
      <c r="D660" s="3" t="s">
        <v>24</v>
      </c>
      <c r="E660" s="3" t="s">
        <v>25</v>
      </c>
      <c r="F660" s="3" t="s">
        <v>72</v>
      </c>
      <c r="G660" s="2">
        <v>27.93</v>
      </c>
      <c r="H660" s="2">
        <v>5</v>
      </c>
      <c r="I660" s="2">
        <v>6.9824999999999999</v>
      </c>
      <c r="J660" s="2">
        <v>146.63249999999999</v>
      </c>
      <c r="K660" s="5">
        <v>43494</v>
      </c>
      <c r="L660" s="4">
        <v>0.65833333333333333</v>
      </c>
      <c r="M660" s="3" t="s">
        <v>49</v>
      </c>
      <c r="N660" s="2">
        <v>139.65</v>
      </c>
      <c r="O660" s="2">
        <v>4.7619047620000003</v>
      </c>
      <c r="P660" s="2">
        <v>6.9824999999999999</v>
      </c>
      <c r="Q660" s="2">
        <v>5.9</v>
      </c>
      <c r="R660" s="3" t="str">
        <f t="shared" si="22"/>
        <v>January</v>
      </c>
      <c r="S660" s="3">
        <f t="shared" si="21"/>
        <v>1</v>
      </c>
      <c r="T660" s="3" t="str">
        <f>IF(tbl_sales[[#This Row],[Sales]]&gt;=500,"High Value","Standard")</f>
        <v>Standard</v>
      </c>
      <c r="U660" s="1" t="str">
        <f>IF(tbl_sales[[#This Row],[Order Size]]="High Value","High Value Order","Standard Order")</f>
        <v>Standard Order</v>
      </c>
      <c r="V660" s="1"/>
      <c r="W660" s="17" t="s">
        <v>37</v>
      </c>
      <c r="X660" s="17"/>
      <c r="Y660" s="6"/>
      <c r="Z660" s="1"/>
    </row>
    <row r="661" spans="1:26">
      <c r="A661" s="3" t="s">
        <v>3775</v>
      </c>
      <c r="B661" s="3" t="s">
        <v>22</v>
      </c>
      <c r="C661" s="3" t="s">
        <v>23</v>
      </c>
      <c r="D661" s="3" t="s">
        <v>24</v>
      </c>
      <c r="E661" s="3" t="s">
        <v>992</v>
      </c>
      <c r="F661" s="3" t="s">
        <v>127</v>
      </c>
      <c r="G661" s="2">
        <v>55.45</v>
      </c>
      <c r="H661" s="2">
        <v>1</v>
      </c>
      <c r="I661" s="2">
        <v>2.7725</v>
      </c>
      <c r="J661" s="2">
        <v>58.222499999999997</v>
      </c>
      <c r="K661" s="5">
        <v>43522</v>
      </c>
      <c r="L661" s="4">
        <v>0.74027777777777781</v>
      </c>
      <c r="M661" s="3" t="s">
        <v>59</v>
      </c>
      <c r="N661" s="2">
        <v>55.45</v>
      </c>
      <c r="O661" s="2">
        <v>4.7619047620000003</v>
      </c>
      <c r="P661" s="2">
        <v>2.7725</v>
      </c>
      <c r="Q661" s="2">
        <v>4.9000000000000004</v>
      </c>
      <c r="R661" s="3" t="str">
        <f t="shared" si="22"/>
        <v>February</v>
      </c>
      <c r="S661" s="3">
        <f t="shared" si="21"/>
        <v>2</v>
      </c>
      <c r="T661" s="3" t="str">
        <f>IF(tbl_sales[[#This Row],[Sales]]&gt;=500,"High Value","Standard")</f>
        <v>Standard</v>
      </c>
      <c r="U661" s="1" t="str">
        <f>IF(tbl_sales[[#This Row],[Order Size]]="High Value","High Value Order","Standard Order")</f>
        <v>Standard Order</v>
      </c>
      <c r="V661" s="1"/>
      <c r="W661" s="17" t="s">
        <v>37</v>
      </c>
      <c r="X661" s="17"/>
      <c r="Y661" s="6"/>
      <c r="Z661" s="1"/>
    </row>
    <row r="662" spans="1:26">
      <c r="A662" s="3" t="s">
        <v>3780</v>
      </c>
      <c r="B662" s="3" t="s">
        <v>115</v>
      </c>
      <c r="C662" s="3" t="s">
        <v>116</v>
      </c>
      <c r="D662" s="3" t="s">
        <v>41</v>
      </c>
      <c r="E662" s="3" t="s">
        <v>25</v>
      </c>
      <c r="F662" s="3" t="s">
        <v>72</v>
      </c>
      <c r="G662" s="2">
        <v>42.97</v>
      </c>
      <c r="H662" s="2">
        <v>3</v>
      </c>
      <c r="I662" s="2">
        <v>6.4455</v>
      </c>
      <c r="J662" s="2">
        <v>135.35550000000001</v>
      </c>
      <c r="K662" s="5">
        <v>43499</v>
      </c>
      <c r="L662" s="4">
        <v>0.49027777777777776</v>
      </c>
      <c r="M662" s="3" t="s">
        <v>49</v>
      </c>
      <c r="N662" s="2">
        <v>128.91</v>
      </c>
      <c r="O662" s="2">
        <v>4.7619047620000003</v>
      </c>
      <c r="P662" s="2">
        <v>6.4455</v>
      </c>
      <c r="Q662" s="2">
        <v>9.3000000000000007</v>
      </c>
      <c r="R662" s="3" t="str">
        <f t="shared" si="22"/>
        <v>February</v>
      </c>
      <c r="S662" s="3">
        <f t="shared" si="21"/>
        <v>2</v>
      </c>
      <c r="T662" s="3" t="str">
        <f>IF(tbl_sales[[#This Row],[Sales]]&gt;=500,"High Value","Standard")</f>
        <v>Standard</v>
      </c>
      <c r="U662" s="1" t="str">
        <f>IF(tbl_sales[[#This Row],[Order Size]]="High Value","High Value Order","Standard Order")</f>
        <v>Standard Order</v>
      </c>
      <c r="V662" s="1"/>
      <c r="W662" s="17" t="s">
        <v>37</v>
      </c>
      <c r="X662" s="17"/>
      <c r="Y662" s="6"/>
      <c r="Z662" s="1"/>
    </row>
    <row r="663" spans="1:26">
      <c r="A663" s="3" t="s">
        <v>3785</v>
      </c>
      <c r="B663" s="3" t="s">
        <v>39</v>
      </c>
      <c r="C663" s="3" t="s">
        <v>40</v>
      </c>
      <c r="D663" s="3" t="s">
        <v>24</v>
      </c>
      <c r="E663" s="3" t="s">
        <v>992</v>
      </c>
      <c r="F663" s="3" t="s">
        <v>72</v>
      </c>
      <c r="G663" s="2">
        <v>17.14</v>
      </c>
      <c r="H663" s="2">
        <v>7</v>
      </c>
      <c r="I663" s="2">
        <v>5.9989999999999997</v>
      </c>
      <c r="J663" s="2">
        <v>125.979</v>
      </c>
      <c r="K663" s="5">
        <v>43481</v>
      </c>
      <c r="L663" s="4">
        <v>0.50486111111111109</v>
      </c>
      <c r="M663" s="3" t="s">
        <v>59</v>
      </c>
      <c r="N663" s="2">
        <v>119.98</v>
      </c>
      <c r="O663" s="2">
        <v>4.7619047620000003</v>
      </c>
      <c r="P663" s="2">
        <v>5.9989999999999997</v>
      </c>
      <c r="Q663" s="2">
        <v>7.9</v>
      </c>
      <c r="R663" s="3" t="str">
        <f t="shared" si="22"/>
        <v>January</v>
      </c>
      <c r="S663" s="3">
        <f t="shared" si="21"/>
        <v>1</v>
      </c>
      <c r="T663" s="3" t="str">
        <f>IF(tbl_sales[[#This Row],[Sales]]&gt;=500,"High Value","Standard")</f>
        <v>Standard</v>
      </c>
      <c r="U663" s="1" t="str">
        <f>IF(tbl_sales[[#This Row],[Order Size]]="High Value","High Value Order","Standard Order")</f>
        <v>Standard Order</v>
      </c>
      <c r="V663" s="1"/>
      <c r="W663" s="17" t="s">
        <v>37</v>
      </c>
      <c r="X663" s="17"/>
      <c r="Y663" s="6"/>
      <c r="Z663" s="1"/>
    </row>
    <row r="664" spans="1:26">
      <c r="A664" s="3" t="s">
        <v>3790</v>
      </c>
      <c r="B664" s="3" t="s">
        <v>115</v>
      </c>
      <c r="C664" s="3" t="s">
        <v>116</v>
      </c>
      <c r="D664" s="3" t="s">
        <v>24</v>
      </c>
      <c r="E664" s="3" t="s">
        <v>25</v>
      </c>
      <c r="F664" s="3" t="s">
        <v>127</v>
      </c>
      <c r="G664" s="2">
        <v>58.75</v>
      </c>
      <c r="H664" s="2">
        <v>6</v>
      </c>
      <c r="I664" s="2">
        <v>17.625</v>
      </c>
      <c r="J664" s="2">
        <v>370.125</v>
      </c>
      <c r="K664" s="5">
        <v>43548</v>
      </c>
      <c r="L664" s="4">
        <v>0.75972222222222219</v>
      </c>
      <c r="M664" s="3" t="s">
        <v>59</v>
      </c>
      <c r="N664" s="2">
        <v>352.5</v>
      </c>
      <c r="O664" s="2">
        <v>4.7619047620000003</v>
      </c>
      <c r="P664" s="2">
        <v>17.625</v>
      </c>
      <c r="Q664" s="2">
        <v>5.9</v>
      </c>
      <c r="R664" s="3" t="str">
        <f t="shared" si="22"/>
        <v>March</v>
      </c>
      <c r="S664" s="3">
        <f t="shared" si="21"/>
        <v>3</v>
      </c>
      <c r="T664" s="3" t="str">
        <f>IF(tbl_sales[[#This Row],[Sales]]&gt;=500,"High Value","Standard")</f>
        <v>Standard</v>
      </c>
      <c r="U664" s="1" t="str">
        <f>IF(tbl_sales[[#This Row],[Order Size]]="High Value","High Value Order","Standard Order")</f>
        <v>Standard Order</v>
      </c>
      <c r="V664" s="1"/>
      <c r="W664" s="17" t="s">
        <v>37</v>
      </c>
      <c r="X664" s="17"/>
      <c r="Y664" s="6"/>
      <c r="Z664" s="1"/>
    </row>
    <row r="665" spans="1:26">
      <c r="A665" s="3" t="s">
        <v>3795</v>
      </c>
      <c r="B665" s="3" t="s">
        <v>39</v>
      </c>
      <c r="C665" s="3" t="s">
        <v>40</v>
      </c>
      <c r="D665" s="3" t="s">
        <v>24</v>
      </c>
      <c r="E665" s="3" t="s">
        <v>25</v>
      </c>
      <c r="F665" s="3" t="s">
        <v>117</v>
      </c>
      <c r="G665" s="2">
        <v>87.1</v>
      </c>
      <c r="H665" s="2">
        <v>10</v>
      </c>
      <c r="I665" s="2">
        <v>43.55</v>
      </c>
      <c r="J665" s="2">
        <v>914.55</v>
      </c>
      <c r="K665" s="5">
        <v>43508</v>
      </c>
      <c r="L665" s="4">
        <v>0.61458333333333337</v>
      </c>
      <c r="M665" s="3" t="s">
        <v>59</v>
      </c>
      <c r="N665" s="2">
        <v>871</v>
      </c>
      <c r="O665" s="2">
        <v>4.7619047620000003</v>
      </c>
      <c r="P665" s="2">
        <v>43.55</v>
      </c>
      <c r="Q665" s="2">
        <v>9.9</v>
      </c>
      <c r="R665" s="3" t="str">
        <f t="shared" si="22"/>
        <v>February</v>
      </c>
      <c r="S665" s="3">
        <f t="shared" si="21"/>
        <v>2</v>
      </c>
      <c r="T665" s="3" t="str">
        <f>IF(tbl_sales[[#This Row],[Sales]]&gt;=500,"High Value","Standard")</f>
        <v>High Value</v>
      </c>
      <c r="U665" s="1" t="str">
        <f>IF(tbl_sales[[#This Row],[Order Size]]="High Value","High Value Order","Standard Order")</f>
        <v>High Value Order</v>
      </c>
      <c r="V665" s="1"/>
      <c r="W665" s="17" t="s">
        <v>37</v>
      </c>
      <c r="X665" s="17"/>
      <c r="Y665" s="6"/>
      <c r="Z665" s="1"/>
    </row>
    <row r="666" spans="1:26">
      <c r="A666" s="3" t="s">
        <v>3801</v>
      </c>
      <c r="B666" s="3" t="s">
        <v>39</v>
      </c>
      <c r="C666" s="3" t="s">
        <v>40</v>
      </c>
      <c r="D666" s="3" t="s">
        <v>41</v>
      </c>
      <c r="E666" s="3" t="s">
        <v>25</v>
      </c>
      <c r="F666" s="3" t="s">
        <v>72</v>
      </c>
      <c r="G666" s="2">
        <v>98.8</v>
      </c>
      <c r="H666" s="2">
        <v>2</v>
      </c>
      <c r="I666" s="2">
        <v>9.8800000000000008</v>
      </c>
      <c r="J666" s="2">
        <v>207.48</v>
      </c>
      <c r="K666" s="5">
        <v>43517</v>
      </c>
      <c r="L666" s="4">
        <v>0.48541666666666666</v>
      </c>
      <c r="M666" s="3" t="s">
        <v>49</v>
      </c>
      <c r="N666" s="2">
        <v>197.6</v>
      </c>
      <c r="O666" s="2">
        <v>4.7619047620000003</v>
      </c>
      <c r="P666" s="2">
        <v>9.8800000000000008</v>
      </c>
      <c r="Q666" s="2">
        <v>7.7</v>
      </c>
      <c r="R666" s="3" t="str">
        <f t="shared" si="22"/>
        <v>February</v>
      </c>
      <c r="S666" s="3">
        <f t="shared" si="21"/>
        <v>2</v>
      </c>
      <c r="T666" s="3" t="str">
        <f>IF(tbl_sales[[#This Row],[Sales]]&gt;=500,"High Value","Standard")</f>
        <v>Standard</v>
      </c>
      <c r="U666" s="1" t="str">
        <f>IF(tbl_sales[[#This Row],[Order Size]]="High Value","High Value Order","Standard Order")</f>
        <v>Standard Order</v>
      </c>
      <c r="V666" s="1"/>
      <c r="W666" s="17" t="s">
        <v>37</v>
      </c>
      <c r="X666" s="17"/>
      <c r="Y666" s="6"/>
      <c r="Z666" s="1"/>
    </row>
    <row r="667" spans="1:26">
      <c r="A667" s="3" t="s">
        <v>3807</v>
      </c>
      <c r="B667" s="3" t="s">
        <v>22</v>
      </c>
      <c r="C667" s="3" t="s">
        <v>23</v>
      </c>
      <c r="D667" s="3" t="s">
        <v>41</v>
      </c>
      <c r="E667" s="3" t="s">
        <v>25</v>
      </c>
      <c r="F667" s="3" t="s">
        <v>127</v>
      </c>
      <c r="G667" s="2">
        <v>48.63</v>
      </c>
      <c r="H667" s="2">
        <v>4</v>
      </c>
      <c r="I667" s="2">
        <v>9.7260000000000009</v>
      </c>
      <c r="J667" s="2">
        <v>204.24600000000001</v>
      </c>
      <c r="K667" s="5">
        <v>43500</v>
      </c>
      <c r="L667" s="4">
        <v>0.65555555555555556</v>
      </c>
      <c r="M667" s="3" t="s">
        <v>33</v>
      </c>
      <c r="N667" s="2">
        <v>194.52</v>
      </c>
      <c r="O667" s="2">
        <v>4.7619047620000003</v>
      </c>
      <c r="P667" s="2">
        <v>9.7260000000000009</v>
      </c>
      <c r="Q667" s="2">
        <v>7.6</v>
      </c>
      <c r="R667" s="3" t="str">
        <f t="shared" si="22"/>
        <v>February</v>
      </c>
      <c r="S667" s="3">
        <f t="shared" si="21"/>
        <v>2</v>
      </c>
      <c r="T667" s="3" t="str">
        <f>IF(tbl_sales[[#This Row],[Sales]]&gt;=500,"High Value","Standard")</f>
        <v>Standard</v>
      </c>
      <c r="U667" s="1" t="str">
        <f>IF(tbl_sales[[#This Row],[Order Size]]="High Value","High Value Order","Standard Order")</f>
        <v>Standard Order</v>
      </c>
      <c r="V667" s="1"/>
      <c r="W667" s="17" t="s">
        <v>37</v>
      </c>
      <c r="X667" s="17"/>
      <c r="Y667" s="6"/>
      <c r="Z667" s="1"/>
    </row>
    <row r="668" spans="1:26">
      <c r="A668" s="3" t="s">
        <v>3812</v>
      </c>
      <c r="B668" s="3" t="s">
        <v>115</v>
      </c>
      <c r="C668" s="3" t="s">
        <v>116</v>
      </c>
      <c r="D668" s="3" t="s">
        <v>24</v>
      </c>
      <c r="E668" s="3" t="s">
        <v>992</v>
      </c>
      <c r="F668" s="3" t="s">
        <v>117</v>
      </c>
      <c r="G668" s="2">
        <v>57.74</v>
      </c>
      <c r="H668" s="2">
        <v>3</v>
      </c>
      <c r="I668" s="2">
        <v>8.6609999999999996</v>
      </c>
      <c r="J668" s="2">
        <v>181.881</v>
      </c>
      <c r="K668" s="5">
        <v>43516</v>
      </c>
      <c r="L668" s="4">
        <v>0.54583333333333328</v>
      </c>
      <c r="M668" s="3" t="s">
        <v>33</v>
      </c>
      <c r="N668" s="2">
        <v>173.22</v>
      </c>
      <c r="O668" s="2">
        <v>4.7619047620000003</v>
      </c>
      <c r="P668" s="2">
        <v>8.6609999999999996</v>
      </c>
      <c r="Q668" s="2">
        <v>7.7</v>
      </c>
      <c r="R668" s="3" t="str">
        <f t="shared" si="22"/>
        <v>February</v>
      </c>
      <c r="S668" s="3">
        <f t="shared" si="21"/>
        <v>2</v>
      </c>
      <c r="T668" s="3" t="str">
        <f>IF(tbl_sales[[#This Row],[Sales]]&gt;=500,"High Value","Standard")</f>
        <v>Standard</v>
      </c>
      <c r="U668" s="1" t="str">
        <f>IF(tbl_sales[[#This Row],[Order Size]]="High Value","High Value Order","Standard Order")</f>
        <v>Standard Order</v>
      </c>
      <c r="V668" s="1"/>
      <c r="W668" s="17" t="s">
        <v>37</v>
      </c>
      <c r="X668" s="17"/>
      <c r="Y668" s="6"/>
      <c r="Z668" s="1"/>
    </row>
    <row r="669" spans="1:26">
      <c r="A669" s="3" t="s">
        <v>3818</v>
      </c>
      <c r="B669" s="3" t="s">
        <v>115</v>
      </c>
      <c r="C669" s="3" t="s">
        <v>116</v>
      </c>
      <c r="D669" s="3" t="s">
        <v>41</v>
      </c>
      <c r="E669" s="3" t="s">
        <v>25</v>
      </c>
      <c r="F669" s="3" t="s">
        <v>26</v>
      </c>
      <c r="G669" s="2">
        <v>17.97</v>
      </c>
      <c r="H669" s="2">
        <v>4</v>
      </c>
      <c r="I669" s="2">
        <v>3.5939999999999999</v>
      </c>
      <c r="J669" s="2">
        <v>75.474000000000004</v>
      </c>
      <c r="K669" s="5">
        <v>43519</v>
      </c>
      <c r="L669" s="4">
        <v>0.86319444444444449</v>
      </c>
      <c r="M669" s="3" t="s">
        <v>33</v>
      </c>
      <c r="N669" s="2">
        <v>71.88</v>
      </c>
      <c r="O669" s="2">
        <v>4.7619047620000003</v>
      </c>
      <c r="P669" s="2">
        <v>3.5939999999999999</v>
      </c>
      <c r="Q669" s="2">
        <v>6.4</v>
      </c>
      <c r="R669" s="3" t="str">
        <f t="shared" si="22"/>
        <v>February</v>
      </c>
      <c r="S669" s="3">
        <f t="shared" si="21"/>
        <v>2</v>
      </c>
      <c r="T669" s="3" t="str">
        <f>IF(tbl_sales[[#This Row],[Sales]]&gt;=500,"High Value","Standard")</f>
        <v>Standard</v>
      </c>
      <c r="U669" s="1" t="str">
        <f>IF(tbl_sales[[#This Row],[Order Size]]="High Value","High Value Order","Standard Order")</f>
        <v>Standard Order</v>
      </c>
      <c r="V669" s="1"/>
      <c r="W669" s="17" t="s">
        <v>37</v>
      </c>
      <c r="X669" s="17"/>
      <c r="Y669" s="6"/>
      <c r="Z669" s="1"/>
    </row>
    <row r="670" spans="1:26">
      <c r="A670" s="3" t="s">
        <v>3824</v>
      </c>
      <c r="B670" s="3" t="s">
        <v>39</v>
      </c>
      <c r="C670" s="3" t="s">
        <v>40</v>
      </c>
      <c r="D670" s="3" t="s">
        <v>24</v>
      </c>
      <c r="E670" s="3" t="s">
        <v>25</v>
      </c>
      <c r="F670" s="3" t="s">
        <v>26</v>
      </c>
      <c r="G670" s="2">
        <v>47.71</v>
      </c>
      <c r="H670" s="2">
        <v>6</v>
      </c>
      <c r="I670" s="2">
        <v>14.313000000000001</v>
      </c>
      <c r="J670" s="2">
        <v>300.57299999999998</v>
      </c>
      <c r="K670" s="5">
        <v>43512</v>
      </c>
      <c r="L670" s="4">
        <v>0.59652777777777777</v>
      </c>
      <c r="M670" s="3" t="s">
        <v>33</v>
      </c>
      <c r="N670" s="2">
        <v>286.26</v>
      </c>
      <c r="O670" s="2">
        <v>4.7619047620000003</v>
      </c>
      <c r="P670" s="2">
        <v>14.313000000000001</v>
      </c>
      <c r="Q670" s="2">
        <v>4.4000000000000004</v>
      </c>
      <c r="R670" s="3" t="str">
        <f t="shared" si="22"/>
        <v>February</v>
      </c>
      <c r="S670" s="3">
        <f t="shared" si="21"/>
        <v>2</v>
      </c>
      <c r="T670" s="3" t="str">
        <f>IF(tbl_sales[[#This Row],[Sales]]&gt;=500,"High Value","Standard")</f>
        <v>Standard</v>
      </c>
      <c r="U670" s="1" t="str">
        <f>IF(tbl_sales[[#This Row],[Order Size]]="High Value","High Value Order","Standard Order")</f>
        <v>Standard Order</v>
      </c>
      <c r="V670" s="1"/>
      <c r="W670" s="17" t="s">
        <v>37</v>
      </c>
      <c r="X670" s="17"/>
      <c r="Y670" s="6"/>
      <c r="Z670" s="1"/>
    </row>
    <row r="671" spans="1:26">
      <c r="A671" s="3" t="s">
        <v>3829</v>
      </c>
      <c r="B671" s="3" t="s">
        <v>115</v>
      </c>
      <c r="C671" s="3" t="s">
        <v>116</v>
      </c>
      <c r="D671" s="3" t="s">
        <v>41</v>
      </c>
      <c r="E671" s="3" t="s">
        <v>25</v>
      </c>
      <c r="F671" s="3" t="s">
        <v>72</v>
      </c>
      <c r="G671" s="2">
        <v>40.619999999999997</v>
      </c>
      <c r="H671" s="2">
        <v>2</v>
      </c>
      <c r="I671" s="2">
        <v>4.0620000000000003</v>
      </c>
      <c r="J671" s="2">
        <v>85.302000000000007</v>
      </c>
      <c r="K671" s="5">
        <v>43482</v>
      </c>
      <c r="L671" s="4">
        <v>0.41736111111111113</v>
      </c>
      <c r="M671" s="3" t="s">
        <v>59</v>
      </c>
      <c r="N671" s="2">
        <v>81.239999999999995</v>
      </c>
      <c r="O671" s="2">
        <v>4.7619047620000003</v>
      </c>
      <c r="P671" s="2">
        <v>4.0620000000000003</v>
      </c>
      <c r="Q671" s="2">
        <v>4.0999999999999996</v>
      </c>
      <c r="R671" s="3" t="str">
        <f t="shared" si="22"/>
        <v>January</v>
      </c>
      <c r="S671" s="3">
        <f t="shared" si="21"/>
        <v>1</v>
      </c>
      <c r="T671" s="3" t="str">
        <f>IF(tbl_sales[[#This Row],[Sales]]&gt;=500,"High Value","Standard")</f>
        <v>Standard</v>
      </c>
      <c r="U671" s="1" t="str">
        <f>IF(tbl_sales[[#This Row],[Order Size]]="High Value","High Value Order","Standard Order")</f>
        <v>Standard Order</v>
      </c>
      <c r="V671" s="1"/>
      <c r="W671" s="17" t="s">
        <v>37</v>
      </c>
      <c r="X671" s="17"/>
      <c r="Y671" s="6"/>
      <c r="Z671" s="1"/>
    </row>
    <row r="672" spans="1:26">
      <c r="A672" s="3" t="s">
        <v>3834</v>
      </c>
      <c r="B672" s="3" t="s">
        <v>22</v>
      </c>
      <c r="C672" s="3" t="s">
        <v>23</v>
      </c>
      <c r="D672" s="3" t="s">
        <v>24</v>
      </c>
      <c r="E672" s="3" t="s">
        <v>992</v>
      </c>
      <c r="F672" s="3" t="s">
        <v>127</v>
      </c>
      <c r="G672" s="2">
        <v>56.04</v>
      </c>
      <c r="H672" s="2">
        <v>10</v>
      </c>
      <c r="I672" s="2">
        <v>28.02</v>
      </c>
      <c r="J672" s="2">
        <v>588.41999999999996</v>
      </c>
      <c r="K672" s="5">
        <v>43479</v>
      </c>
      <c r="L672" s="4">
        <v>0.8125</v>
      </c>
      <c r="M672" s="3" t="s">
        <v>33</v>
      </c>
      <c r="N672" s="2">
        <v>560.4</v>
      </c>
      <c r="O672" s="2">
        <v>4.7619047620000003</v>
      </c>
      <c r="P672" s="2">
        <v>28.02</v>
      </c>
      <c r="Q672" s="2">
        <v>4.4000000000000004</v>
      </c>
      <c r="R672" s="3" t="str">
        <f t="shared" si="22"/>
        <v>January</v>
      </c>
      <c r="S672" s="3">
        <f t="shared" si="21"/>
        <v>1</v>
      </c>
      <c r="T672" s="3" t="str">
        <f>IF(tbl_sales[[#This Row],[Sales]]&gt;=500,"High Value","Standard")</f>
        <v>High Value</v>
      </c>
      <c r="U672" s="1" t="str">
        <f>IF(tbl_sales[[#This Row],[Order Size]]="High Value","High Value Order","Standard Order")</f>
        <v>High Value Order</v>
      </c>
      <c r="V672" s="1"/>
      <c r="W672" s="17" t="s">
        <v>37</v>
      </c>
      <c r="X672" s="17"/>
      <c r="Y672" s="6"/>
      <c r="Z672" s="1"/>
    </row>
    <row r="673" spans="1:26">
      <c r="A673" s="3" t="s">
        <v>3839</v>
      </c>
      <c r="B673" s="3" t="s">
        <v>115</v>
      </c>
      <c r="C673" s="3" t="s">
        <v>116</v>
      </c>
      <c r="D673" s="3" t="s">
        <v>24</v>
      </c>
      <c r="E673" s="3" t="s">
        <v>992</v>
      </c>
      <c r="F673" s="3" t="s">
        <v>117</v>
      </c>
      <c r="G673" s="2">
        <v>93.4</v>
      </c>
      <c r="H673" s="2">
        <v>2</v>
      </c>
      <c r="I673" s="2">
        <v>9.34</v>
      </c>
      <c r="J673" s="2">
        <v>196.14</v>
      </c>
      <c r="K673" s="5">
        <v>43554</v>
      </c>
      <c r="L673" s="4">
        <v>0.69027777777777777</v>
      </c>
      <c r="M673" s="3" t="s">
        <v>49</v>
      </c>
      <c r="N673" s="2">
        <v>186.8</v>
      </c>
      <c r="O673" s="2">
        <v>4.7619047620000003</v>
      </c>
      <c r="P673" s="2">
        <v>9.34</v>
      </c>
      <c r="Q673" s="2">
        <v>5.5</v>
      </c>
      <c r="R673" s="3" t="str">
        <f t="shared" si="22"/>
        <v>March</v>
      </c>
      <c r="S673" s="3">
        <f t="shared" si="21"/>
        <v>3</v>
      </c>
      <c r="T673" s="3" t="str">
        <f>IF(tbl_sales[[#This Row],[Sales]]&gt;=500,"High Value","Standard")</f>
        <v>Standard</v>
      </c>
      <c r="U673" s="1" t="str">
        <f>IF(tbl_sales[[#This Row],[Order Size]]="High Value","High Value Order","Standard Order")</f>
        <v>Standard Order</v>
      </c>
      <c r="V673" s="1"/>
      <c r="W673" s="17" t="s">
        <v>37</v>
      </c>
      <c r="X673" s="17"/>
      <c r="Y673" s="6"/>
      <c r="Z673" s="1"/>
    </row>
    <row r="674" spans="1:26">
      <c r="A674" s="3" t="s">
        <v>3845</v>
      </c>
      <c r="B674" s="3" t="s">
        <v>115</v>
      </c>
      <c r="C674" s="3" t="s">
        <v>116</v>
      </c>
      <c r="D674" s="3" t="s">
        <v>41</v>
      </c>
      <c r="E674" s="3" t="s">
        <v>25</v>
      </c>
      <c r="F674" s="3" t="s">
        <v>26</v>
      </c>
      <c r="G674" s="2">
        <v>73.41</v>
      </c>
      <c r="H674" s="2">
        <v>3</v>
      </c>
      <c r="I674" s="2">
        <v>11.0115</v>
      </c>
      <c r="J674" s="2">
        <v>231.2415</v>
      </c>
      <c r="K674" s="5">
        <v>43526</v>
      </c>
      <c r="L674" s="4">
        <v>0.54861111111111116</v>
      </c>
      <c r="M674" s="3" t="s">
        <v>33</v>
      </c>
      <c r="N674" s="2">
        <v>220.23</v>
      </c>
      <c r="O674" s="2">
        <v>4.7619047620000003</v>
      </c>
      <c r="P674" s="2">
        <v>11.0115</v>
      </c>
      <c r="Q674" s="2">
        <v>4</v>
      </c>
      <c r="R674" s="3" t="str">
        <f t="shared" si="22"/>
        <v>March</v>
      </c>
      <c r="S674" s="3">
        <f t="shared" si="21"/>
        <v>3</v>
      </c>
      <c r="T674" s="3" t="str">
        <f>IF(tbl_sales[[#This Row],[Sales]]&gt;=500,"High Value","Standard")</f>
        <v>Standard</v>
      </c>
      <c r="U674" s="1" t="str">
        <f>IF(tbl_sales[[#This Row],[Order Size]]="High Value","High Value Order","Standard Order")</f>
        <v>Standard Order</v>
      </c>
      <c r="V674" s="1"/>
      <c r="W674" s="17" t="s">
        <v>37</v>
      </c>
      <c r="X674" s="17"/>
      <c r="Y674" s="6"/>
      <c r="Z674" s="1"/>
    </row>
    <row r="675" spans="1:26">
      <c r="A675" s="3" t="s">
        <v>3851</v>
      </c>
      <c r="B675" s="3" t="s">
        <v>39</v>
      </c>
      <c r="C675" s="3" t="s">
        <v>40</v>
      </c>
      <c r="D675" s="3" t="s">
        <v>41</v>
      </c>
      <c r="E675" s="3" t="s">
        <v>992</v>
      </c>
      <c r="F675" s="3" t="s">
        <v>26</v>
      </c>
      <c r="G675" s="2">
        <v>33.64</v>
      </c>
      <c r="H675" s="2">
        <v>8</v>
      </c>
      <c r="I675" s="2">
        <v>13.456</v>
      </c>
      <c r="J675" s="2">
        <v>282.57600000000002</v>
      </c>
      <c r="K675" s="5">
        <v>43511</v>
      </c>
      <c r="L675" s="4">
        <v>0.71527777777777779</v>
      </c>
      <c r="M675" s="3" t="s">
        <v>59</v>
      </c>
      <c r="N675" s="2">
        <v>269.12</v>
      </c>
      <c r="O675" s="2">
        <v>4.7619047620000003</v>
      </c>
      <c r="P675" s="2">
        <v>13.456</v>
      </c>
      <c r="Q675" s="2">
        <v>9.3000000000000007</v>
      </c>
      <c r="R675" s="3" t="str">
        <f t="shared" si="22"/>
        <v>February</v>
      </c>
      <c r="S675" s="3">
        <f t="shared" si="21"/>
        <v>2</v>
      </c>
      <c r="T675" s="3" t="str">
        <f>IF(tbl_sales[[#This Row],[Sales]]&gt;=500,"High Value","Standard")</f>
        <v>Standard</v>
      </c>
      <c r="U675" s="1" t="str">
        <f>IF(tbl_sales[[#This Row],[Order Size]]="High Value","High Value Order","Standard Order")</f>
        <v>Standard Order</v>
      </c>
      <c r="V675" s="1"/>
      <c r="W675" s="17" t="s">
        <v>37</v>
      </c>
      <c r="X675" s="17"/>
      <c r="Y675" s="6"/>
      <c r="Z675" s="1"/>
    </row>
    <row r="676" spans="1:26">
      <c r="A676" s="3" t="s">
        <v>3857</v>
      </c>
      <c r="B676" s="3" t="s">
        <v>22</v>
      </c>
      <c r="C676" s="3" t="s">
        <v>23</v>
      </c>
      <c r="D676" s="3" t="s">
        <v>41</v>
      </c>
      <c r="E676" s="3" t="s">
        <v>25</v>
      </c>
      <c r="F676" s="3" t="s">
        <v>42</v>
      </c>
      <c r="G676" s="2">
        <v>45.48</v>
      </c>
      <c r="H676" s="2">
        <v>10</v>
      </c>
      <c r="I676" s="2">
        <v>22.74</v>
      </c>
      <c r="J676" s="2">
        <v>477.54</v>
      </c>
      <c r="K676" s="5">
        <v>43525</v>
      </c>
      <c r="L676" s="4">
        <v>0.43194444444444446</v>
      </c>
      <c r="M676" s="3" t="s">
        <v>59</v>
      </c>
      <c r="N676" s="2">
        <v>454.8</v>
      </c>
      <c r="O676" s="2">
        <v>4.7619047620000003</v>
      </c>
      <c r="P676" s="2">
        <v>22.74</v>
      </c>
      <c r="Q676" s="2">
        <v>4.8</v>
      </c>
      <c r="R676" s="3" t="str">
        <f t="shared" si="22"/>
        <v>March</v>
      </c>
      <c r="S676" s="3">
        <f t="shared" si="21"/>
        <v>3</v>
      </c>
      <c r="T676" s="3" t="str">
        <f>IF(tbl_sales[[#This Row],[Sales]]&gt;=500,"High Value","Standard")</f>
        <v>Standard</v>
      </c>
      <c r="U676" s="1" t="str">
        <f>IF(tbl_sales[[#This Row],[Order Size]]="High Value","High Value Order","Standard Order")</f>
        <v>Standard Order</v>
      </c>
      <c r="V676" s="1"/>
      <c r="W676" s="17" t="s">
        <v>37</v>
      </c>
      <c r="X676" s="17"/>
      <c r="Y676" s="6"/>
      <c r="Z676" s="1"/>
    </row>
    <row r="677" spans="1:26">
      <c r="A677" s="3" t="s">
        <v>3863</v>
      </c>
      <c r="B677" s="3" t="s">
        <v>115</v>
      </c>
      <c r="C677" s="3" t="s">
        <v>116</v>
      </c>
      <c r="D677" s="3" t="s">
        <v>24</v>
      </c>
      <c r="E677" s="3" t="s">
        <v>992</v>
      </c>
      <c r="F677" s="3" t="s">
        <v>127</v>
      </c>
      <c r="G677" s="2">
        <v>83.77</v>
      </c>
      <c r="H677" s="2">
        <v>2</v>
      </c>
      <c r="I677" s="2">
        <v>8.3770000000000007</v>
      </c>
      <c r="J677" s="2">
        <v>175.917</v>
      </c>
      <c r="K677" s="5">
        <v>43520</v>
      </c>
      <c r="L677" s="4">
        <v>0.83125000000000004</v>
      </c>
      <c r="M677" s="3" t="s">
        <v>49</v>
      </c>
      <c r="N677" s="2">
        <v>167.54</v>
      </c>
      <c r="O677" s="2">
        <v>4.7619047620000003</v>
      </c>
      <c r="P677" s="2">
        <v>8.3770000000000007</v>
      </c>
      <c r="Q677" s="2">
        <v>4.5999999999999996</v>
      </c>
      <c r="R677" s="3" t="str">
        <f t="shared" si="22"/>
        <v>February</v>
      </c>
      <c r="S677" s="3">
        <f t="shared" si="21"/>
        <v>2</v>
      </c>
      <c r="T677" s="3" t="str">
        <f>IF(tbl_sales[[#This Row],[Sales]]&gt;=500,"High Value","Standard")</f>
        <v>Standard</v>
      </c>
      <c r="U677" s="1" t="str">
        <f>IF(tbl_sales[[#This Row],[Order Size]]="High Value","High Value Order","Standard Order")</f>
        <v>Standard Order</v>
      </c>
      <c r="V677" s="1"/>
      <c r="W677" s="17" t="s">
        <v>37</v>
      </c>
      <c r="X677" s="17"/>
      <c r="Y677" s="6"/>
      <c r="Z677" s="1"/>
    </row>
    <row r="678" spans="1:26">
      <c r="A678" s="3" t="s">
        <v>3864</v>
      </c>
      <c r="B678" s="3" t="s">
        <v>115</v>
      </c>
      <c r="C678" s="3" t="s">
        <v>116</v>
      </c>
      <c r="D678" s="3" t="s">
        <v>24</v>
      </c>
      <c r="E678" s="3" t="s">
        <v>25</v>
      </c>
      <c r="F678" s="3" t="s">
        <v>72</v>
      </c>
      <c r="G678" s="2">
        <v>64.08</v>
      </c>
      <c r="H678" s="2">
        <v>7</v>
      </c>
      <c r="I678" s="2">
        <v>22.428000000000001</v>
      </c>
      <c r="J678" s="2">
        <v>470.988</v>
      </c>
      <c r="K678" s="5">
        <v>43515</v>
      </c>
      <c r="L678" s="4">
        <v>0.81180555555555556</v>
      </c>
      <c r="M678" s="3" t="s">
        <v>59</v>
      </c>
      <c r="N678" s="2">
        <v>448.56</v>
      </c>
      <c r="O678" s="2">
        <v>4.7619047620000003</v>
      </c>
      <c r="P678" s="2">
        <v>22.428000000000001</v>
      </c>
      <c r="Q678" s="2">
        <v>7.3</v>
      </c>
      <c r="R678" s="3" t="str">
        <f t="shared" si="22"/>
        <v>February</v>
      </c>
      <c r="S678" s="3">
        <f t="shared" si="21"/>
        <v>2</v>
      </c>
      <c r="T678" s="3" t="str">
        <f>IF(tbl_sales[[#This Row],[Sales]]&gt;=500,"High Value","Standard")</f>
        <v>Standard</v>
      </c>
      <c r="U678" s="1" t="str">
        <f>IF(tbl_sales[[#This Row],[Order Size]]="High Value","High Value Order","Standard Order")</f>
        <v>Standard Order</v>
      </c>
      <c r="V678" s="1"/>
      <c r="W678" s="17" t="s">
        <v>37</v>
      </c>
      <c r="X678" s="17"/>
      <c r="Y678" s="6"/>
      <c r="Z678" s="1"/>
    </row>
    <row r="679" spans="1:26">
      <c r="A679" s="3" t="s">
        <v>3870</v>
      </c>
      <c r="B679" s="3" t="s">
        <v>22</v>
      </c>
      <c r="C679" s="3" t="s">
        <v>23</v>
      </c>
      <c r="D679" s="3" t="s">
        <v>24</v>
      </c>
      <c r="E679" s="3" t="s">
        <v>25</v>
      </c>
      <c r="F679" s="3" t="s">
        <v>117</v>
      </c>
      <c r="G679" s="2">
        <v>73.47</v>
      </c>
      <c r="H679" s="2">
        <v>4</v>
      </c>
      <c r="I679" s="2">
        <v>14.694000000000001</v>
      </c>
      <c r="J679" s="2">
        <v>308.57400000000001</v>
      </c>
      <c r="K679" s="5">
        <v>43519</v>
      </c>
      <c r="L679" s="4">
        <v>0.77083333333333337</v>
      </c>
      <c r="M679" s="3" t="s">
        <v>49</v>
      </c>
      <c r="N679" s="2">
        <v>293.88</v>
      </c>
      <c r="O679" s="2">
        <v>4.7619047620000003</v>
      </c>
      <c r="P679" s="2">
        <v>14.694000000000001</v>
      </c>
      <c r="Q679" s="2">
        <v>6</v>
      </c>
      <c r="R679" s="3" t="str">
        <f t="shared" si="22"/>
        <v>February</v>
      </c>
      <c r="S679" s="3">
        <f t="shared" si="21"/>
        <v>2</v>
      </c>
      <c r="T679" s="3" t="str">
        <f>IF(tbl_sales[[#This Row],[Sales]]&gt;=500,"High Value","Standard")</f>
        <v>Standard</v>
      </c>
      <c r="U679" s="1" t="str">
        <f>IF(tbl_sales[[#This Row],[Order Size]]="High Value","High Value Order","Standard Order")</f>
        <v>Standard Order</v>
      </c>
      <c r="V679" s="1"/>
      <c r="W679" s="17" t="s">
        <v>37</v>
      </c>
      <c r="X679" s="17"/>
      <c r="Y679" s="6"/>
      <c r="Z679" s="1"/>
    </row>
    <row r="680" spans="1:26">
      <c r="A680" s="3" t="s">
        <v>3875</v>
      </c>
      <c r="B680" s="3" t="s">
        <v>39</v>
      </c>
      <c r="C680" s="3" t="s">
        <v>40</v>
      </c>
      <c r="D680" s="3" t="s">
        <v>41</v>
      </c>
      <c r="E680" s="3" t="s">
        <v>992</v>
      </c>
      <c r="F680" s="3" t="s">
        <v>26</v>
      </c>
      <c r="G680" s="2">
        <v>58.95</v>
      </c>
      <c r="H680" s="2">
        <v>10</v>
      </c>
      <c r="I680" s="2">
        <v>29.475000000000001</v>
      </c>
      <c r="J680" s="2">
        <v>618.97500000000002</v>
      </c>
      <c r="K680" s="5">
        <v>43503</v>
      </c>
      <c r="L680" s="4">
        <v>0.6020833333333333</v>
      </c>
      <c r="M680" s="3" t="s">
        <v>33</v>
      </c>
      <c r="N680" s="2">
        <v>589.5</v>
      </c>
      <c r="O680" s="2">
        <v>4.7619047620000003</v>
      </c>
      <c r="P680" s="2">
        <v>29.475000000000001</v>
      </c>
      <c r="Q680" s="2">
        <v>8.1</v>
      </c>
      <c r="R680" s="3" t="str">
        <f t="shared" si="22"/>
        <v>February</v>
      </c>
      <c r="S680" s="3">
        <f t="shared" si="21"/>
        <v>2</v>
      </c>
      <c r="T680" s="3" t="str">
        <f>IF(tbl_sales[[#This Row],[Sales]]&gt;=500,"High Value","Standard")</f>
        <v>High Value</v>
      </c>
      <c r="U680" s="1" t="str">
        <f>IF(tbl_sales[[#This Row],[Order Size]]="High Value","High Value Order","Standard Order")</f>
        <v>High Value Order</v>
      </c>
      <c r="V680" s="1"/>
      <c r="W680" s="17" t="s">
        <v>37</v>
      </c>
      <c r="X680" s="17"/>
      <c r="Y680" s="6"/>
      <c r="Z680" s="1"/>
    </row>
    <row r="681" spans="1:26">
      <c r="A681" s="3" t="s">
        <v>3881</v>
      </c>
      <c r="B681" s="3" t="s">
        <v>22</v>
      </c>
      <c r="C681" s="3" t="s">
        <v>23</v>
      </c>
      <c r="D681" s="3" t="s">
        <v>24</v>
      </c>
      <c r="E681" s="3" t="s">
        <v>992</v>
      </c>
      <c r="F681" s="3" t="s">
        <v>117</v>
      </c>
      <c r="G681" s="2">
        <v>48.5</v>
      </c>
      <c r="H681" s="2">
        <v>6</v>
      </c>
      <c r="I681" s="2">
        <v>14.55</v>
      </c>
      <c r="J681" s="2">
        <v>305.55</v>
      </c>
      <c r="K681" s="5">
        <v>43476</v>
      </c>
      <c r="L681" s="4">
        <v>0.58125000000000004</v>
      </c>
      <c r="M681" s="3" t="s">
        <v>33</v>
      </c>
      <c r="N681" s="2">
        <v>291</v>
      </c>
      <c r="O681" s="2">
        <v>4.7619047620000003</v>
      </c>
      <c r="P681" s="2">
        <v>14.55</v>
      </c>
      <c r="Q681" s="2">
        <v>9.4</v>
      </c>
      <c r="R681" s="3" t="str">
        <f t="shared" si="22"/>
        <v>January</v>
      </c>
      <c r="S681" s="3">
        <f t="shared" si="21"/>
        <v>1</v>
      </c>
      <c r="T681" s="3" t="str">
        <f>IF(tbl_sales[[#This Row],[Sales]]&gt;=500,"High Value","Standard")</f>
        <v>Standard</v>
      </c>
      <c r="U681" s="1" t="str">
        <f>IF(tbl_sales[[#This Row],[Order Size]]="High Value","High Value Order","Standard Order")</f>
        <v>Standard Order</v>
      </c>
      <c r="V681" s="1"/>
      <c r="W681" s="17" t="s">
        <v>37</v>
      </c>
      <c r="X681" s="17"/>
      <c r="Y681" s="6"/>
      <c r="Z681" s="1"/>
    </row>
    <row r="682" spans="1:26">
      <c r="A682" s="3" t="s">
        <v>3885</v>
      </c>
      <c r="B682" s="3" t="s">
        <v>115</v>
      </c>
      <c r="C682" s="3" t="s">
        <v>116</v>
      </c>
      <c r="D682" s="3" t="s">
        <v>24</v>
      </c>
      <c r="E682" s="3" t="s">
        <v>25</v>
      </c>
      <c r="F682" s="3" t="s">
        <v>42</v>
      </c>
      <c r="G682" s="2">
        <v>39.479999999999997</v>
      </c>
      <c r="H682" s="2">
        <v>1</v>
      </c>
      <c r="I682" s="2">
        <v>1.974</v>
      </c>
      <c r="J682" s="2">
        <v>41.454000000000001</v>
      </c>
      <c r="K682" s="5">
        <v>43508</v>
      </c>
      <c r="L682" s="4">
        <v>0.82152777777777775</v>
      </c>
      <c r="M682" s="3" t="s">
        <v>49</v>
      </c>
      <c r="N682" s="2">
        <v>39.479999999999997</v>
      </c>
      <c r="O682" s="2">
        <v>4.7619047620000003</v>
      </c>
      <c r="P682" s="2">
        <v>1.974</v>
      </c>
      <c r="Q682" s="2">
        <v>6.5</v>
      </c>
      <c r="R682" s="3" t="str">
        <f t="shared" si="22"/>
        <v>February</v>
      </c>
      <c r="S682" s="3">
        <f t="shared" si="21"/>
        <v>2</v>
      </c>
      <c r="T682" s="3" t="str">
        <f>IF(tbl_sales[[#This Row],[Sales]]&gt;=500,"High Value","Standard")</f>
        <v>Standard</v>
      </c>
      <c r="U682" s="1" t="str">
        <f>IF(tbl_sales[[#This Row],[Order Size]]="High Value","High Value Order","Standard Order")</f>
        <v>Standard Order</v>
      </c>
      <c r="V682" s="1"/>
      <c r="W682" s="17" t="s">
        <v>37</v>
      </c>
      <c r="X682" s="17"/>
      <c r="Y682" s="6"/>
      <c r="Z682" s="1"/>
    </row>
    <row r="683" spans="1:26">
      <c r="A683" s="3" t="s">
        <v>3888</v>
      </c>
      <c r="B683" s="3" t="s">
        <v>115</v>
      </c>
      <c r="C683" s="3" t="s">
        <v>116</v>
      </c>
      <c r="D683" s="3" t="s">
        <v>41</v>
      </c>
      <c r="E683" s="3" t="s">
        <v>25</v>
      </c>
      <c r="F683" s="3" t="s">
        <v>72</v>
      </c>
      <c r="G683" s="2">
        <v>34.81</v>
      </c>
      <c r="H683" s="2">
        <v>1</v>
      </c>
      <c r="I683" s="2">
        <v>1.7404999999999999</v>
      </c>
      <c r="J683" s="2">
        <v>36.5505</v>
      </c>
      <c r="K683" s="5">
        <v>43479</v>
      </c>
      <c r="L683" s="4">
        <v>0.42430555555555555</v>
      </c>
      <c r="M683" s="3" t="s">
        <v>59</v>
      </c>
      <c r="N683" s="2">
        <v>34.81</v>
      </c>
      <c r="O683" s="2">
        <v>4.7619047620000003</v>
      </c>
      <c r="P683" s="2">
        <v>1.7404999999999999</v>
      </c>
      <c r="Q683" s="2">
        <v>7</v>
      </c>
      <c r="R683" s="3" t="str">
        <f t="shared" si="22"/>
        <v>January</v>
      </c>
      <c r="S683" s="3">
        <f t="shared" si="21"/>
        <v>1</v>
      </c>
      <c r="T683" s="3" t="str">
        <f>IF(tbl_sales[[#This Row],[Sales]]&gt;=500,"High Value","Standard")</f>
        <v>Standard</v>
      </c>
      <c r="U683" s="1" t="str">
        <f>IF(tbl_sales[[#This Row],[Order Size]]="High Value","High Value Order","Standard Order")</f>
        <v>Standard Order</v>
      </c>
      <c r="V683" s="1"/>
      <c r="W683" s="17" t="s">
        <v>37</v>
      </c>
      <c r="X683" s="17"/>
      <c r="Y683" s="6"/>
      <c r="Z683" s="1"/>
    </row>
    <row r="684" spans="1:26">
      <c r="A684" s="3" t="s">
        <v>3892</v>
      </c>
      <c r="B684" s="3" t="s">
        <v>39</v>
      </c>
      <c r="C684" s="3" t="s">
        <v>40</v>
      </c>
      <c r="D684" s="3" t="s">
        <v>41</v>
      </c>
      <c r="E684" s="3" t="s">
        <v>25</v>
      </c>
      <c r="F684" s="3" t="s">
        <v>127</v>
      </c>
      <c r="G684" s="2">
        <v>49.32</v>
      </c>
      <c r="H684" s="2">
        <v>6</v>
      </c>
      <c r="I684" s="2">
        <v>14.795999999999999</v>
      </c>
      <c r="J684" s="2">
        <v>310.71600000000001</v>
      </c>
      <c r="K684" s="5">
        <v>43474</v>
      </c>
      <c r="L684" s="4">
        <v>0.57361111111111107</v>
      </c>
      <c r="M684" s="3" t="s">
        <v>33</v>
      </c>
      <c r="N684" s="2">
        <v>295.92</v>
      </c>
      <c r="O684" s="2">
        <v>4.7619047620000003</v>
      </c>
      <c r="P684" s="2">
        <v>14.795999999999999</v>
      </c>
      <c r="Q684" s="2">
        <v>7.1</v>
      </c>
      <c r="R684" s="3" t="str">
        <f t="shared" si="22"/>
        <v>January</v>
      </c>
      <c r="S684" s="3">
        <f t="shared" si="21"/>
        <v>1</v>
      </c>
      <c r="T684" s="3" t="str">
        <f>IF(tbl_sales[[#This Row],[Sales]]&gt;=500,"High Value","Standard")</f>
        <v>Standard</v>
      </c>
      <c r="U684" s="1" t="str">
        <f>IF(tbl_sales[[#This Row],[Order Size]]="High Value","High Value Order","Standard Order")</f>
        <v>Standard Order</v>
      </c>
      <c r="V684" s="1"/>
      <c r="W684" s="17" t="s">
        <v>37</v>
      </c>
      <c r="X684" s="17"/>
      <c r="Y684" s="6"/>
      <c r="Z684" s="1"/>
    </row>
    <row r="685" spans="1:26">
      <c r="A685" s="3" t="s">
        <v>3897</v>
      </c>
      <c r="B685" s="3" t="s">
        <v>22</v>
      </c>
      <c r="C685" s="3" t="s">
        <v>23</v>
      </c>
      <c r="D685" s="3" t="s">
        <v>24</v>
      </c>
      <c r="E685" s="3" t="s">
        <v>992</v>
      </c>
      <c r="F685" s="3" t="s">
        <v>127</v>
      </c>
      <c r="G685" s="2">
        <v>21.48</v>
      </c>
      <c r="H685" s="2">
        <v>2</v>
      </c>
      <c r="I685" s="2">
        <v>2.1480000000000001</v>
      </c>
      <c r="J685" s="2">
        <v>45.107999999999997</v>
      </c>
      <c r="K685" s="5">
        <v>43523</v>
      </c>
      <c r="L685" s="4">
        <v>0.51527777777777772</v>
      </c>
      <c r="M685" s="3" t="s">
        <v>33</v>
      </c>
      <c r="N685" s="2">
        <v>42.96</v>
      </c>
      <c r="O685" s="2">
        <v>4.7619047620000003</v>
      </c>
      <c r="P685" s="2">
        <v>2.1480000000000001</v>
      </c>
      <c r="Q685" s="2">
        <v>6.6</v>
      </c>
      <c r="R685" s="3" t="str">
        <f t="shared" si="22"/>
        <v>February</v>
      </c>
      <c r="S685" s="3">
        <f t="shared" si="21"/>
        <v>2</v>
      </c>
      <c r="T685" s="3" t="str">
        <f>IF(tbl_sales[[#This Row],[Sales]]&gt;=500,"High Value","Standard")</f>
        <v>Standard</v>
      </c>
      <c r="U685" s="1" t="str">
        <f>IF(tbl_sales[[#This Row],[Order Size]]="High Value","High Value Order","Standard Order")</f>
        <v>Standard Order</v>
      </c>
      <c r="V685" s="1"/>
      <c r="W685" s="17" t="s">
        <v>37</v>
      </c>
      <c r="X685" s="17"/>
      <c r="Y685" s="6"/>
      <c r="Z685" s="1"/>
    </row>
    <row r="686" spans="1:26">
      <c r="A686" s="3" t="s">
        <v>3903</v>
      </c>
      <c r="B686" s="3" t="s">
        <v>115</v>
      </c>
      <c r="C686" s="3" t="s">
        <v>116</v>
      </c>
      <c r="D686" s="3" t="s">
        <v>24</v>
      </c>
      <c r="E686" s="3" t="s">
        <v>25</v>
      </c>
      <c r="F686" s="3" t="s">
        <v>72</v>
      </c>
      <c r="G686" s="2">
        <v>23.08</v>
      </c>
      <c r="H686" s="2">
        <v>6</v>
      </c>
      <c r="I686" s="2">
        <v>6.9240000000000004</v>
      </c>
      <c r="J686" s="2">
        <v>145.404</v>
      </c>
      <c r="K686" s="5">
        <v>43489</v>
      </c>
      <c r="L686" s="4">
        <v>0.80555555555555558</v>
      </c>
      <c r="M686" s="3" t="s">
        <v>33</v>
      </c>
      <c r="N686" s="2">
        <v>138.47999999999999</v>
      </c>
      <c r="O686" s="2">
        <v>4.7619047620000003</v>
      </c>
      <c r="P686" s="2">
        <v>6.9240000000000004</v>
      </c>
      <c r="Q686" s="2">
        <v>4.9000000000000004</v>
      </c>
      <c r="R686" s="3" t="str">
        <f t="shared" si="22"/>
        <v>January</v>
      </c>
      <c r="S686" s="3">
        <f t="shared" si="21"/>
        <v>1</v>
      </c>
      <c r="T686" s="3" t="str">
        <f>IF(tbl_sales[[#This Row],[Sales]]&gt;=500,"High Value","Standard")</f>
        <v>Standard</v>
      </c>
      <c r="U686" s="1" t="str">
        <f>IF(tbl_sales[[#This Row],[Order Size]]="High Value","High Value Order","Standard Order")</f>
        <v>Standard Order</v>
      </c>
      <c r="V686" s="1"/>
      <c r="W686" s="17" t="s">
        <v>37</v>
      </c>
      <c r="X686" s="17"/>
      <c r="Y686" s="6"/>
      <c r="Z686" s="1"/>
    </row>
    <row r="687" spans="1:26">
      <c r="A687" s="3" t="s">
        <v>3908</v>
      </c>
      <c r="B687" s="3" t="s">
        <v>115</v>
      </c>
      <c r="C687" s="3" t="s">
        <v>116</v>
      </c>
      <c r="D687" s="3" t="s">
        <v>24</v>
      </c>
      <c r="E687" s="3" t="s">
        <v>25</v>
      </c>
      <c r="F687" s="3" t="s">
        <v>53</v>
      </c>
      <c r="G687" s="2">
        <v>49.1</v>
      </c>
      <c r="H687" s="2">
        <v>2</v>
      </c>
      <c r="I687" s="2">
        <v>4.91</v>
      </c>
      <c r="J687" s="2">
        <v>103.11</v>
      </c>
      <c r="K687" s="5">
        <v>43473</v>
      </c>
      <c r="L687" s="4">
        <v>0.54027777777777775</v>
      </c>
      <c r="M687" s="3" t="s">
        <v>59</v>
      </c>
      <c r="N687" s="2">
        <v>98.2</v>
      </c>
      <c r="O687" s="2">
        <v>4.7619047620000003</v>
      </c>
      <c r="P687" s="2">
        <v>4.91</v>
      </c>
      <c r="Q687" s="2">
        <v>6.4</v>
      </c>
      <c r="R687" s="3" t="str">
        <f t="shared" si="22"/>
        <v>January</v>
      </c>
      <c r="S687" s="3">
        <f t="shared" si="21"/>
        <v>1</v>
      </c>
      <c r="T687" s="3" t="str">
        <f>IF(tbl_sales[[#This Row],[Sales]]&gt;=500,"High Value","Standard")</f>
        <v>Standard</v>
      </c>
      <c r="U687" s="1" t="str">
        <f>IF(tbl_sales[[#This Row],[Order Size]]="High Value","High Value Order","Standard Order")</f>
        <v>Standard Order</v>
      </c>
      <c r="V687" s="1"/>
      <c r="W687" s="17" t="s">
        <v>37</v>
      </c>
      <c r="X687" s="17"/>
      <c r="Y687" s="6"/>
      <c r="Z687" s="1"/>
    </row>
    <row r="688" spans="1:26">
      <c r="A688" s="3" t="s">
        <v>3913</v>
      </c>
      <c r="B688" s="3" t="s">
        <v>115</v>
      </c>
      <c r="C688" s="3" t="s">
        <v>116</v>
      </c>
      <c r="D688" s="3" t="s">
        <v>24</v>
      </c>
      <c r="E688" s="3" t="s">
        <v>25</v>
      </c>
      <c r="F688" s="3" t="s">
        <v>72</v>
      </c>
      <c r="G688" s="2">
        <v>64.83</v>
      </c>
      <c r="H688" s="2">
        <v>2</v>
      </c>
      <c r="I688" s="2">
        <v>6.4829999999999997</v>
      </c>
      <c r="J688" s="2">
        <v>136.143</v>
      </c>
      <c r="K688" s="5">
        <v>43473</v>
      </c>
      <c r="L688" s="4">
        <v>0.49930555555555556</v>
      </c>
      <c r="M688" s="3" t="s">
        <v>59</v>
      </c>
      <c r="N688" s="2">
        <v>129.66</v>
      </c>
      <c r="O688" s="2">
        <v>4.7619047620000003</v>
      </c>
      <c r="P688" s="2">
        <v>6.4829999999999997</v>
      </c>
      <c r="Q688" s="2">
        <v>8</v>
      </c>
      <c r="R688" s="3" t="str">
        <f t="shared" si="22"/>
        <v>January</v>
      </c>
      <c r="S688" s="3">
        <f t="shared" si="21"/>
        <v>1</v>
      </c>
      <c r="T688" s="3" t="str">
        <f>IF(tbl_sales[[#This Row],[Sales]]&gt;=500,"High Value","Standard")</f>
        <v>Standard</v>
      </c>
      <c r="U688" s="1" t="str">
        <f>IF(tbl_sales[[#This Row],[Order Size]]="High Value","High Value Order","Standard Order")</f>
        <v>Standard Order</v>
      </c>
      <c r="V688" s="1"/>
      <c r="W688" s="17" t="s">
        <v>37</v>
      </c>
      <c r="X688" s="17"/>
      <c r="Y688" s="6"/>
      <c r="Z688" s="1"/>
    </row>
    <row r="689" spans="1:26">
      <c r="A689" s="3" t="s">
        <v>3919</v>
      </c>
      <c r="B689" s="3" t="s">
        <v>22</v>
      </c>
      <c r="C689" s="3" t="s">
        <v>23</v>
      </c>
      <c r="D689" s="3" t="s">
        <v>24</v>
      </c>
      <c r="E689" s="3" t="s">
        <v>992</v>
      </c>
      <c r="F689" s="3" t="s">
        <v>53</v>
      </c>
      <c r="G689" s="2">
        <v>63.56</v>
      </c>
      <c r="H689" s="2">
        <v>10</v>
      </c>
      <c r="I689" s="2">
        <v>31.78</v>
      </c>
      <c r="J689" s="2">
        <v>667.38</v>
      </c>
      <c r="K689" s="5">
        <v>43481</v>
      </c>
      <c r="L689" s="4">
        <v>0.74930555555555556</v>
      </c>
      <c r="M689" s="3" t="s">
        <v>49</v>
      </c>
      <c r="N689" s="2">
        <v>635.6</v>
      </c>
      <c r="O689" s="2">
        <v>4.7619047620000003</v>
      </c>
      <c r="P689" s="2">
        <v>31.78</v>
      </c>
      <c r="Q689" s="2">
        <v>4.3</v>
      </c>
      <c r="R689" s="3" t="str">
        <f t="shared" si="22"/>
        <v>January</v>
      </c>
      <c r="S689" s="3">
        <f t="shared" si="21"/>
        <v>1</v>
      </c>
      <c r="T689" s="3" t="str">
        <f>IF(tbl_sales[[#This Row],[Sales]]&gt;=500,"High Value","Standard")</f>
        <v>High Value</v>
      </c>
      <c r="U689" s="1" t="str">
        <f>IF(tbl_sales[[#This Row],[Order Size]]="High Value","High Value Order","Standard Order")</f>
        <v>High Value Order</v>
      </c>
      <c r="V689" s="1"/>
      <c r="W689" s="17" t="s">
        <v>37</v>
      </c>
      <c r="X689" s="17"/>
      <c r="Y689" s="6"/>
      <c r="Z689" s="1"/>
    </row>
    <row r="690" spans="1:26">
      <c r="A690" s="3" t="s">
        <v>3925</v>
      </c>
      <c r="B690" s="3" t="s">
        <v>39</v>
      </c>
      <c r="C690" s="3" t="s">
        <v>40</v>
      </c>
      <c r="D690" s="3" t="s">
        <v>24</v>
      </c>
      <c r="E690" s="3" t="s">
        <v>992</v>
      </c>
      <c r="F690" s="3" t="s">
        <v>72</v>
      </c>
      <c r="G690" s="2">
        <v>72.88</v>
      </c>
      <c r="H690" s="2">
        <v>2</v>
      </c>
      <c r="I690" s="2">
        <v>7.2880000000000003</v>
      </c>
      <c r="J690" s="2">
        <v>153.048</v>
      </c>
      <c r="K690" s="5">
        <v>43537</v>
      </c>
      <c r="L690" s="4">
        <v>0.53541666666666665</v>
      </c>
      <c r="M690" s="3" t="s">
        <v>49</v>
      </c>
      <c r="N690" s="2">
        <v>145.76</v>
      </c>
      <c r="O690" s="2">
        <v>4.7619047620000003</v>
      </c>
      <c r="P690" s="2">
        <v>7.2880000000000003</v>
      </c>
      <c r="Q690" s="2">
        <v>6.1</v>
      </c>
      <c r="R690" s="3" t="str">
        <f t="shared" si="22"/>
        <v>March</v>
      </c>
      <c r="S690" s="3">
        <f t="shared" si="21"/>
        <v>3</v>
      </c>
      <c r="T690" s="3" t="str">
        <f>IF(tbl_sales[[#This Row],[Sales]]&gt;=500,"High Value","Standard")</f>
        <v>Standard</v>
      </c>
      <c r="U690" s="1" t="str">
        <f>IF(tbl_sales[[#This Row],[Order Size]]="High Value","High Value Order","Standard Order")</f>
        <v>Standard Order</v>
      </c>
      <c r="V690" s="1"/>
      <c r="W690" s="17" t="s">
        <v>37</v>
      </c>
      <c r="X690" s="17"/>
      <c r="Y690" s="6"/>
      <c r="Z690" s="1"/>
    </row>
    <row r="691" spans="1:26">
      <c r="A691" s="3" t="s">
        <v>3931</v>
      </c>
      <c r="B691" s="3" t="s">
        <v>22</v>
      </c>
      <c r="C691" s="3" t="s">
        <v>23</v>
      </c>
      <c r="D691" s="3" t="s">
        <v>41</v>
      </c>
      <c r="E691" s="3" t="s">
        <v>25</v>
      </c>
      <c r="F691" s="3" t="s">
        <v>117</v>
      </c>
      <c r="G691" s="2">
        <v>67.099999999999994</v>
      </c>
      <c r="H691" s="2">
        <v>3</v>
      </c>
      <c r="I691" s="2">
        <v>10.065</v>
      </c>
      <c r="J691" s="2">
        <v>211.36500000000001</v>
      </c>
      <c r="K691" s="5">
        <v>43511</v>
      </c>
      <c r="L691" s="4">
        <v>0.44166666666666665</v>
      </c>
      <c r="M691" s="3" t="s">
        <v>49</v>
      </c>
      <c r="N691" s="2">
        <v>201.3</v>
      </c>
      <c r="O691" s="2">
        <v>4.7619047620000003</v>
      </c>
      <c r="P691" s="2">
        <v>10.065</v>
      </c>
      <c r="Q691" s="2">
        <v>7.5</v>
      </c>
      <c r="R691" s="3" t="str">
        <f t="shared" si="22"/>
        <v>February</v>
      </c>
      <c r="S691" s="3">
        <f t="shared" si="21"/>
        <v>2</v>
      </c>
      <c r="T691" s="3" t="str">
        <f>IF(tbl_sales[[#This Row],[Sales]]&gt;=500,"High Value","Standard")</f>
        <v>Standard</v>
      </c>
      <c r="U691" s="1" t="str">
        <f>IF(tbl_sales[[#This Row],[Order Size]]="High Value","High Value Order","Standard Order")</f>
        <v>Standard Order</v>
      </c>
      <c r="V691" s="1"/>
      <c r="W691" s="17" t="s">
        <v>37</v>
      </c>
      <c r="X691" s="17"/>
      <c r="Y691" s="6"/>
      <c r="Z691" s="1"/>
    </row>
    <row r="692" spans="1:26">
      <c r="A692" s="3" t="s">
        <v>3936</v>
      </c>
      <c r="B692" s="3" t="s">
        <v>39</v>
      </c>
      <c r="C692" s="3" t="s">
        <v>40</v>
      </c>
      <c r="D692" s="3" t="s">
        <v>24</v>
      </c>
      <c r="E692" s="3" t="s">
        <v>25</v>
      </c>
      <c r="F692" s="3" t="s">
        <v>72</v>
      </c>
      <c r="G692" s="2">
        <v>70.19</v>
      </c>
      <c r="H692" s="2">
        <v>9</v>
      </c>
      <c r="I692" s="2">
        <v>31.5855</v>
      </c>
      <c r="J692" s="2">
        <v>663.29549999999995</v>
      </c>
      <c r="K692" s="5">
        <v>43490</v>
      </c>
      <c r="L692" s="4">
        <v>0.56805555555555554</v>
      </c>
      <c r="M692" s="3" t="s">
        <v>49</v>
      </c>
      <c r="N692" s="2">
        <v>631.71</v>
      </c>
      <c r="O692" s="2">
        <v>4.7619047620000003</v>
      </c>
      <c r="P692" s="2">
        <v>31.5855</v>
      </c>
      <c r="Q692" s="2">
        <v>6.7</v>
      </c>
      <c r="R692" s="3" t="str">
        <f t="shared" si="22"/>
        <v>January</v>
      </c>
      <c r="S692" s="3">
        <f t="shared" si="21"/>
        <v>1</v>
      </c>
      <c r="T692" s="3" t="str">
        <f>IF(tbl_sales[[#This Row],[Sales]]&gt;=500,"High Value","Standard")</f>
        <v>High Value</v>
      </c>
      <c r="U692" s="1" t="str">
        <f>IF(tbl_sales[[#This Row],[Order Size]]="High Value","High Value Order","Standard Order")</f>
        <v>High Value Order</v>
      </c>
      <c r="V692" s="1"/>
      <c r="W692" s="17" t="s">
        <v>37</v>
      </c>
      <c r="X692" s="17"/>
      <c r="Y692" s="6"/>
      <c r="Z692" s="1"/>
    </row>
    <row r="693" spans="1:26">
      <c r="A693" s="3" t="s">
        <v>3941</v>
      </c>
      <c r="B693" s="3" t="s">
        <v>39</v>
      </c>
      <c r="C693" s="3" t="s">
        <v>40</v>
      </c>
      <c r="D693" s="3" t="s">
        <v>24</v>
      </c>
      <c r="E693" s="3" t="s">
        <v>992</v>
      </c>
      <c r="F693" s="3" t="s">
        <v>117</v>
      </c>
      <c r="G693" s="2">
        <v>55.04</v>
      </c>
      <c r="H693" s="2">
        <v>7</v>
      </c>
      <c r="I693" s="2">
        <v>19.263999999999999</v>
      </c>
      <c r="J693" s="2">
        <v>404.54399999999998</v>
      </c>
      <c r="K693" s="5">
        <v>43536</v>
      </c>
      <c r="L693" s="4">
        <v>0.81874999999999998</v>
      </c>
      <c r="M693" s="3" t="s">
        <v>33</v>
      </c>
      <c r="N693" s="2">
        <v>385.28</v>
      </c>
      <c r="O693" s="2">
        <v>4.7619047620000003</v>
      </c>
      <c r="P693" s="2">
        <v>19.263999999999999</v>
      </c>
      <c r="Q693" s="2">
        <v>5.2</v>
      </c>
      <c r="R693" s="3" t="str">
        <f t="shared" si="22"/>
        <v>March</v>
      </c>
      <c r="S693" s="3">
        <f t="shared" si="21"/>
        <v>3</v>
      </c>
      <c r="T693" s="3" t="str">
        <f>IF(tbl_sales[[#This Row],[Sales]]&gt;=500,"High Value","Standard")</f>
        <v>Standard</v>
      </c>
      <c r="U693" s="1" t="str">
        <f>IF(tbl_sales[[#This Row],[Order Size]]="High Value","High Value Order","Standard Order")</f>
        <v>Standard Order</v>
      </c>
      <c r="V693" s="1"/>
      <c r="W693" s="17" t="s">
        <v>37</v>
      </c>
      <c r="X693" s="17"/>
      <c r="Y693" s="6"/>
      <c r="Z693" s="1"/>
    </row>
    <row r="694" spans="1:26">
      <c r="A694" s="3" t="s">
        <v>3946</v>
      </c>
      <c r="B694" s="3" t="s">
        <v>22</v>
      </c>
      <c r="C694" s="3" t="s">
        <v>23</v>
      </c>
      <c r="D694" s="3" t="s">
        <v>24</v>
      </c>
      <c r="E694" s="3" t="s">
        <v>992</v>
      </c>
      <c r="F694" s="3" t="s">
        <v>26</v>
      </c>
      <c r="G694" s="2">
        <v>48.63</v>
      </c>
      <c r="H694" s="2">
        <v>10</v>
      </c>
      <c r="I694" s="2">
        <v>24.315000000000001</v>
      </c>
      <c r="J694" s="2">
        <v>510.61500000000001</v>
      </c>
      <c r="K694" s="5">
        <v>43528</v>
      </c>
      <c r="L694" s="4">
        <v>0.53055555555555556</v>
      </c>
      <c r="M694" s="3" t="s">
        <v>49</v>
      </c>
      <c r="N694" s="2">
        <v>486.3</v>
      </c>
      <c r="O694" s="2">
        <v>4.7619047620000003</v>
      </c>
      <c r="P694" s="2">
        <v>24.315000000000001</v>
      </c>
      <c r="Q694" s="2">
        <v>8.8000000000000007</v>
      </c>
      <c r="R694" s="3" t="str">
        <f t="shared" si="22"/>
        <v>March</v>
      </c>
      <c r="S694" s="3">
        <f t="shared" si="21"/>
        <v>3</v>
      </c>
      <c r="T694" s="3" t="str">
        <f>IF(tbl_sales[[#This Row],[Sales]]&gt;=500,"High Value","Standard")</f>
        <v>High Value</v>
      </c>
      <c r="U694" s="1" t="str">
        <f>IF(tbl_sales[[#This Row],[Order Size]]="High Value","High Value Order","Standard Order")</f>
        <v>High Value Order</v>
      </c>
      <c r="V694" s="1"/>
      <c r="W694" s="17" t="s">
        <v>37</v>
      </c>
      <c r="X694" s="17"/>
      <c r="Y694" s="6"/>
      <c r="Z694" s="1"/>
    </row>
    <row r="695" spans="1:26">
      <c r="A695" s="3" t="s">
        <v>3950</v>
      </c>
      <c r="B695" s="3" t="s">
        <v>39</v>
      </c>
      <c r="C695" s="3" t="s">
        <v>40</v>
      </c>
      <c r="D695" s="3" t="s">
        <v>24</v>
      </c>
      <c r="E695" s="3" t="s">
        <v>25</v>
      </c>
      <c r="F695" s="3" t="s">
        <v>127</v>
      </c>
      <c r="G695" s="2">
        <v>73.38</v>
      </c>
      <c r="H695" s="2">
        <v>7</v>
      </c>
      <c r="I695" s="2">
        <v>25.683</v>
      </c>
      <c r="J695" s="2">
        <v>539.34299999999996</v>
      </c>
      <c r="K695" s="5">
        <v>43506</v>
      </c>
      <c r="L695" s="4">
        <v>0.5805555555555556</v>
      </c>
      <c r="M695" s="3" t="s">
        <v>49</v>
      </c>
      <c r="N695" s="2">
        <v>513.66</v>
      </c>
      <c r="O695" s="2">
        <v>4.7619047620000003</v>
      </c>
      <c r="P695" s="2">
        <v>25.683</v>
      </c>
      <c r="Q695" s="2">
        <v>9.5</v>
      </c>
      <c r="R695" s="3" t="str">
        <f t="shared" si="22"/>
        <v>February</v>
      </c>
      <c r="S695" s="3">
        <f t="shared" si="21"/>
        <v>2</v>
      </c>
      <c r="T695" s="3" t="str">
        <f>IF(tbl_sales[[#This Row],[Sales]]&gt;=500,"High Value","Standard")</f>
        <v>High Value</v>
      </c>
      <c r="U695" s="1" t="str">
        <f>IF(tbl_sales[[#This Row],[Order Size]]="High Value","High Value Order","Standard Order")</f>
        <v>High Value Order</v>
      </c>
      <c r="V695" s="1"/>
      <c r="W695" s="17" t="s">
        <v>37</v>
      </c>
      <c r="X695" s="17"/>
      <c r="Y695" s="6"/>
      <c r="Z695" s="1"/>
    </row>
    <row r="696" spans="1:26">
      <c r="A696" s="3" t="s">
        <v>3956</v>
      </c>
      <c r="B696" s="3" t="s">
        <v>39</v>
      </c>
      <c r="C696" s="3" t="s">
        <v>40</v>
      </c>
      <c r="D696" s="3" t="s">
        <v>41</v>
      </c>
      <c r="E696" s="3" t="s">
        <v>25</v>
      </c>
      <c r="F696" s="3" t="s">
        <v>117</v>
      </c>
      <c r="G696" s="2">
        <v>52.6</v>
      </c>
      <c r="H696" s="2">
        <v>9</v>
      </c>
      <c r="I696" s="2">
        <v>23.67</v>
      </c>
      <c r="J696" s="2">
        <v>497.07</v>
      </c>
      <c r="K696" s="5">
        <v>43481</v>
      </c>
      <c r="L696" s="4">
        <v>0.61250000000000004</v>
      </c>
      <c r="M696" s="3" t="s">
        <v>49</v>
      </c>
      <c r="N696" s="2">
        <v>473.4</v>
      </c>
      <c r="O696" s="2">
        <v>4.7619047620000003</v>
      </c>
      <c r="P696" s="2">
        <v>23.67</v>
      </c>
      <c r="Q696" s="2">
        <v>7.6</v>
      </c>
      <c r="R696" s="3" t="str">
        <f t="shared" si="22"/>
        <v>January</v>
      </c>
      <c r="S696" s="3">
        <f t="shared" si="21"/>
        <v>1</v>
      </c>
      <c r="T696" s="3" t="str">
        <f>IF(tbl_sales[[#This Row],[Sales]]&gt;=500,"High Value","Standard")</f>
        <v>Standard</v>
      </c>
      <c r="U696" s="1" t="str">
        <f>IF(tbl_sales[[#This Row],[Order Size]]="High Value","High Value Order","Standard Order")</f>
        <v>Standard Order</v>
      </c>
      <c r="V696" s="1"/>
      <c r="W696" s="17" t="s">
        <v>37</v>
      </c>
      <c r="X696" s="17"/>
      <c r="Y696" s="6"/>
      <c r="Z696" s="1"/>
    </row>
    <row r="697" spans="1:26">
      <c r="A697" s="3" t="s">
        <v>3961</v>
      </c>
      <c r="B697" s="3" t="s">
        <v>22</v>
      </c>
      <c r="C697" s="3" t="s">
        <v>23</v>
      </c>
      <c r="D697" s="3" t="s">
        <v>24</v>
      </c>
      <c r="E697" s="3" t="s">
        <v>25</v>
      </c>
      <c r="F697" s="3" t="s">
        <v>53</v>
      </c>
      <c r="G697" s="2">
        <v>87.37</v>
      </c>
      <c r="H697" s="2">
        <v>5</v>
      </c>
      <c r="I697" s="2">
        <v>21.842500000000001</v>
      </c>
      <c r="J697" s="2">
        <v>458.6925</v>
      </c>
      <c r="K697" s="5">
        <v>43494</v>
      </c>
      <c r="L697" s="4">
        <v>0.82291666666666663</v>
      </c>
      <c r="M697" s="3" t="s">
        <v>49</v>
      </c>
      <c r="N697" s="2">
        <v>436.85</v>
      </c>
      <c r="O697" s="2">
        <v>4.7619047620000003</v>
      </c>
      <c r="P697" s="2">
        <v>21.842500000000001</v>
      </c>
      <c r="Q697" s="2">
        <v>6.6</v>
      </c>
      <c r="R697" s="3" t="str">
        <f t="shared" si="22"/>
        <v>January</v>
      </c>
      <c r="S697" s="3">
        <f t="shared" si="21"/>
        <v>1</v>
      </c>
      <c r="T697" s="3" t="str">
        <f>IF(tbl_sales[[#This Row],[Sales]]&gt;=500,"High Value","Standard")</f>
        <v>Standard</v>
      </c>
      <c r="U697" s="1" t="str">
        <f>IF(tbl_sales[[#This Row],[Order Size]]="High Value","High Value Order","Standard Order")</f>
        <v>Standard Order</v>
      </c>
      <c r="V697" s="1"/>
      <c r="W697" s="17" t="s">
        <v>37</v>
      </c>
      <c r="X697" s="17"/>
      <c r="Y697" s="6"/>
      <c r="Z697" s="1"/>
    </row>
    <row r="698" spans="1:26">
      <c r="A698" s="3" t="s">
        <v>3967</v>
      </c>
      <c r="B698" s="3" t="s">
        <v>22</v>
      </c>
      <c r="C698" s="3" t="s">
        <v>23</v>
      </c>
      <c r="D698" s="3" t="s">
        <v>24</v>
      </c>
      <c r="E698" s="3" t="s">
        <v>25</v>
      </c>
      <c r="F698" s="3" t="s">
        <v>72</v>
      </c>
      <c r="G698" s="2">
        <v>27.04</v>
      </c>
      <c r="H698" s="2">
        <v>4</v>
      </c>
      <c r="I698" s="2">
        <v>5.4080000000000004</v>
      </c>
      <c r="J698" s="2">
        <v>113.568</v>
      </c>
      <c r="K698" s="5">
        <v>43466</v>
      </c>
      <c r="L698" s="4">
        <v>0.85138888888888886</v>
      </c>
      <c r="M698" s="3" t="s">
        <v>33</v>
      </c>
      <c r="N698" s="2">
        <v>108.16</v>
      </c>
      <c r="O698" s="2">
        <v>4.7619047620000003</v>
      </c>
      <c r="P698" s="2">
        <v>5.4080000000000004</v>
      </c>
      <c r="Q698" s="2">
        <v>6.9</v>
      </c>
      <c r="R698" s="3" t="str">
        <f t="shared" si="22"/>
        <v>January</v>
      </c>
      <c r="S698" s="3">
        <f t="shared" si="21"/>
        <v>1</v>
      </c>
      <c r="T698" s="3" t="str">
        <f>IF(tbl_sales[[#This Row],[Sales]]&gt;=500,"High Value","Standard")</f>
        <v>Standard</v>
      </c>
      <c r="U698" s="1" t="str">
        <f>IF(tbl_sales[[#This Row],[Order Size]]="High Value","High Value Order","Standard Order")</f>
        <v>Standard Order</v>
      </c>
      <c r="V698" s="1"/>
      <c r="W698" s="17" t="s">
        <v>37</v>
      </c>
      <c r="X698" s="17"/>
      <c r="Y698" s="6"/>
      <c r="Z698" s="1"/>
    </row>
    <row r="699" spans="1:26">
      <c r="A699" s="3" t="s">
        <v>3972</v>
      </c>
      <c r="B699" s="3" t="s">
        <v>115</v>
      </c>
      <c r="C699" s="3" t="s">
        <v>116</v>
      </c>
      <c r="D699" s="3" t="s">
        <v>41</v>
      </c>
      <c r="E699" s="3" t="s">
        <v>992</v>
      </c>
      <c r="F699" s="3" t="s">
        <v>53</v>
      </c>
      <c r="G699" s="2">
        <v>62.19</v>
      </c>
      <c r="H699" s="2">
        <v>4</v>
      </c>
      <c r="I699" s="2">
        <v>12.438000000000001</v>
      </c>
      <c r="J699" s="2">
        <v>261.19799999999998</v>
      </c>
      <c r="K699" s="5">
        <v>43471</v>
      </c>
      <c r="L699" s="4">
        <v>0.82361111111111107</v>
      </c>
      <c r="M699" s="3" t="s">
        <v>33</v>
      </c>
      <c r="N699" s="2">
        <v>248.76</v>
      </c>
      <c r="O699" s="2">
        <v>4.7619047620000003</v>
      </c>
      <c r="P699" s="2">
        <v>12.438000000000001</v>
      </c>
      <c r="Q699" s="2">
        <v>4.3</v>
      </c>
      <c r="R699" s="3" t="str">
        <f t="shared" si="22"/>
        <v>January</v>
      </c>
      <c r="S699" s="3">
        <f t="shared" si="21"/>
        <v>1</v>
      </c>
      <c r="T699" s="3" t="str">
        <f>IF(tbl_sales[[#This Row],[Sales]]&gt;=500,"High Value","Standard")</f>
        <v>Standard</v>
      </c>
      <c r="U699" s="1" t="str">
        <f>IF(tbl_sales[[#This Row],[Order Size]]="High Value","High Value Order","Standard Order")</f>
        <v>Standard Order</v>
      </c>
      <c r="V699" s="1"/>
      <c r="W699" s="17" t="s">
        <v>37</v>
      </c>
      <c r="X699" s="17"/>
      <c r="Y699" s="6"/>
      <c r="Z699" s="1"/>
    </row>
    <row r="700" spans="1:26">
      <c r="A700" s="3" t="s">
        <v>3977</v>
      </c>
      <c r="B700" s="3" t="s">
        <v>22</v>
      </c>
      <c r="C700" s="3" t="s">
        <v>23</v>
      </c>
      <c r="D700" s="3" t="s">
        <v>24</v>
      </c>
      <c r="E700" s="3" t="s">
        <v>992</v>
      </c>
      <c r="F700" s="3" t="s">
        <v>42</v>
      </c>
      <c r="G700" s="2">
        <v>69.58</v>
      </c>
      <c r="H700" s="2">
        <v>9</v>
      </c>
      <c r="I700" s="2">
        <v>31.311</v>
      </c>
      <c r="J700" s="2">
        <v>657.53099999999995</v>
      </c>
      <c r="K700" s="5">
        <v>43515</v>
      </c>
      <c r="L700" s="4">
        <v>0.81805555555555554</v>
      </c>
      <c r="M700" s="3" t="s">
        <v>59</v>
      </c>
      <c r="N700" s="2">
        <v>626.22</v>
      </c>
      <c r="O700" s="2">
        <v>4.7619047620000003</v>
      </c>
      <c r="P700" s="2">
        <v>31.311</v>
      </c>
      <c r="Q700" s="2">
        <v>7.8</v>
      </c>
      <c r="R700" s="3" t="str">
        <f t="shared" si="22"/>
        <v>February</v>
      </c>
      <c r="S700" s="3">
        <f t="shared" si="21"/>
        <v>2</v>
      </c>
      <c r="T700" s="3" t="str">
        <f>IF(tbl_sales[[#This Row],[Sales]]&gt;=500,"High Value","Standard")</f>
        <v>High Value</v>
      </c>
      <c r="U700" s="1" t="str">
        <f>IF(tbl_sales[[#This Row],[Order Size]]="High Value","High Value Order","Standard Order")</f>
        <v>High Value Order</v>
      </c>
      <c r="V700" s="1"/>
      <c r="W700" s="17" t="s">
        <v>37</v>
      </c>
      <c r="X700" s="17"/>
      <c r="Y700" s="6"/>
      <c r="Z700" s="1"/>
    </row>
    <row r="701" spans="1:26">
      <c r="A701" s="3" t="s">
        <v>3982</v>
      </c>
      <c r="B701" s="3" t="s">
        <v>39</v>
      </c>
      <c r="C701" s="3" t="s">
        <v>40</v>
      </c>
      <c r="D701" s="3" t="s">
        <v>41</v>
      </c>
      <c r="E701" s="3" t="s">
        <v>992</v>
      </c>
      <c r="F701" s="3" t="s">
        <v>53</v>
      </c>
      <c r="G701" s="2">
        <v>97.5</v>
      </c>
      <c r="H701" s="2">
        <v>10</v>
      </c>
      <c r="I701" s="2">
        <v>48.75</v>
      </c>
      <c r="J701" s="2">
        <v>1023.75</v>
      </c>
      <c r="K701" s="5">
        <v>43477</v>
      </c>
      <c r="L701" s="4">
        <v>0.6791666666666667</v>
      </c>
      <c r="M701" s="3" t="s">
        <v>33</v>
      </c>
      <c r="N701" s="2">
        <v>975</v>
      </c>
      <c r="O701" s="2">
        <v>4.7619047620000003</v>
      </c>
      <c r="P701" s="2">
        <v>48.75</v>
      </c>
      <c r="Q701" s="2">
        <v>8</v>
      </c>
      <c r="R701" s="3" t="str">
        <f t="shared" si="22"/>
        <v>January</v>
      </c>
      <c r="S701" s="3">
        <f t="shared" si="21"/>
        <v>1</v>
      </c>
      <c r="T701" s="3" t="str">
        <f>IF(tbl_sales[[#This Row],[Sales]]&gt;=500,"High Value","Standard")</f>
        <v>High Value</v>
      </c>
      <c r="U701" s="1" t="str">
        <f>IF(tbl_sales[[#This Row],[Order Size]]="High Value","High Value Order","Standard Order")</f>
        <v>High Value Order</v>
      </c>
      <c r="V701" s="1"/>
      <c r="W701" s="17" t="s">
        <v>37</v>
      </c>
      <c r="X701" s="17"/>
      <c r="Y701" s="6"/>
      <c r="Z701" s="1"/>
    </row>
    <row r="702" spans="1:26">
      <c r="A702" s="3" t="s">
        <v>3988</v>
      </c>
      <c r="B702" s="3" t="s">
        <v>39</v>
      </c>
      <c r="C702" s="3" t="s">
        <v>40</v>
      </c>
      <c r="D702" s="3" t="s">
        <v>41</v>
      </c>
      <c r="E702" s="3" t="s">
        <v>25</v>
      </c>
      <c r="F702" s="3" t="s">
        <v>127</v>
      </c>
      <c r="G702" s="2">
        <v>60.41</v>
      </c>
      <c r="H702" s="2">
        <v>8</v>
      </c>
      <c r="I702" s="2">
        <v>24.164000000000001</v>
      </c>
      <c r="J702" s="2">
        <v>507.44400000000002</v>
      </c>
      <c r="K702" s="5">
        <v>43503</v>
      </c>
      <c r="L702" s="4">
        <v>0.51597222222222228</v>
      </c>
      <c r="M702" s="3" t="s">
        <v>33</v>
      </c>
      <c r="N702" s="2">
        <v>483.28</v>
      </c>
      <c r="O702" s="2">
        <v>4.7619047620000003</v>
      </c>
      <c r="P702" s="2">
        <v>24.164000000000001</v>
      </c>
      <c r="Q702" s="2">
        <v>9.6</v>
      </c>
      <c r="R702" s="3" t="str">
        <f t="shared" si="22"/>
        <v>February</v>
      </c>
      <c r="S702" s="3">
        <f t="shared" si="21"/>
        <v>2</v>
      </c>
      <c r="T702" s="3" t="str">
        <f>IF(tbl_sales[[#This Row],[Sales]]&gt;=500,"High Value","Standard")</f>
        <v>High Value</v>
      </c>
      <c r="U702" s="1" t="str">
        <f>IF(tbl_sales[[#This Row],[Order Size]]="High Value","High Value Order","Standard Order")</f>
        <v>High Value Order</v>
      </c>
      <c r="V702" s="1"/>
      <c r="W702" s="17" t="s">
        <v>37</v>
      </c>
      <c r="X702" s="17"/>
      <c r="Y702" s="6"/>
      <c r="Z702" s="1"/>
    </row>
    <row r="703" spans="1:26">
      <c r="A703" s="3" t="s">
        <v>3993</v>
      </c>
      <c r="B703" s="3" t="s">
        <v>115</v>
      </c>
      <c r="C703" s="3" t="s">
        <v>116</v>
      </c>
      <c r="D703" s="3" t="s">
        <v>41</v>
      </c>
      <c r="E703" s="3" t="s">
        <v>992</v>
      </c>
      <c r="F703" s="3" t="s">
        <v>117</v>
      </c>
      <c r="G703" s="2">
        <v>32.32</v>
      </c>
      <c r="H703" s="2">
        <v>3</v>
      </c>
      <c r="I703" s="2">
        <v>4.8479999999999999</v>
      </c>
      <c r="J703" s="2">
        <v>101.80800000000001</v>
      </c>
      <c r="K703" s="5">
        <v>43551</v>
      </c>
      <c r="L703" s="4">
        <v>0.7993055555555556</v>
      </c>
      <c r="M703" s="3" t="s">
        <v>59</v>
      </c>
      <c r="N703" s="2">
        <v>96.96</v>
      </c>
      <c r="O703" s="2">
        <v>4.7619047620000003</v>
      </c>
      <c r="P703" s="2">
        <v>4.8479999999999999</v>
      </c>
      <c r="Q703" s="2">
        <v>4.3</v>
      </c>
      <c r="R703" s="3" t="str">
        <f t="shared" si="22"/>
        <v>March</v>
      </c>
      <c r="S703" s="3">
        <f t="shared" si="21"/>
        <v>3</v>
      </c>
      <c r="T703" s="3" t="str">
        <f>IF(tbl_sales[[#This Row],[Sales]]&gt;=500,"High Value","Standard")</f>
        <v>Standard</v>
      </c>
      <c r="U703" s="1" t="str">
        <f>IF(tbl_sales[[#This Row],[Order Size]]="High Value","High Value Order","Standard Order")</f>
        <v>Standard Order</v>
      </c>
      <c r="V703" s="1"/>
      <c r="W703" s="17" t="s">
        <v>37</v>
      </c>
      <c r="X703" s="17"/>
      <c r="Y703" s="6"/>
      <c r="Z703" s="1"/>
    </row>
    <row r="704" spans="1:26">
      <c r="A704" s="3" t="s">
        <v>3997</v>
      </c>
      <c r="B704" s="3" t="s">
        <v>115</v>
      </c>
      <c r="C704" s="3" t="s">
        <v>116</v>
      </c>
      <c r="D704" s="3" t="s">
        <v>24</v>
      </c>
      <c r="E704" s="3" t="s">
        <v>25</v>
      </c>
      <c r="F704" s="3" t="s">
        <v>127</v>
      </c>
      <c r="G704" s="2">
        <v>19.77</v>
      </c>
      <c r="H704" s="2">
        <v>10</v>
      </c>
      <c r="I704" s="2">
        <v>9.8849999999999998</v>
      </c>
      <c r="J704" s="2">
        <v>207.58500000000001</v>
      </c>
      <c r="K704" s="5">
        <v>43523</v>
      </c>
      <c r="L704" s="4">
        <v>0.7895833333333333</v>
      </c>
      <c r="M704" s="3" t="s">
        <v>59</v>
      </c>
      <c r="N704" s="2">
        <v>197.7</v>
      </c>
      <c r="O704" s="2">
        <v>4.7619047620000003</v>
      </c>
      <c r="P704" s="2">
        <v>9.8849999999999998</v>
      </c>
      <c r="Q704" s="2">
        <v>5</v>
      </c>
      <c r="R704" s="3" t="str">
        <f t="shared" si="22"/>
        <v>February</v>
      </c>
      <c r="S704" s="3">
        <f t="shared" si="21"/>
        <v>2</v>
      </c>
      <c r="T704" s="3" t="str">
        <f>IF(tbl_sales[[#This Row],[Sales]]&gt;=500,"High Value","Standard")</f>
        <v>Standard</v>
      </c>
      <c r="U704" s="1" t="str">
        <f>IF(tbl_sales[[#This Row],[Order Size]]="High Value","High Value Order","Standard Order")</f>
        <v>Standard Order</v>
      </c>
      <c r="V704" s="1"/>
      <c r="W704" s="17" t="s">
        <v>37</v>
      </c>
      <c r="X704" s="17"/>
      <c r="Y704" s="6"/>
      <c r="Z704" s="1"/>
    </row>
    <row r="705" spans="1:26">
      <c r="A705" s="3" t="s">
        <v>4003</v>
      </c>
      <c r="B705" s="3" t="s">
        <v>115</v>
      </c>
      <c r="C705" s="3" t="s">
        <v>116</v>
      </c>
      <c r="D705" s="3" t="s">
        <v>24</v>
      </c>
      <c r="E705" s="3" t="s">
        <v>992</v>
      </c>
      <c r="F705" s="3" t="s">
        <v>26</v>
      </c>
      <c r="G705" s="2">
        <v>80.47</v>
      </c>
      <c r="H705" s="2">
        <v>9</v>
      </c>
      <c r="I705" s="2">
        <v>36.211500000000001</v>
      </c>
      <c r="J705" s="2">
        <v>760.44150000000002</v>
      </c>
      <c r="K705" s="5">
        <v>43471</v>
      </c>
      <c r="L705" s="4">
        <v>0.47083333333333333</v>
      </c>
      <c r="M705" s="3" t="s">
        <v>49</v>
      </c>
      <c r="N705" s="2">
        <v>724.23</v>
      </c>
      <c r="O705" s="2">
        <v>4.7619047620000003</v>
      </c>
      <c r="P705" s="2">
        <v>36.211500000000001</v>
      </c>
      <c r="Q705" s="2">
        <v>9.1999999999999993</v>
      </c>
      <c r="R705" s="3" t="str">
        <f t="shared" si="22"/>
        <v>January</v>
      </c>
      <c r="S705" s="3">
        <f t="shared" si="21"/>
        <v>1</v>
      </c>
      <c r="T705" s="3" t="str">
        <f>IF(tbl_sales[[#This Row],[Sales]]&gt;=500,"High Value","Standard")</f>
        <v>High Value</v>
      </c>
      <c r="U705" s="1" t="str">
        <f>IF(tbl_sales[[#This Row],[Order Size]]="High Value","High Value Order","Standard Order")</f>
        <v>High Value Order</v>
      </c>
      <c r="V705" s="1"/>
      <c r="W705" s="17" t="s">
        <v>37</v>
      </c>
      <c r="X705" s="17"/>
      <c r="Y705" s="6"/>
      <c r="Z705" s="1"/>
    </row>
    <row r="706" spans="1:26">
      <c r="A706" s="3" t="s">
        <v>4009</v>
      </c>
      <c r="B706" s="3" t="s">
        <v>115</v>
      </c>
      <c r="C706" s="3" t="s">
        <v>116</v>
      </c>
      <c r="D706" s="3" t="s">
        <v>24</v>
      </c>
      <c r="E706" s="3" t="s">
        <v>25</v>
      </c>
      <c r="F706" s="3" t="s">
        <v>53</v>
      </c>
      <c r="G706" s="2">
        <v>88.39</v>
      </c>
      <c r="H706" s="2">
        <v>9</v>
      </c>
      <c r="I706" s="2">
        <v>39.775500000000001</v>
      </c>
      <c r="J706" s="2">
        <v>835.28549999999996</v>
      </c>
      <c r="K706" s="5">
        <v>43526</v>
      </c>
      <c r="L706" s="4">
        <v>0.52777777777777779</v>
      </c>
      <c r="M706" s="3" t="s">
        <v>49</v>
      </c>
      <c r="N706" s="2">
        <v>795.51</v>
      </c>
      <c r="O706" s="2">
        <v>4.7619047620000003</v>
      </c>
      <c r="P706" s="2">
        <v>39.775500000000001</v>
      </c>
      <c r="Q706" s="2">
        <v>6.3</v>
      </c>
      <c r="R706" s="3" t="str">
        <f t="shared" si="22"/>
        <v>March</v>
      </c>
      <c r="S706" s="3">
        <f t="shared" ref="S706:S769" si="23">MONTH(K706)</f>
        <v>3</v>
      </c>
      <c r="T706" s="3" t="str">
        <f>IF(tbl_sales[[#This Row],[Sales]]&gt;=500,"High Value","Standard")</f>
        <v>High Value</v>
      </c>
      <c r="U706" s="1" t="str">
        <f>IF(tbl_sales[[#This Row],[Order Size]]="High Value","High Value Order","Standard Order")</f>
        <v>High Value Order</v>
      </c>
      <c r="V706" s="1"/>
      <c r="W706" s="17" t="s">
        <v>37</v>
      </c>
      <c r="X706" s="17"/>
      <c r="Y706" s="6"/>
      <c r="Z706" s="1"/>
    </row>
    <row r="707" spans="1:26">
      <c r="A707" s="3" t="s">
        <v>4014</v>
      </c>
      <c r="B707" s="3" t="s">
        <v>115</v>
      </c>
      <c r="C707" s="3" t="s">
        <v>116</v>
      </c>
      <c r="D707" s="3" t="s">
        <v>41</v>
      </c>
      <c r="E707" s="3" t="s">
        <v>992</v>
      </c>
      <c r="F707" s="3" t="s">
        <v>26</v>
      </c>
      <c r="G707" s="2">
        <v>71.77</v>
      </c>
      <c r="H707" s="2">
        <v>7</v>
      </c>
      <c r="I707" s="2">
        <v>25.119499999999999</v>
      </c>
      <c r="J707" s="2">
        <v>527.5095</v>
      </c>
      <c r="K707" s="5">
        <v>43553</v>
      </c>
      <c r="L707" s="4">
        <v>0.58750000000000002</v>
      </c>
      <c r="M707" s="3" t="s">
        <v>49</v>
      </c>
      <c r="N707" s="2">
        <v>502.39</v>
      </c>
      <c r="O707" s="2">
        <v>4.7619047620000003</v>
      </c>
      <c r="P707" s="2">
        <v>25.119499999999999</v>
      </c>
      <c r="Q707" s="2">
        <v>8.9</v>
      </c>
      <c r="R707" s="3" t="str">
        <f t="shared" ref="R707:R770" si="24">TEXT(K707,"mmmm")</f>
        <v>March</v>
      </c>
      <c r="S707" s="3">
        <f t="shared" si="23"/>
        <v>3</v>
      </c>
      <c r="T707" s="3" t="str">
        <f>IF(tbl_sales[[#This Row],[Sales]]&gt;=500,"High Value","Standard")</f>
        <v>High Value</v>
      </c>
      <c r="U707" s="1" t="str">
        <f>IF(tbl_sales[[#This Row],[Order Size]]="High Value","High Value Order","Standard Order")</f>
        <v>High Value Order</v>
      </c>
      <c r="V707" s="1"/>
      <c r="W707" s="17" t="s">
        <v>37</v>
      </c>
      <c r="X707" s="17"/>
      <c r="Y707" s="6"/>
      <c r="Z707" s="1"/>
    </row>
    <row r="708" spans="1:26">
      <c r="A708" s="3" t="s">
        <v>4020</v>
      </c>
      <c r="B708" s="3" t="s">
        <v>115</v>
      </c>
      <c r="C708" s="3" t="s">
        <v>116</v>
      </c>
      <c r="D708" s="3" t="s">
        <v>41</v>
      </c>
      <c r="E708" s="3" t="s">
        <v>25</v>
      </c>
      <c r="F708" s="3" t="s">
        <v>42</v>
      </c>
      <c r="G708" s="2">
        <v>43</v>
      </c>
      <c r="H708" s="2">
        <v>4</v>
      </c>
      <c r="I708" s="2">
        <v>8.6</v>
      </c>
      <c r="J708" s="2">
        <v>180.6</v>
      </c>
      <c r="K708" s="5">
        <v>43496</v>
      </c>
      <c r="L708" s="4">
        <v>0.8666666666666667</v>
      </c>
      <c r="M708" s="3" t="s">
        <v>33</v>
      </c>
      <c r="N708" s="2">
        <v>172</v>
      </c>
      <c r="O708" s="2">
        <v>4.7619047620000003</v>
      </c>
      <c r="P708" s="2">
        <v>8.6</v>
      </c>
      <c r="Q708" s="2">
        <v>7.6</v>
      </c>
      <c r="R708" s="3" t="str">
        <f t="shared" si="24"/>
        <v>January</v>
      </c>
      <c r="S708" s="3">
        <f t="shared" si="23"/>
        <v>1</v>
      </c>
      <c r="T708" s="3" t="str">
        <f>IF(tbl_sales[[#This Row],[Sales]]&gt;=500,"High Value","Standard")</f>
        <v>Standard</v>
      </c>
      <c r="U708" s="1" t="str">
        <f>IF(tbl_sales[[#This Row],[Order Size]]="High Value","High Value Order","Standard Order")</f>
        <v>Standard Order</v>
      </c>
      <c r="V708" s="1"/>
      <c r="W708" s="17" t="s">
        <v>37</v>
      </c>
      <c r="X708" s="17"/>
      <c r="Y708" s="6"/>
      <c r="Z708" s="1"/>
    </row>
    <row r="709" spans="1:26">
      <c r="A709" s="3" t="s">
        <v>4024</v>
      </c>
      <c r="B709" s="3" t="s">
        <v>39</v>
      </c>
      <c r="C709" s="3" t="s">
        <v>40</v>
      </c>
      <c r="D709" s="3" t="s">
        <v>24</v>
      </c>
      <c r="E709" s="3" t="s">
        <v>992</v>
      </c>
      <c r="F709" s="3" t="s">
        <v>117</v>
      </c>
      <c r="G709" s="2">
        <v>68.98</v>
      </c>
      <c r="H709" s="2">
        <v>1</v>
      </c>
      <c r="I709" s="2">
        <v>3.4489999999999998</v>
      </c>
      <c r="J709" s="2">
        <v>72.429000000000002</v>
      </c>
      <c r="K709" s="5">
        <v>43486</v>
      </c>
      <c r="L709" s="4">
        <v>0.84236111111111112</v>
      </c>
      <c r="M709" s="3" t="s">
        <v>49</v>
      </c>
      <c r="N709" s="2">
        <v>68.98</v>
      </c>
      <c r="O709" s="2">
        <v>4.7619047620000003</v>
      </c>
      <c r="P709" s="2">
        <v>3.4489999999999998</v>
      </c>
      <c r="Q709" s="2">
        <v>4.8</v>
      </c>
      <c r="R709" s="3" t="str">
        <f t="shared" si="24"/>
        <v>January</v>
      </c>
      <c r="S709" s="3">
        <f t="shared" si="23"/>
        <v>1</v>
      </c>
      <c r="T709" s="3" t="str">
        <f>IF(tbl_sales[[#This Row],[Sales]]&gt;=500,"High Value","Standard")</f>
        <v>Standard</v>
      </c>
      <c r="U709" s="1" t="str">
        <f>IF(tbl_sales[[#This Row],[Order Size]]="High Value","High Value Order","Standard Order")</f>
        <v>Standard Order</v>
      </c>
      <c r="V709" s="1"/>
      <c r="W709" s="17" t="s">
        <v>37</v>
      </c>
      <c r="X709" s="17"/>
      <c r="Y709" s="6"/>
      <c r="Z709" s="1"/>
    </row>
    <row r="710" spans="1:26">
      <c r="A710" s="3" t="s">
        <v>4029</v>
      </c>
      <c r="B710" s="3" t="s">
        <v>39</v>
      </c>
      <c r="C710" s="3" t="s">
        <v>40</v>
      </c>
      <c r="D710" s="3" t="s">
        <v>41</v>
      </c>
      <c r="E710" s="3" t="s">
        <v>992</v>
      </c>
      <c r="F710" s="3" t="s">
        <v>127</v>
      </c>
      <c r="G710" s="2">
        <v>15.62</v>
      </c>
      <c r="H710" s="2">
        <v>8</v>
      </c>
      <c r="I710" s="2">
        <v>6.2480000000000002</v>
      </c>
      <c r="J710" s="2">
        <v>131.208</v>
      </c>
      <c r="K710" s="5">
        <v>43485</v>
      </c>
      <c r="L710" s="4">
        <v>0.85902777777777772</v>
      </c>
      <c r="M710" s="3" t="s">
        <v>33</v>
      </c>
      <c r="N710" s="2">
        <v>124.96</v>
      </c>
      <c r="O710" s="2">
        <v>4.7619047620000003</v>
      </c>
      <c r="P710" s="2">
        <v>6.2480000000000002</v>
      </c>
      <c r="Q710" s="2">
        <v>9.1</v>
      </c>
      <c r="R710" s="3" t="str">
        <f t="shared" si="24"/>
        <v>January</v>
      </c>
      <c r="S710" s="3">
        <f t="shared" si="23"/>
        <v>1</v>
      </c>
      <c r="T710" s="3" t="str">
        <f>IF(tbl_sales[[#This Row],[Sales]]&gt;=500,"High Value","Standard")</f>
        <v>Standard</v>
      </c>
      <c r="U710" s="1" t="str">
        <f>IF(tbl_sales[[#This Row],[Order Size]]="High Value","High Value Order","Standard Order")</f>
        <v>Standard Order</v>
      </c>
      <c r="V710" s="1"/>
      <c r="W710" s="17" t="s">
        <v>37</v>
      </c>
      <c r="X710" s="17"/>
      <c r="Y710" s="6"/>
      <c r="Z710" s="1"/>
    </row>
    <row r="711" spans="1:26">
      <c r="A711" s="3" t="s">
        <v>4034</v>
      </c>
      <c r="B711" s="3" t="s">
        <v>22</v>
      </c>
      <c r="C711" s="3" t="s">
        <v>23</v>
      </c>
      <c r="D711" s="3" t="s">
        <v>41</v>
      </c>
      <c r="E711" s="3" t="s">
        <v>992</v>
      </c>
      <c r="F711" s="3" t="s">
        <v>72</v>
      </c>
      <c r="G711" s="2">
        <v>25.7</v>
      </c>
      <c r="H711" s="2">
        <v>3</v>
      </c>
      <c r="I711" s="2">
        <v>3.855</v>
      </c>
      <c r="J711" s="2">
        <v>80.954999999999998</v>
      </c>
      <c r="K711" s="5">
        <v>43482</v>
      </c>
      <c r="L711" s="4">
        <v>0.74930555555555556</v>
      </c>
      <c r="M711" s="3" t="s">
        <v>33</v>
      </c>
      <c r="N711" s="2">
        <v>77.099999999999994</v>
      </c>
      <c r="O711" s="2">
        <v>4.7619047620000003</v>
      </c>
      <c r="P711" s="2">
        <v>3.855</v>
      </c>
      <c r="Q711" s="2">
        <v>6.1</v>
      </c>
      <c r="R711" s="3" t="str">
        <f t="shared" si="24"/>
        <v>January</v>
      </c>
      <c r="S711" s="3">
        <f t="shared" si="23"/>
        <v>1</v>
      </c>
      <c r="T711" s="3" t="str">
        <f>IF(tbl_sales[[#This Row],[Sales]]&gt;=500,"High Value","Standard")</f>
        <v>Standard</v>
      </c>
      <c r="U711" s="1" t="str">
        <f>IF(tbl_sales[[#This Row],[Order Size]]="High Value","High Value Order","Standard Order")</f>
        <v>Standard Order</v>
      </c>
      <c r="V711" s="1"/>
      <c r="W711" s="17" t="s">
        <v>37</v>
      </c>
      <c r="X711" s="17"/>
      <c r="Y711" s="6"/>
      <c r="Z711" s="1"/>
    </row>
    <row r="712" spans="1:26">
      <c r="A712" s="3" t="s">
        <v>4039</v>
      </c>
      <c r="B712" s="3" t="s">
        <v>22</v>
      </c>
      <c r="C712" s="3" t="s">
        <v>23</v>
      </c>
      <c r="D712" s="3" t="s">
        <v>24</v>
      </c>
      <c r="E712" s="3" t="s">
        <v>992</v>
      </c>
      <c r="F712" s="3" t="s">
        <v>117</v>
      </c>
      <c r="G712" s="2">
        <v>80.62</v>
      </c>
      <c r="H712" s="2">
        <v>6</v>
      </c>
      <c r="I712" s="2">
        <v>24.186</v>
      </c>
      <c r="J712" s="2">
        <v>507.90600000000001</v>
      </c>
      <c r="K712" s="5">
        <v>43524</v>
      </c>
      <c r="L712" s="4">
        <v>0.84583333333333333</v>
      </c>
      <c r="M712" s="3" t="s">
        <v>49</v>
      </c>
      <c r="N712" s="2">
        <v>483.72</v>
      </c>
      <c r="O712" s="2">
        <v>4.7619047620000003</v>
      </c>
      <c r="P712" s="2">
        <v>24.186</v>
      </c>
      <c r="Q712" s="2">
        <v>9.1</v>
      </c>
      <c r="R712" s="3" t="str">
        <f t="shared" si="24"/>
        <v>February</v>
      </c>
      <c r="S712" s="3">
        <f t="shared" si="23"/>
        <v>2</v>
      </c>
      <c r="T712" s="3" t="str">
        <f>IF(tbl_sales[[#This Row],[Sales]]&gt;=500,"High Value","Standard")</f>
        <v>High Value</v>
      </c>
      <c r="U712" s="1" t="str">
        <f>IF(tbl_sales[[#This Row],[Order Size]]="High Value","High Value Order","Standard Order")</f>
        <v>High Value Order</v>
      </c>
      <c r="V712" s="1"/>
      <c r="W712" s="17" t="s">
        <v>37</v>
      </c>
      <c r="X712" s="17"/>
      <c r="Y712" s="6"/>
      <c r="Z712" s="1"/>
    </row>
    <row r="713" spans="1:26">
      <c r="A713" s="3" t="s">
        <v>4044</v>
      </c>
      <c r="B713" s="3" t="s">
        <v>39</v>
      </c>
      <c r="C713" s="3" t="s">
        <v>40</v>
      </c>
      <c r="D713" s="3" t="s">
        <v>24</v>
      </c>
      <c r="E713" s="3" t="s">
        <v>25</v>
      </c>
      <c r="F713" s="3" t="s">
        <v>53</v>
      </c>
      <c r="G713" s="2">
        <v>75.53</v>
      </c>
      <c r="H713" s="2">
        <v>4</v>
      </c>
      <c r="I713" s="2">
        <v>15.106</v>
      </c>
      <c r="J713" s="2">
        <v>317.226</v>
      </c>
      <c r="K713" s="5">
        <v>43543</v>
      </c>
      <c r="L713" s="4">
        <v>0.66111111111111109</v>
      </c>
      <c r="M713" s="3" t="s">
        <v>33</v>
      </c>
      <c r="N713" s="2">
        <v>302.12</v>
      </c>
      <c r="O713" s="2">
        <v>4.7619047620000003</v>
      </c>
      <c r="P713" s="2">
        <v>15.106</v>
      </c>
      <c r="Q713" s="2">
        <v>8.3000000000000007</v>
      </c>
      <c r="R713" s="3" t="str">
        <f t="shared" si="24"/>
        <v>March</v>
      </c>
      <c r="S713" s="3">
        <f t="shared" si="23"/>
        <v>3</v>
      </c>
      <c r="T713" s="3" t="str">
        <f>IF(tbl_sales[[#This Row],[Sales]]&gt;=500,"High Value","Standard")</f>
        <v>Standard</v>
      </c>
      <c r="U713" s="1" t="str">
        <f>IF(tbl_sales[[#This Row],[Order Size]]="High Value","High Value Order","Standard Order")</f>
        <v>Standard Order</v>
      </c>
      <c r="V713" s="1"/>
      <c r="W713" s="17" t="s">
        <v>37</v>
      </c>
      <c r="X713" s="17"/>
      <c r="Y713" s="6"/>
      <c r="Z713" s="1"/>
    </row>
    <row r="714" spans="1:26">
      <c r="A714" s="3" t="s">
        <v>4049</v>
      </c>
      <c r="B714" s="3" t="s">
        <v>39</v>
      </c>
      <c r="C714" s="3" t="s">
        <v>40</v>
      </c>
      <c r="D714" s="3" t="s">
        <v>41</v>
      </c>
      <c r="E714" s="3" t="s">
        <v>25</v>
      </c>
      <c r="F714" s="3" t="s">
        <v>42</v>
      </c>
      <c r="G714" s="2">
        <v>77.63</v>
      </c>
      <c r="H714" s="2">
        <v>9</v>
      </c>
      <c r="I714" s="2">
        <v>34.933500000000002</v>
      </c>
      <c r="J714" s="2">
        <v>733.60350000000005</v>
      </c>
      <c r="K714" s="5">
        <v>43515</v>
      </c>
      <c r="L714" s="4">
        <v>0.63472222222222219</v>
      </c>
      <c r="M714" s="3" t="s">
        <v>33</v>
      </c>
      <c r="N714" s="2">
        <v>698.67</v>
      </c>
      <c r="O714" s="2">
        <v>4.7619047620000003</v>
      </c>
      <c r="P714" s="2">
        <v>34.933500000000002</v>
      </c>
      <c r="Q714" s="2">
        <v>7.2</v>
      </c>
      <c r="R714" s="3" t="str">
        <f t="shared" si="24"/>
        <v>February</v>
      </c>
      <c r="S714" s="3">
        <f t="shared" si="23"/>
        <v>2</v>
      </c>
      <c r="T714" s="3" t="str">
        <f>IF(tbl_sales[[#This Row],[Sales]]&gt;=500,"High Value","Standard")</f>
        <v>High Value</v>
      </c>
      <c r="U714" s="1" t="str">
        <f>IF(tbl_sales[[#This Row],[Order Size]]="High Value","High Value Order","Standard Order")</f>
        <v>High Value Order</v>
      </c>
      <c r="V714" s="1"/>
      <c r="W714" s="17" t="s">
        <v>37</v>
      </c>
      <c r="X714" s="17"/>
      <c r="Y714" s="6"/>
      <c r="Z714" s="1"/>
    </row>
    <row r="715" spans="1:26">
      <c r="A715" s="3" t="s">
        <v>4055</v>
      </c>
      <c r="B715" s="3" t="s">
        <v>39</v>
      </c>
      <c r="C715" s="3" t="s">
        <v>40</v>
      </c>
      <c r="D715" s="3" t="s">
        <v>41</v>
      </c>
      <c r="E715" s="3" t="s">
        <v>25</v>
      </c>
      <c r="F715" s="3" t="s">
        <v>26</v>
      </c>
      <c r="G715" s="2">
        <v>13.85</v>
      </c>
      <c r="H715" s="2">
        <v>9</v>
      </c>
      <c r="I715" s="2">
        <v>6.2324999999999999</v>
      </c>
      <c r="J715" s="2">
        <v>130.88249999999999</v>
      </c>
      <c r="K715" s="5">
        <v>43500</v>
      </c>
      <c r="L715" s="4">
        <v>0.53472222222222221</v>
      </c>
      <c r="M715" s="3" t="s">
        <v>33</v>
      </c>
      <c r="N715" s="2">
        <v>124.65</v>
      </c>
      <c r="O715" s="2">
        <v>4.7619047620000003</v>
      </c>
      <c r="P715" s="2">
        <v>6.2324999999999999</v>
      </c>
      <c r="Q715" s="2">
        <v>6</v>
      </c>
      <c r="R715" s="3" t="str">
        <f t="shared" si="24"/>
        <v>February</v>
      </c>
      <c r="S715" s="3">
        <f t="shared" si="23"/>
        <v>2</v>
      </c>
      <c r="T715" s="3" t="str">
        <f>IF(tbl_sales[[#This Row],[Sales]]&gt;=500,"High Value","Standard")</f>
        <v>Standard</v>
      </c>
      <c r="U715" s="1" t="str">
        <f>IF(tbl_sales[[#This Row],[Order Size]]="High Value","High Value Order","Standard Order")</f>
        <v>Standard Order</v>
      </c>
      <c r="V715" s="1"/>
      <c r="W715" s="17" t="s">
        <v>37</v>
      </c>
      <c r="X715" s="17"/>
      <c r="Y715" s="6"/>
      <c r="Z715" s="1"/>
    </row>
    <row r="716" spans="1:26">
      <c r="A716" s="3" t="s">
        <v>4060</v>
      </c>
      <c r="B716" s="3" t="s">
        <v>39</v>
      </c>
      <c r="C716" s="3" t="s">
        <v>40</v>
      </c>
      <c r="D716" s="3" t="s">
        <v>24</v>
      </c>
      <c r="E716" s="3" t="s">
        <v>992</v>
      </c>
      <c r="F716" s="3" t="s">
        <v>127</v>
      </c>
      <c r="G716" s="2">
        <v>98.7</v>
      </c>
      <c r="H716" s="2">
        <v>8</v>
      </c>
      <c r="I716" s="2">
        <v>39.479999999999997</v>
      </c>
      <c r="J716" s="2">
        <v>829.08</v>
      </c>
      <c r="K716" s="5">
        <v>43496</v>
      </c>
      <c r="L716" s="4">
        <v>0.44166666666666665</v>
      </c>
      <c r="M716" s="3" t="s">
        <v>33</v>
      </c>
      <c r="N716" s="2">
        <v>789.6</v>
      </c>
      <c r="O716" s="2">
        <v>4.7619047620000003</v>
      </c>
      <c r="P716" s="2">
        <v>39.479999999999997</v>
      </c>
      <c r="Q716" s="2">
        <v>8.5</v>
      </c>
      <c r="R716" s="3" t="str">
        <f t="shared" si="24"/>
        <v>January</v>
      </c>
      <c r="S716" s="3">
        <f t="shared" si="23"/>
        <v>1</v>
      </c>
      <c r="T716" s="3" t="str">
        <f>IF(tbl_sales[[#This Row],[Sales]]&gt;=500,"High Value","Standard")</f>
        <v>High Value</v>
      </c>
      <c r="U716" s="1" t="str">
        <f>IF(tbl_sales[[#This Row],[Order Size]]="High Value","High Value Order","Standard Order")</f>
        <v>High Value Order</v>
      </c>
      <c r="V716" s="1"/>
      <c r="W716" s="17" t="s">
        <v>37</v>
      </c>
      <c r="X716" s="17"/>
      <c r="Y716" s="6"/>
      <c r="Z716" s="1"/>
    </row>
    <row r="717" spans="1:26">
      <c r="A717" s="3" t="s">
        <v>4061</v>
      </c>
      <c r="B717" s="3" t="s">
        <v>22</v>
      </c>
      <c r="C717" s="3" t="s">
        <v>23</v>
      </c>
      <c r="D717" s="3" t="s">
        <v>41</v>
      </c>
      <c r="E717" s="3" t="s">
        <v>25</v>
      </c>
      <c r="F717" s="3" t="s">
        <v>26</v>
      </c>
      <c r="G717" s="2">
        <v>35.68</v>
      </c>
      <c r="H717" s="2">
        <v>5</v>
      </c>
      <c r="I717" s="2">
        <v>8.92</v>
      </c>
      <c r="J717" s="2">
        <v>187.32</v>
      </c>
      <c r="K717" s="5">
        <v>43502</v>
      </c>
      <c r="L717" s="4">
        <v>0.7729166666666667</v>
      </c>
      <c r="M717" s="3" t="s">
        <v>59</v>
      </c>
      <c r="N717" s="2">
        <v>178.4</v>
      </c>
      <c r="O717" s="2">
        <v>4.7619047620000003</v>
      </c>
      <c r="P717" s="2">
        <v>8.92</v>
      </c>
      <c r="Q717" s="2">
        <v>6.6</v>
      </c>
      <c r="R717" s="3" t="str">
        <f t="shared" si="24"/>
        <v>February</v>
      </c>
      <c r="S717" s="3">
        <f t="shared" si="23"/>
        <v>2</v>
      </c>
      <c r="T717" s="3" t="str">
        <f>IF(tbl_sales[[#This Row],[Sales]]&gt;=500,"High Value","Standard")</f>
        <v>Standard</v>
      </c>
      <c r="U717" s="1" t="str">
        <f>IF(tbl_sales[[#This Row],[Order Size]]="High Value","High Value Order","Standard Order")</f>
        <v>Standard Order</v>
      </c>
      <c r="V717" s="1"/>
      <c r="W717" s="17" t="s">
        <v>37</v>
      </c>
      <c r="X717" s="17"/>
      <c r="Y717" s="6"/>
      <c r="Z717" s="1"/>
    </row>
    <row r="718" spans="1:26">
      <c r="A718" s="3" t="s">
        <v>4066</v>
      </c>
      <c r="B718" s="3" t="s">
        <v>22</v>
      </c>
      <c r="C718" s="3" t="s">
        <v>23</v>
      </c>
      <c r="D718" s="3" t="s">
        <v>24</v>
      </c>
      <c r="E718" s="3" t="s">
        <v>25</v>
      </c>
      <c r="F718" s="3" t="s">
        <v>127</v>
      </c>
      <c r="G718" s="2">
        <v>71.459999999999994</v>
      </c>
      <c r="H718" s="2">
        <v>7</v>
      </c>
      <c r="I718" s="2">
        <v>25.010999999999999</v>
      </c>
      <c r="J718" s="2">
        <v>525.23099999999999</v>
      </c>
      <c r="K718" s="5">
        <v>43552</v>
      </c>
      <c r="L718" s="4">
        <v>0.67083333333333328</v>
      </c>
      <c r="M718" s="3" t="s">
        <v>33</v>
      </c>
      <c r="N718" s="2">
        <v>500.22</v>
      </c>
      <c r="O718" s="2">
        <v>4.7619047620000003</v>
      </c>
      <c r="P718" s="2">
        <v>25.010999999999999</v>
      </c>
      <c r="Q718" s="2">
        <v>4.5</v>
      </c>
      <c r="R718" s="3" t="str">
        <f t="shared" si="24"/>
        <v>March</v>
      </c>
      <c r="S718" s="3">
        <f t="shared" si="23"/>
        <v>3</v>
      </c>
      <c r="T718" s="3" t="str">
        <f>IF(tbl_sales[[#This Row],[Sales]]&gt;=500,"High Value","Standard")</f>
        <v>High Value</v>
      </c>
      <c r="U718" s="1" t="str">
        <f>IF(tbl_sales[[#This Row],[Order Size]]="High Value","High Value Order","Standard Order")</f>
        <v>High Value Order</v>
      </c>
      <c r="V718" s="1"/>
      <c r="W718" s="17" t="s">
        <v>37</v>
      </c>
      <c r="X718" s="17"/>
      <c r="Y718" s="6"/>
      <c r="Z718" s="1"/>
    </row>
    <row r="719" spans="1:26">
      <c r="A719" s="3" t="s">
        <v>4072</v>
      </c>
      <c r="B719" s="3" t="s">
        <v>22</v>
      </c>
      <c r="C719" s="3" t="s">
        <v>23</v>
      </c>
      <c r="D719" s="3" t="s">
        <v>24</v>
      </c>
      <c r="E719" s="3" t="s">
        <v>992</v>
      </c>
      <c r="F719" s="3" t="s">
        <v>42</v>
      </c>
      <c r="G719" s="2">
        <v>11.94</v>
      </c>
      <c r="H719" s="2">
        <v>3</v>
      </c>
      <c r="I719" s="2">
        <v>1.7909999999999999</v>
      </c>
      <c r="J719" s="2">
        <v>37.610999999999997</v>
      </c>
      <c r="K719" s="5">
        <v>43484</v>
      </c>
      <c r="L719" s="4">
        <v>0.53263888888888888</v>
      </c>
      <c r="M719" s="3" t="s">
        <v>59</v>
      </c>
      <c r="N719" s="2">
        <v>35.82</v>
      </c>
      <c r="O719" s="2">
        <v>4.7619047620000003</v>
      </c>
      <c r="P719" s="2">
        <v>1.7909999999999999</v>
      </c>
      <c r="Q719" s="2">
        <v>8.1</v>
      </c>
      <c r="R719" s="3" t="str">
        <f t="shared" si="24"/>
        <v>January</v>
      </c>
      <c r="S719" s="3">
        <f t="shared" si="23"/>
        <v>1</v>
      </c>
      <c r="T719" s="3" t="str">
        <f>IF(tbl_sales[[#This Row],[Sales]]&gt;=500,"High Value","Standard")</f>
        <v>Standard</v>
      </c>
      <c r="U719" s="1" t="str">
        <f>IF(tbl_sales[[#This Row],[Order Size]]="High Value","High Value Order","Standard Order")</f>
        <v>Standard Order</v>
      </c>
      <c r="V719" s="1"/>
      <c r="W719" s="17" t="s">
        <v>37</v>
      </c>
      <c r="X719" s="17"/>
      <c r="Y719" s="6"/>
      <c r="Z719" s="1"/>
    </row>
    <row r="720" spans="1:26">
      <c r="A720" s="3" t="s">
        <v>4078</v>
      </c>
      <c r="B720" s="3" t="s">
        <v>22</v>
      </c>
      <c r="C720" s="3" t="s">
        <v>23</v>
      </c>
      <c r="D720" s="3" t="s">
        <v>41</v>
      </c>
      <c r="E720" s="3" t="s">
        <v>992</v>
      </c>
      <c r="F720" s="3" t="s">
        <v>127</v>
      </c>
      <c r="G720" s="2">
        <v>45.38</v>
      </c>
      <c r="H720" s="2">
        <v>3</v>
      </c>
      <c r="I720" s="2">
        <v>6.8070000000000004</v>
      </c>
      <c r="J720" s="2">
        <v>142.947</v>
      </c>
      <c r="K720" s="5">
        <v>43513</v>
      </c>
      <c r="L720" s="4">
        <v>0.56527777777777777</v>
      </c>
      <c r="M720" s="3" t="s">
        <v>59</v>
      </c>
      <c r="N720" s="2">
        <v>136.13999999999999</v>
      </c>
      <c r="O720" s="2">
        <v>4.7619047620000003</v>
      </c>
      <c r="P720" s="2">
        <v>6.8070000000000004</v>
      </c>
      <c r="Q720" s="2">
        <v>7.2</v>
      </c>
      <c r="R720" s="3" t="str">
        <f t="shared" si="24"/>
        <v>February</v>
      </c>
      <c r="S720" s="3">
        <f t="shared" si="23"/>
        <v>2</v>
      </c>
      <c r="T720" s="3" t="str">
        <f>IF(tbl_sales[[#This Row],[Sales]]&gt;=500,"High Value","Standard")</f>
        <v>Standard</v>
      </c>
      <c r="U720" s="1" t="str">
        <f>IF(tbl_sales[[#This Row],[Order Size]]="High Value","High Value Order","Standard Order")</f>
        <v>Standard Order</v>
      </c>
      <c r="V720" s="1"/>
      <c r="W720" s="17" t="s">
        <v>37</v>
      </c>
      <c r="X720" s="17"/>
      <c r="Y720" s="6"/>
      <c r="Z720" s="1"/>
    </row>
    <row r="721" spans="1:26">
      <c r="A721" s="3" t="s">
        <v>4082</v>
      </c>
      <c r="B721" s="3" t="s">
        <v>115</v>
      </c>
      <c r="C721" s="3" t="s">
        <v>116</v>
      </c>
      <c r="D721" s="3" t="s">
        <v>24</v>
      </c>
      <c r="E721" s="3" t="s">
        <v>25</v>
      </c>
      <c r="F721" s="3" t="s">
        <v>127</v>
      </c>
      <c r="G721" s="2">
        <v>17.48</v>
      </c>
      <c r="H721" s="2">
        <v>6</v>
      </c>
      <c r="I721" s="2">
        <v>5.2439999999999998</v>
      </c>
      <c r="J721" s="2">
        <v>110.124</v>
      </c>
      <c r="K721" s="5">
        <v>43483</v>
      </c>
      <c r="L721" s="4">
        <v>0.62777777777777777</v>
      </c>
      <c r="M721" s="3" t="s">
        <v>59</v>
      </c>
      <c r="N721" s="2">
        <v>104.88</v>
      </c>
      <c r="O721" s="2">
        <v>4.7619047620000003</v>
      </c>
      <c r="P721" s="2">
        <v>5.2439999999999998</v>
      </c>
      <c r="Q721" s="2">
        <v>6.1</v>
      </c>
      <c r="R721" s="3" t="str">
        <f t="shared" si="24"/>
        <v>January</v>
      </c>
      <c r="S721" s="3">
        <f t="shared" si="23"/>
        <v>1</v>
      </c>
      <c r="T721" s="3" t="str">
        <f>IF(tbl_sales[[#This Row],[Sales]]&gt;=500,"High Value","Standard")</f>
        <v>Standard</v>
      </c>
      <c r="U721" s="1" t="str">
        <f>IF(tbl_sales[[#This Row],[Order Size]]="High Value","High Value Order","Standard Order")</f>
        <v>Standard Order</v>
      </c>
      <c r="V721" s="1"/>
      <c r="W721" s="17" t="s">
        <v>37</v>
      </c>
      <c r="X721" s="17"/>
      <c r="Y721" s="6"/>
      <c r="Z721" s="1"/>
    </row>
    <row r="722" spans="1:26">
      <c r="A722" s="3" t="s">
        <v>4087</v>
      </c>
      <c r="B722" s="3" t="s">
        <v>115</v>
      </c>
      <c r="C722" s="3" t="s">
        <v>116</v>
      </c>
      <c r="D722" s="3" t="s">
        <v>41</v>
      </c>
      <c r="E722" s="3" t="s">
        <v>25</v>
      </c>
      <c r="F722" s="3" t="s">
        <v>127</v>
      </c>
      <c r="G722" s="2">
        <v>25.56</v>
      </c>
      <c r="H722" s="2">
        <v>7</v>
      </c>
      <c r="I722" s="2">
        <v>8.9459999999999997</v>
      </c>
      <c r="J722" s="2">
        <v>187.86600000000001</v>
      </c>
      <c r="K722" s="5">
        <v>43498</v>
      </c>
      <c r="L722" s="4">
        <v>0.86250000000000004</v>
      </c>
      <c r="M722" s="3" t="s">
        <v>49</v>
      </c>
      <c r="N722" s="2">
        <v>178.92</v>
      </c>
      <c r="O722" s="2">
        <v>4.7619047620000003</v>
      </c>
      <c r="P722" s="2">
        <v>8.9459999999999997</v>
      </c>
      <c r="Q722" s="2">
        <v>7.1</v>
      </c>
      <c r="R722" s="3" t="str">
        <f t="shared" si="24"/>
        <v>February</v>
      </c>
      <c r="S722" s="3">
        <f t="shared" si="23"/>
        <v>2</v>
      </c>
      <c r="T722" s="3" t="str">
        <f>IF(tbl_sales[[#This Row],[Sales]]&gt;=500,"High Value","Standard")</f>
        <v>Standard</v>
      </c>
      <c r="U722" s="1" t="str">
        <f>IF(tbl_sales[[#This Row],[Order Size]]="High Value","High Value Order","Standard Order")</f>
        <v>Standard Order</v>
      </c>
      <c r="V722" s="1"/>
      <c r="W722" s="17" t="s">
        <v>37</v>
      </c>
      <c r="X722" s="17"/>
      <c r="Y722" s="6"/>
      <c r="Z722" s="1"/>
    </row>
    <row r="723" spans="1:26">
      <c r="A723" s="3" t="s">
        <v>4093</v>
      </c>
      <c r="B723" s="3" t="s">
        <v>39</v>
      </c>
      <c r="C723" s="3" t="s">
        <v>40</v>
      </c>
      <c r="D723" s="3" t="s">
        <v>24</v>
      </c>
      <c r="E723" s="3" t="s">
        <v>25</v>
      </c>
      <c r="F723" s="3" t="s">
        <v>72</v>
      </c>
      <c r="G723" s="2">
        <v>90.63</v>
      </c>
      <c r="H723" s="2">
        <v>9</v>
      </c>
      <c r="I723" s="2">
        <v>40.783499999999997</v>
      </c>
      <c r="J723" s="2">
        <v>856.45349999999996</v>
      </c>
      <c r="K723" s="5">
        <v>43483</v>
      </c>
      <c r="L723" s="4">
        <v>0.64444444444444449</v>
      </c>
      <c r="M723" s="3" t="s">
        <v>49</v>
      </c>
      <c r="N723" s="2">
        <v>815.67</v>
      </c>
      <c r="O723" s="2">
        <v>4.7619047620000003</v>
      </c>
      <c r="P723" s="2">
        <v>40.783499999999997</v>
      </c>
      <c r="Q723" s="2">
        <v>5.0999999999999996</v>
      </c>
      <c r="R723" s="3" t="str">
        <f t="shared" si="24"/>
        <v>January</v>
      </c>
      <c r="S723" s="3">
        <f t="shared" si="23"/>
        <v>1</v>
      </c>
      <c r="T723" s="3" t="str">
        <f>IF(tbl_sales[[#This Row],[Sales]]&gt;=500,"High Value","Standard")</f>
        <v>High Value</v>
      </c>
      <c r="U723" s="1" t="str">
        <f>IF(tbl_sales[[#This Row],[Order Size]]="High Value","High Value Order","Standard Order")</f>
        <v>High Value Order</v>
      </c>
      <c r="V723" s="1"/>
      <c r="W723" s="17" t="s">
        <v>37</v>
      </c>
      <c r="X723" s="17"/>
      <c r="Y723" s="6"/>
      <c r="Z723" s="1"/>
    </row>
    <row r="724" spans="1:26">
      <c r="A724" s="3" t="s">
        <v>4098</v>
      </c>
      <c r="B724" s="3" t="s">
        <v>115</v>
      </c>
      <c r="C724" s="3" t="s">
        <v>116</v>
      </c>
      <c r="D724" s="3" t="s">
        <v>41</v>
      </c>
      <c r="E724" s="3" t="s">
        <v>992</v>
      </c>
      <c r="F724" s="3" t="s">
        <v>53</v>
      </c>
      <c r="G724" s="2">
        <v>44.12</v>
      </c>
      <c r="H724" s="2">
        <v>3</v>
      </c>
      <c r="I724" s="2">
        <v>6.6180000000000003</v>
      </c>
      <c r="J724" s="2">
        <v>138.97800000000001</v>
      </c>
      <c r="K724" s="5">
        <v>43542</v>
      </c>
      <c r="L724" s="4">
        <v>0.57291666666666663</v>
      </c>
      <c r="M724" s="3" t="s">
        <v>59</v>
      </c>
      <c r="N724" s="2">
        <v>132.36000000000001</v>
      </c>
      <c r="O724" s="2">
        <v>4.7619047620000003</v>
      </c>
      <c r="P724" s="2">
        <v>6.6180000000000003</v>
      </c>
      <c r="Q724" s="2">
        <v>7.9</v>
      </c>
      <c r="R724" s="3" t="str">
        <f t="shared" si="24"/>
        <v>March</v>
      </c>
      <c r="S724" s="3">
        <f t="shared" si="23"/>
        <v>3</v>
      </c>
      <c r="T724" s="3" t="str">
        <f>IF(tbl_sales[[#This Row],[Sales]]&gt;=500,"High Value","Standard")</f>
        <v>Standard</v>
      </c>
      <c r="U724" s="1" t="str">
        <f>IF(tbl_sales[[#This Row],[Order Size]]="High Value","High Value Order","Standard Order")</f>
        <v>Standard Order</v>
      </c>
      <c r="V724" s="1"/>
      <c r="W724" s="17" t="s">
        <v>37</v>
      </c>
      <c r="X724" s="17"/>
      <c r="Y724" s="6"/>
      <c r="Z724" s="1"/>
    </row>
    <row r="725" spans="1:26">
      <c r="A725" s="3" t="s">
        <v>4103</v>
      </c>
      <c r="B725" s="3" t="s">
        <v>39</v>
      </c>
      <c r="C725" s="3" t="s">
        <v>40</v>
      </c>
      <c r="D725" s="3" t="s">
        <v>24</v>
      </c>
      <c r="E725" s="3" t="s">
        <v>25</v>
      </c>
      <c r="F725" s="3" t="s">
        <v>117</v>
      </c>
      <c r="G725" s="2">
        <v>36.770000000000003</v>
      </c>
      <c r="H725" s="2">
        <v>7</v>
      </c>
      <c r="I725" s="2">
        <v>12.8695</v>
      </c>
      <c r="J725" s="2">
        <v>270.2595</v>
      </c>
      <c r="K725" s="5">
        <v>43476</v>
      </c>
      <c r="L725" s="4">
        <v>0.84027777777777779</v>
      </c>
      <c r="M725" s="3" t="s">
        <v>49</v>
      </c>
      <c r="N725" s="2">
        <v>257.39</v>
      </c>
      <c r="O725" s="2">
        <v>4.7619047620000003</v>
      </c>
      <c r="P725" s="2">
        <v>12.8695</v>
      </c>
      <c r="Q725" s="2">
        <v>7.4</v>
      </c>
      <c r="R725" s="3" t="str">
        <f t="shared" si="24"/>
        <v>January</v>
      </c>
      <c r="S725" s="3">
        <f t="shared" si="23"/>
        <v>1</v>
      </c>
      <c r="T725" s="3" t="str">
        <f>IF(tbl_sales[[#This Row],[Sales]]&gt;=500,"High Value","Standard")</f>
        <v>Standard</v>
      </c>
      <c r="U725" s="1" t="str">
        <f>IF(tbl_sales[[#This Row],[Order Size]]="High Value","High Value Order","Standard Order")</f>
        <v>Standard Order</v>
      </c>
      <c r="V725" s="1"/>
      <c r="W725" s="17" t="s">
        <v>37</v>
      </c>
      <c r="X725" s="17"/>
      <c r="Y725" s="6"/>
      <c r="Z725" s="1"/>
    </row>
    <row r="726" spans="1:26">
      <c r="A726" s="3" t="s">
        <v>4109</v>
      </c>
      <c r="B726" s="3" t="s">
        <v>115</v>
      </c>
      <c r="C726" s="3" t="s">
        <v>116</v>
      </c>
      <c r="D726" s="3" t="s">
        <v>24</v>
      </c>
      <c r="E726" s="3" t="s">
        <v>992</v>
      </c>
      <c r="F726" s="3" t="s">
        <v>117</v>
      </c>
      <c r="G726" s="2">
        <v>23.34</v>
      </c>
      <c r="H726" s="2">
        <v>4</v>
      </c>
      <c r="I726" s="2">
        <v>4.6680000000000001</v>
      </c>
      <c r="J726" s="2">
        <v>98.028000000000006</v>
      </c>
      <c r="K726" s="5">
        <v>43500</v>
      </c>
      <c r="L726" s="4">
        <v>0.78680555555555554</v>
      </c>
      <c r="M726" s="3" t="s">
        <v>33</v>
      </c>
      <c r="N726" s="2">
        <v>93.36</v>
      </c>
      <c r="O726" s="2">
        <v>4.7619047620000003</v>
      </c>
      <c r="P726" s="2">
        <v>4.6680000000000001</v>
      </c>
      <c r="Q726" s="2">
        <v>7.4</v>
      </c>
      <c r="R726" s="3" t="str">
        <f t="shared" si="24"/>
        <v>February</v>
      </c>
      <c r="S726" s="3">
        <f t="shared" si="23"/>
        <v>2</v>
      </c>
      <c r="T726" s="3" t="str">
        <f>IF(tbl_sales[[#This Row],[Sales]]&gt;=500,"High Value","Standard")</f>
        <v>Standard</v>
      </c>
      <c r="U726" s="1" t="str">
        <f>IF(tbl_sales[[#This Row],[Order Size]]="High Value","High Value Order","Standard Order")</f>
        <v>Standard Order</v>
      </c>
      <c r="V726" s="1"/>
      <c r="W726" s="17" t="s">
        <v>37</v>
      </c>
      <c r="X726" s="17"/>
      <c r="Y726" s="6"/>
      <c r="Z726" s="1"/>
    </row>
    <row r="727" spans="1:26">
      <c r="A727" s="3" t="s">
        <v>4114</v>
      </c>
      <c r="B727" s="3" t="s">
        <v>39</v>
      </c>
      <c r="C727" s="3" t="s">
        <v>40</v>
      </c>
      <c r="D727" s="3" t="s">
        <v>24</v>
      </c>
      <c r="E727" s="3" t="s">
        <v>25</v>
      </c>
      <c r="F727" s="3" t="s">
        <v>26</v>
      </c>
      <c r="G727" s="2">
        <v>28.5</v>
      </c>
      <c r="H727" s="2">
        <v>8</v>
      </c>
      <c r="I727" s="2">
        <v>11.4</v>
      </c>
      <c r="J727" s="2">
        <v>239.4</v>
      </c>
      <c r="K727" s="5">
        <v>43502</v>
      </c>
      <c r="L727" s="4">
        <v>0.6</v>
      </c>
      <c r="M727" s="3" t="s">
        <v>49</v>
      </c>
      <c r="N727" s="2">
        <v>228</v>
      </c>
      <c r="O727" s="2">
        <v>4.7619047620000003</v>
      </c>
      <c r="P727" s="2">
        <v>11.4</v>
      </c>
      <c r="Q727" s="2">
        <v>6.6</v>
      </c>
      <c r="R727" s="3" t="str">
        <f t="shared" si="24"/>
        <v>February</v>
      </c>
      <c r="S727" s="3">
        <f t="shared" si="23"/>
        <v>2</v>
      </c>
      <c r="T727" s="3" t="str">
        <f>IF(tbl_sales[[#This Row],[Sales]]&gt;=500,"High Value","Standard")</f>
        <v>Standard</v>
      </c>
      <c r="U727" s="1" t="str">
        <f>IF(tbl_sales[[#This Row],[Order Size]]="High Value","High Value Order","Standard Order")</f>
        <v>Standard Order</v>
      </c>
      <c r="V727" s="1"/>
      <c r="W727" s="17" t="s">
        <v>37</v>
      </c>
      <c r="X727" s="17"/>
      <c r="Y727" s="6"/>
      <c r="Z727" s="1"/>
    </row>
    <row r="728" spans="1:26">
      <c r="A728" s="3" t="s">
        <v>4120</v>
      </c>
      <c r="B728" s="3" t="s">
        <v>39</v>
      </c>
      <c r="C728" s="3" t="s">
        <v>40</v>
      </c>
      <c r="D728" s="3" t="s">
        <v>24</v>
      </c>
      <c r="E728" s="3" t="s">
        <v>992</v>
      </c>
      <c r="F728" s="3" t="s">
        <v>53</v>
      </c>
      <c r="G728" s="2">
        <v>55.57</v>
      </c>
      <c r="H728" s="2">
        <v>3</v>
      </c>
      <c r="I728" s="2">
        <v>8.3354999999999997</v>
      </c>
      <c r="J728" s="2">
        <v>175.0455</v>
      </c>
      <c r="K728" s="5">
        <v>43473</v>
      </c>
      <c r="L728" s="4">
        <v>0.48749999999999999</v>
      </c>
      <c r="M728" s="3" t="s">
        <v>59</v>
      </c>
      <c r="N728" s="2">
        <v>166.71</v>
      </c>
      <c r="O728" s="2">
        <v>4.7619047620000003</v>
      </c>
      <c r="P728" s="2">
        <v>8.3354999999999997</v>
      </c>
      <c r="Q728" s="2">
        <v>5.9</v>
      </c>
      <c r="R728" s="3" t="str">
        <f t="shared" si="24"/>
        <v>January</v>
      </c>
      <c r="S728" s="3">
        <f t="shared" si="23"/>
        <v>1</v>
      </c>
      <c r="T728" s="3" t="str">
        <f>IF(tbl_sales[[#This Row],[Sales]]&gt;=500,"High Value","Standard")</f>
        <v>Standard</v>
      </c>
      <c r="U728" s="1" t="str">
        <f>IF(tbl_sales[[#This Row],[Order Size]]="High Value","High Value Order","Standard Order")</f>
        <v>Standard Order</v>
      </c>
      <c r="V728" s="1"/>
      <c r="W728" s="17" t="s">
        <v>37</v>
      </c>
      <c r="X728" s="17"/>
      <c r="Y728" s="6"/>
      <c r="Z728" s="1"/>
    </row>
    <row r="729" spans="1:26">
      <c r="A729" s="3" t="s">
        <v>4126</v>
      </c>
      <c r="B729" s="3" t="s">
        <v>115</v>
      </c>
      <c r="C729" s="3" t="s">
        <v>116</v>
      </c>
      <c r="D729" s="3" t="s">
        <v>41</v>
      </c>
      <c r="E729" s="3" t="s">
        <v>992</v>
      </c>
      <c r="F729" s="3" t="s">
        <v>72</v>
      </c>
      <c r="G729" s="2">
        <v>69.739999999999995</v>
      </c>
      <c r="H729" s="2">
        <v>10</v>
      </c>
      <c r="I729" s="2">
        <v>34.869999999999997</v>
      </c>
      <c r="J729" s="2">
        <v>732.27</v>
      </c>
      <c r="K729" s="5">
        <v>43529</v>
      </c>
      <c r="L729" s="4">
        <v>0.74236111111111114</v>
      </c>
      <c r="M729" s="3" t="s">
        <v>59</v>
      </c>
      <c r="N729" s="2">
        <v>697.4</v>
      </c>
      <c r="O729" s="2">
        <v>4.7619047620000003</v>
      </c>
      <c r="P729" s="2">
        <v>34.869999999999997</v>
      </c>
      <c r="Q729" s="2">
        <v>8.9</v>
      </c>
      <c r="R729" s="3" t="str">
        <f t="shared" si="24"/>
        <v>March</v>
      </c>
      <c r="S729" s="3">
        <f t="shared" si="23"/>
        <v>3</v>
      </c>
      <c r="T729" s="3" t="str">
        <f>IF(tbl_sales[[#This Row],[Sales]]&gt;=500,"High Value","Standard")</f>
        <v>High Value</v>
      </c>
      <c r="U729" s="1" t="str">
        <f>IF(tbl_sales[[#This Row],[Order Size]]="High Value","High Value Order","Standard Order")</f>
        <v>High Value Order</v>
      </c>
      <c r="V729" s="1"/>
      <c r="W729" s="17" t="s">
        <v>37</v>
      </c>
      <c r="X729" s="17"/>
      <c r="Y729" s="6"/>
      <c r="Z729" s="1"/>
    </row>
    <row r="730" spans="1:26">
      <c r="A730" s="3" t="s">
        <v>4132</v>
      </c>
      <c r="B730" s="3" t="s">
        <v>39</v>
      </c>
      <c r="C730" s="3" t="s">
        <v>40</v>
      </c>
      <c r="D730" s="3" t="s">
        <v>41</v>
      </c>
      <c r="E730" s="3" t="s">
        <v>992</v>
      </c>
      <c r="F730" s="3" t="s">
        <v>127</v>
      </c>
      <c r="G730" s="2">
        <v>97.26</v>
      </c>
      <c r="H730" s="2">
        <v>4</v>
      </c>
      <c r="I730" s="2">
        <v>19.452000000000002</v>
      </c>
      <c r="J730" s="2">
        <v>408.49200000000002</v>
      </c>
      <c r="K730" s="5">
        <v>43540</v>
      </c>
      <c r="L730" s="4">
        <v>0.6479166666666667</v>
      </c>
      <c r="M730" s="3" t="s">
        <v>33</v>
      </c>
      <c r="N730" s="2">
        <v>389.04</v>
      </c>
      <c r="O730" s="2">
        <v>4.7619047620000003</v>
      </c>
      <c r="P730" s="2">
        <v>19.452000000000002</v>
      </c>
      <c r="Q730" s="2">
        <v>6.8</v>
      </c>
      <c r="R730" s="3" t="str">
        <f t="shared" si="24"/>
        <v>March</v>
      </c>
      <c r="S730" s="3">
        <f t="shared" si="23"/>
        <v>3</v>
      </c>
      <c r="T730" s="3" t="str">
        <f>IF(tbl_sales[[#This Row],[Sales]]&gt;=500,"High Value","Standard")</f>
        <v>Standard</v>
      </c>
      <c r="U730" s="1" t="str">
        <f>IF(tbl_sales[[#This Row],[Order Size]]="High Value","High Value Order","Standard Order")</f>
        <v>Standard Order</v>
      </c>
      <c r="V730" s="1"/>
      <c r="W730" s="17" t="s">
        <v>37</v>
      </c>
      <c r="X730" s="17"/>
      <c r="Y730" s="6"/>
      <c r="Z730" s="1"/>
    </row>
    <row r="731" spans="1:26">
      <c r="A731" s="3" t="s">
        <v>4138</v>
      </c>
      <c r="B731" s="3" t="s">
        <v>115</v>
      </c>
      <c r="C731" s="3" t="s">
        <v>116</v>
      </c>
      <c r="D731" s="3" t="s">
        <v>24</v>
      </c>
      <c r="E731" s="3" t="s">
        <v>25</v>
      </c>
      <c r="F731" s="3" t="s">
        <v>53</v>
      </c>
      <c r="G731" s="2">
        <v>52.18</v>
      </c>
      <c r="H731" s="2">
        <v>7</v>
      </c>
      <c r="I731" s="2">
        <v>18.263000000000002</v>
      </c>
      <c r="J731" s="2">
        <v>383.52300000000002</v>
      </c>
      <c r="K731" s="5">
        <v>43533</v>
      </c>
      <c r="L731" s="4">
        <v>0.45416666666666666</v>
      </c>
      <c r="M731" s="3" t="s">
        <v>49</v>
      </c>
      <c r="N731" s="2">
        <v>365.26</v>
      </c>
      <c r="O731" s="2">
        <v>4.7619047620000003</v>
      </c>
      <c r="P731" s="2">
        <v>18.263000000000002</v>
      </c>
      <c r="Q731" s="2">
        <v>9.3000000000000007</v>
      </c>
      <c r="R731" s="3" t="str">
        <f t="shared" si="24"/>
        <v>March</v>
      </c>
      <c r="S731" s="3">
        <f t="shared" si="23"/>
        <v>3</v>
      </c>
      <c r="T731" s="3" t="str">
        <f>IF(tbl_sales[[#This Row],[Sales]]&gt;=500,"High Value","Standard")</f>
        <v>Standard</v>
      </c>
      <c r="U731" s="1" t="str">
        <f>IF(tbl_sales[[#This Row],[Order Size]]="High Value","High Value Order","Standard Order")</f>
        <v>Standard Order</v>
      </c>
      <c r="V731" s="1"/>
      <c r="W731" s="17" t="s">
        <v>37</v>
      </c>
      <c r="X731" s="17"/>
      <c r="Y731" s="6"/>
      <c r="Z731" s="1"/>
    </row>
    <row r="732" spans="1:26">
      <c r="A732" s="3" t="s">
        <v>4143</v>
      </c>
      <c r="B732" s="3" t="s">
        <v>22</v>
      </c>
      <c r="C732" s="3" t="s">
        <v>23</v>
      </c>
      <c r="D732" s="3" t="s">
        <v>24</v>
      </c>
      <c r="E732" s="3" t="s">
        <v>25</v>
      </c>
      <c r="F732" s="3" t="s">
        <v>127</v>
      </c>
      <c r="G732" s="2">
        <v>22.32</v>
      </c>
      <c r="H732" s="2">
        <v>4</v>
      </c>
      <c r="I732" s="2">
        <v>4.4640000000000004</v>
      </c>
      <c r="J732" s="2">
        <v>93.744</v>
      </c>
      <c r="K732" s="5">
        <v>43525</v>
      </c>
      <c r="L732" s="4">
        <v>0.68263888888888891</v>
      </c>
      <c r="M732" s="3" t="s">
        <v>59</v>
      </c>
      <c r="N732" s="2">
        <v>89.28</v>
      </c>
      <c r="O732" s="2">
        <v>4.7619047620000003</v>
      </c>
      <c r="P732" s="2">
        <v>4.4640000000000004</v>
      </c>
      <c r="Q732" s="2">
        <v>4.4000000000000004</v>
      </c>
      <c r="R732" s="3" t="str">
        <f t="shared" si="24"/>
        <v>March</v>
      </c>
      <c r="S732" s="3">
        <f t="shared" si="23"/>
        <v>3</v>
      </c>
      <c r="T732" s="3" t="str">
        <f>IF(tbl_sales[[#This Row],[Sales]]&gt;=500,"High Value","Standard")</f>
        <v>Standard</v>
      </c>
      <c r="U732" s="1" t="str">
        <f>IF(tbl_sales[[#This Row],[Order Size]]="High Value","High Value Order","Standard Order")</f>
        <v>Standard Order</v>
      </c>
      <c r="V732" s="1"/>
      <c r="W732" s="17" t="s">
        <v>37</v>
      </c>
      <c r="X732" s="17"/>
      <c r="Y732" s="6"/>
      <c r="Z732" s="1"/>
    </row>
    <row r="733" spans="1:26">
      <c r="A733" s="3" t="s">
        <v>4148</v>
      </c>
      <c r="B733" s="3" t="s">
        <v>22</v>
      </c>
      <c r="C733" s="3" t="s">
        <v>23</v>
      </c>
      <c r="D733" s="3" t="s">
        <v>41</v>
      </c>
      <c r="E733" s="3" t="s">
        <v>992</v>
      </c>
      <c r="F733" s="3" t="s">
        <v>26</v>
      </c>
      <c r="G733" s="2">
        <v>56</v>
      </c>
      <c r="H733" s="2">
        <v>3</v>
      </c>
      <c r="I733" s="2">
        <v>8.4</v>
      </c>
      <c r="J733" s="2">
        <v>176.4</v>
      </c>
      <c r="K733" s="5">
        <v>43524</v>
      </c>
      <c r="L733" s="4">
        <v>0.81458333333333333</v>
      </c>
      <c r="M733" s="3" t="s">
        <v>33</v>
      </c>
      <c r="N733" s="2">
        <v>168</v>
      </c>
      <c r="O733" s="2">
        <v>4.7619047620000003</v>
      </c>
      <c r="P733" s="2">
        <v>8.4</v>
      </c>
      <c r="Q733" s="2">
        <v>4.8</v>
      </c>
      <c r="R733" s="3" t="str">
        <f t="shared" si="24"/>
        <v>February</v>
      </c>
      <c r="S733" s="3">
        <f t="shared" si="23"/>
        <v>2</v>
      </c>
      <c r="T733" s="3" t="str">
        <f>IF(tbl_sales[[#This Row],[Sales]]&gt;=500,"High Value","Standard")</f>
        <v>Standard</v>
      </c>
      <c r="U733" s="1" t="str">
        <f>IF(tbl_sales[[#This Row],[Order Size]]="High Value","High Value Order","Standard Order")</f>
        <v>Standard Order</v>
      </c>
      <c r="V733" s="1"/>
      <c r="W733" s="17" t="s">
        <v>37</v>
      </c>
      <c r="X733" s="17"/>
      <c r="Y733" s="6"/>
      <c r="Z733" s="1"/>
    </row>
    <row r="734" spans="1:26">
      <c r="A734" s="3" t="s">
        <v>4152</v>
      </c>
      <c r="B734" s="3" t="s">
        <v>22</v>
      </c>
      <c r="C734" s="3" t="s">
        <v>23</v>
      </c>
      <c r="D734" s="3" t="s">
        <v>24</v>
      </c>
      <c r="E734" s="3" t="s">
        <v>992</v>
      </c>
      <c r="F734" s="3" t="s">
        <v>127</v>
      </c>
      <c r="G734" s="2">
        <v>19.7</v>
      </c>
      <c r="H734" s="2">
        <v>1</v>
      </c>
      <c r="I734" s="2">
        <v>0.98499999999999999</v>
      </c>
      <c r="J734" s="2">
        <v>20.684999999999999</v>
      </c>
      <c r="K734" s="5">
        <v>43504</v>
      </c>
      <c r="L734" s="4">
        <v>0.48541666666666666</v>
      </c>
      <c r="M734" s="3" t="s">
        <v>33</v>
      </c>
      <c r="N734" s="2">
        <v>19.7</v>
      </c>
      <c r="O734" s="2">
        <v>4.7619047620000003</v>
      </c>
      <c r="P734" s="2">
        <v>0.98499999999999999</v>
      </c>
      <c r="Q734" s="2">
        <v>9.5</v>
      </c>
      <c r="R734" s="3" t="str">
        <f t="shared" si="24"/>
        <v>February</v>
      </c>
      <c r="S734" s="3">
        <f t="shared" si="23"/>
        <v>2</v>
      </c>
      <c r="T734" s="3" t="str">
        <f>IF(tbl_sales[[#This Row],[Sales]]&gt;=500,"High Value","Standard")</f>
        <v>Standard</v>
      </c>
      <c r="U734" s="1" t="str">
        <f>IF(tbl_sales[[#This Row],[Order Size]]="High Value","High Value Order","Standard Order")</f>
        <v>Standard Order</v>
      </c>
      <c r="V734" s="1"/>
      <c r="W734" s="17" t="s">
        <v>37</v>
      </c>
      <c r="X734" s="17"/>
      <c r="Y734" s="6"/>
      <c r="Z734" s="1"/>
    </row>
    <row r="735" spans="1:26">
      <c r="A735" s="3" t="s">
        <v>4156</v>
      </c>
      <c r="B735" s="3" t="s">
        <v>115</v>
      </c>
      <c r="C735" s="3" t="s">
        <v>116</v>
      </c>
      <c r="D735" s="3" t="s">
        <v>41</v>
      </c>
      <c r="E735" s="3" t="s">
        <v>992</v>
      </c>
      <c r="F735" s="3" t="s">
        <v>42</v>
      </c>
      <c r="G735" s="2">
        <v>75.88</v>
      </c>
      <c r="H735" s="2">
        <v>7</v>
      </c>
      <c r="I735" s="2">
        <v>26.558</v>
      </c>
      <c r="J735" s="2">
        <v>557.71799999999996</v>
      </c>
      <c r="K735" s="5">
        <v>43489</v>
      </c>
      <c r="L735" s="4">
        <v>0.44305555555555554</v>
      </c>
      <c r="M735" s="3" t="s">
        <v>33</v>
      </c>
      <c r="N735" s="2">
        <v>531.16</v>
      </c>
      <c r="O735" s="2">
        <v>4.7619047620000003</v>
      </c>
      <c r="P735" s="2">
        <v>26.558</v>
      </c>
      <c r="Q735" s="2">
        <v>8.9</v>
      </c>
      <c r="R735" s="3" t="str">
        <f t="shared" si="24"/>
        <v>January</v>
      </c>
      <c r="S735" s="3">
        <f t="shared" si="23"/>
        <v>1</v>
      </c>
      <c r="T735" s="3" t="str">
        <f>IF(tbl_sales[[#This Row],[Sales]]&gt;=500,"High Value","Standard")</f>
        <v>High Value</v>
      </c>
      <c r="U735" s="1" t="str">
        <f>IF(tbl_sales[[#This Row],[Order Size]]="High Value","High Value Order","Standard Order")</f>
        <v>High Value Order</v>
      </c>
      <c r="V735" s="1"/>
      <c r="W735" s="17" t="s">
        <v>37</v>
      </c>
      <c r="X735" s="17"/>
      <c r="Y735" s="6"/>
      <c r="Z735" s="1"/>
    </row>
    <row r="736" spans="1:26">
      <c r="A736" s="3" t="s">
        <v>4161</v>
      </c>
      <c r="B736" s="3" t="s">
        <v>115</v>
      </c>
      <c r="C736" s="3" t="s">
        <v>116</v>
      </c>
      <c r="D736" s="3" t="s">
        <v>24</v>
      </c>
      <c r="E736" s="3" t="s">
        <v>992</v>
      </c>
      <c r="F736" s="3" t="s">
        <v>117</v>
      </c>
      <c r="G736" s="2">
        <v>53.72</v>
      </c>
      <c r="H736" s="2">
        <v>1</v>
      </c>
      <c r="I736" s="2">
        <v>2.6859999999999999</v>
      </c>
      <c r="J736" s="2">
        <v>56.405999999999999</v>
      </c>
      <c r="K736" s="5">
        <v>43525</v>
      </c>
      <c r="L736" s="4">
        <v>0.8354166666666667</v>
      </c>
      <c r="M736" s="3" t="s">
        <v>33</v>
      </c>
      <c r="N736" s="2">
        <v>53.72</v>
      </c>
      <c r="O736" s="2">
        <v>4.7619047620000003</v>
      </c>
      <c r="P736" s="2">
        <v>2.6859999999999999</v>
      </c>
      <c r="Q736" s="2">
        <v>6.4</v>
      </c>
      <c r="R736" s="3" t="str">
        <f t="shared" si="24"/>
        <v>March</v>
      </c>
      <c r="S736" s="3">
        <f t="shared" si="23"/>
        <v>3</v>
      </c>
      <c r="T736" s="3" t="str">
        <f>IF(tbl_sales[[#This Row],[Sales]]&gt;=500,"High Value","Standard")</f>
        <v>Standard</v>
      </c>
      <c r="U736" s="1" t="str">
        <f>IF(tbl_sales[[#This Row],[Order Size]]="High Value","High Value Order","Standard Order")</f>
        <v>Standard Order</v>
      </c>
      <c r="V736" s="1"/>
      <c r="W736" s="17" t="s">
        <v>37</v>
      </c>
      <c r="X736" s="17"/>
      <c r="Y736" s="6"/>
      <c r="Z736" s="1"/>
    </row>
    <row r="737" spans="1:26">
      <c r="A737" s="3" t="s">
        <v>4165</v>
      </c>
      <c r="B737" s="3" t="s">
        <v>39</v>
      </c>
      <c r="C737" s="3" t="s">
        <v>40</v>
      </c>
      <c r="D737" s="3" t="s">
        <v>24</v>
      </c>
      <c r="E737" s="3" t="s">
        <v>992</v>
      </c>
      <c r="F737" s="3" t="s">
        <v>26</v>
      </c>
      <c r="G737" s="2">
        <v>81.95</v>
      </c>
      <c r="H737" s="2">
        <v>10</v>
      </c>
      <c r="I737" s="2">
        <v>40.975000000000001</v>
      </c>
      <c r="J737" s="2">
        <v>860.47500000000002</v>
      </c>
      <c r="K737" s="5">
        <v>43534</v>
      </c>
      <c r="L737" s="4">
        <v>0.52708333333333335</v>
      </c>
      <c r="M737" s="3" t="s">
        <v>59</v>
      </c>
      <c r="N737" s="2">
        <v>819.5</v>
      </c>
      <c r="O737" s="2">
        <v>4.7619047620000003</v>
      </c>
      <c r="P737" s="2">
        <v>40.975000000000001</v>
      </c>
      <c r="Q737" s="2">
        <v>6</v>
      </c>
      <c r="R737" s="3" t="str">
        <f t="shared" si="24"/>
        <v>March</v>
      </c>
      <c r="S737" s="3">
        <f t="shared" si="23"/>
        <v>3</v>
      </c>
      <c r="T737" s="3" t="str">
        <f>IF(tbl_sales[[#This Row],[Sales]]&gt;=500,"High Value","Standard")</f>
        <v>High Value</v>
      </c>
      <c r="U737" s="1" t="str">
        <f>IF(tbl_sales[[#This Row],[Order Size]]="High Value","High Value Order","Standard Order")</f>
        <v>High Value Order</v>
      </c>
      <c r="V737" s="1"/>
      <c r="W737" s="17" t="s">
        <v>37</v>
      </c>
      <c r="X737" s="17"/>
      <c r="Y737" s="6"/>
      <c r="Z737" s="1"/>
    </row>
    <row r="738" spans="1:26">
      <c r="A738" s="3" t="s">
        <v>4171</v>
      </c>
      <c r="B738" s="3" t="s">
        <v>39</v>
      </c>
      <c r="C738" s="3" t="s">
        <v>40</v>
      </c>
      <c r="D738" s="3" t="s">
        <v>24</v>
      </c>
      <c r="E738" s="3" t="s">
        <v>25</v>
      </c>
      <c r="F738" s="3" t="s">
        <v>53</v>
      </c>
      <c r="G738" s="2">
        <v>81.2</v>
      </c>
      <c r="H738" s="2">
        <v>7</v>
      </c>
      <c r="I738" s="2">
        <v>28.42</v>
      </c>
      <c r="J738" s="2">
        <v>596.82000000000005</v>
      </c>
      <c r="K738" s="5">
        <v>43547</v>
      </c>
      <c r="L738" s="4">
        <v>0.66597222222222219</v>
      </c>
      <c r="M738" s="3" t="s">
        <v>59</v>
      </c>
      <c r="N738" s="2">
        <v>568.4</v>
      </c>
      <c r="O738" s="2">
        <v>4.7619047620000003</v>
      </c>
      <c r="P738" s="2">
        <v>28.42</v>
      </c>
      <c r="Q738" s="2">
        <v>8.1</v>
      </c>
      <c r="R738" s="3" t="str">
        <f t="shared" si="24"/>
        <v>March</v>
      </c>
      <c r="S738" s="3">
        <f t="shared" si="23"/>
        <v>3</v>
      </c>
      <c r="T738" s="3" t="str">
        <f>IF(tbl_sales[[#This Row],[Sales]]&gt;=500,"High Value","Standard")</f>
        <v>High Value</v>
      </c>
      <c r="U738" s="1" t="str">
        <f>IF(tbl_sales[[#This Row],[Order Size]]="High Value","High Value Order","Standard Order")</f>
        <v>High Value Order</v>
      </c>
      <c r="V738" s="1"/>
      <c r="W738" s="17" t="s">
        <v>37</v>
      </c>
      <c r="X738" s="17"/>
      <c r="Y738" s="6"/>
      <c r="Z738" s="1"/>
    </row>
    <row r="739" spans="1:26">
      <c r="A739" s="3" t="s">
        <v>4176</v>
      </c>
      <c r="B739" s="3" t="s">
        <v>39</v>
      </c>
      <c r="C739" s="3" t="s">
        <v>40</v>
      </c>
      <c r="D739" s="3" t="s">
        <v>41</v>
      </c>
      <c r="E739" s="3" t="s">
        <v>992</v>
      </c>
      <c r="F739" s="3" t="s">
        <v>42</v>
      </c>
      <c r="G739" s="2">
        <v>58.76</v>
      </c>
      <c r="H739" s="2">
        <v>10</v>
      </c>
      <c r="I739" s="2">
        <v>29.38</v>
      </c>
      <c r="J739" s="2">
        <v>616.98</v>
      </c>
      <c r="K739" s="5">
        <v>43494</v>
      </c>
      <c r="L739" s="4">
        <v>0.60138888888888886</v>
      </c>
      <c r="M739" s="3" t="s">
        <v>33</v>
      </c>
      <c r="N739" s="2">
        <v>587.6</v>
      </c>
      <c r="O739" s="2">
        <v>4.7619047620000003</v>
      </c>
      <c r="P739" s="2">
        <v>29.38</v>
      </c>
      <c r="Q739" s="2">
        <v>9</v>
      </c>
      <c r="R739" s="3" t="str">
        <f t="shared" si="24"/>
        <v>January</v>
      </c>
      <c r="S739" s="3">
        <f t="shared" si="23"/>
        <v>1</v>
      </c>
      <c r="T739" s="3" t="str">
        <f>IF(tbl_sales[[#This Row],[Sales]]&gt;=500,"High Value","Standard")</f>
        <v>High Value</v>
      </c>
      <c r="U739" s="1" t="str">
        <f>IF(tbl_sales[[#This Row],[Order Size]]="High Value","High Value Order","Standard Order")</f>
        <v>High Value Order</v>
      </c>
      <c r="V739" s="1"/>
      <c r="W739" s="17" t="s">
        <v>37</v>
      </c>
      <c r="X739" s="17"/>
      <c r="Y739" s="6"/>
      <c r="Z739" s="1"/>
    </row>
    <row r="740" spans="1:26">
      <c r="A740" s="3" t="s">
        <v>4182</v>
      </c>
      <c r="B740" s="3" t="s">
        <v>115</v>
      </c>
      <c r="C740" s="3" t="s">
        <v>116</v>
      </c>
      <c r="D740" s="3" t="s">
        <v>24</v>
      </c>
      <c r="E740" s="3" t="s">
        <v>992</v>
      </c>
      <c r="F740" s="3" t="s">
        <v>42</v>
      </c>
      <c r="G740" s="2">
        <v>91.56</v>
      </c>
      <c r="H740" s="2">
        <v>8</v>
      </c>
      <c r="I740" s="2">
        <v>36.624000000000002</v>
      </c>
      <c r="J740" s="2">
        <v>769.10400000000004</v>
      </c>
      <c r="K740" s="5">
        <v>43477</v>
      </c>
      <c r="L740" s="4">
        <v>0.76527777777777772</v>
      </c>
      <c r="M740" s="3" t="s">
        <v>33</v>
      </c>
      <c r="N740" s="2">
        <v>732.48</v>
      </c>
      <c r="O740" s="2">
        <v>4.7619047620000003</v>
      </c>
      <c r="P740" s="2">
        <v>36.624000000000002</v>
      </c>
      <c r="Q740" s="2">
        <v>6</v>
      </c>
      <c r="R740" s="3" t="str">
        <f t="shared" si="24"/>
        <v>January</v>
      </c>
      <c r="S740" s="3">
        <f t="shared" si="23"/>
        <v>1</v>
      </c>
      <c r="T740" s="3" t="str">
        <f>IF(tbl_sales[[#This Row],[Sales]]&gt;=500,"High Value","Standard")</f>
        <v>High Value</v>
      </c>
      <c r="U740" s="1" t="str">
        <f>IF(tbl_sales[[#This Row],[Order Size]]="High Value","High Value Order","Standard Order")</f>
        <v>High Value Order</v>
      </c>
      <c r="V740" s="1"/>
      <c r="W740" s="17" t="s">
        <v>37</v>
      </c>
      <c r="X740" s="17"/>
      <c r="Y740" s="6"/>
      <c r="Z740" s="1"/>
    </row>
    <row r="741" spans="1:26">
      <c r="A741" s="3" t="s">
        <v>4186</v>
      </c>
      <c r="B741" s="3" t="s">
        <v>22</v>
      </c>
      <c r="C741" s="3" t="s">
        <v>23</v>
      </c>
      <c r="D741" s="3" t="s">
        <v>41</v>
      </c>
      <c r="E741" s="3" t="s">
        <v>992</v>
      </c>
      <c r="F741" s="3" t="s">
        <v>53</v>
      </c>
      <c r="G741" s="2">
        <v>93.96</v>
      </c>
      <c r="H741" s="2">
        <v>9</v>
      </c>
      <c r="I741" s="2">
        <v>42.281999999999996</v>
      </c>
      <c r="J741" s="2">
        <v>887.92200000000003</v>
      </c>
      <c r="K741" s="5">
        <v>43544</v>
      </c>
      <c r="L741" s="4">
        <v>0.48055555555555557</v>
      </c>
      <c r="M741" s="3" t="s">
        <v>49</v>
      </c>
      <c r="N741" s="2">
        <v>845.64</v>
      </c>
      <c r="O741" s="2">
        <v>4.7619047620000003</v>
      </c>
      <c r="P741" s="2">
        <v>42.281999999999996</v>
      </c>
      <c r="Q741" s="2">
        <v>9.8000000000000007</v>
      </c>
      <c r="R741" s="3" t="str">
        <f t="shared" si="24"/>
        <v>March</v>
      </c>
      <c r="S741" s="3">
        <f t="shared" si="23"/>
        <v>3</v>
      </c>
      <c r="T741" s="3" t="str">
        <f>IF(tbl_sales[[#This Row],[Sales]]&gt;=500,"High Value","Standard")</f>
        <v>High Value</v>
      </c>
      <c r="U741" s="1" t="str">
        <f>IF(tbl_sales[[#This Row],[Order Size]]="High Value","High Value Order","Standard Order")</f>
        <v>High Value Order</v>
      </c>
      <c r="V741" s="1"/>
      <c r="W741" s="17" t="s">
        <v>37</v>
      </c>
      <c r="X741" s="17"/>
      <c r="Y741" s="6"/>
      <c r="Z741" s="1"/>
    </row>
    <row r="742" spans="1:26">
      <c r="A742" s="3" t="s">
        <v>4190</v>
      </c>
      <c r="B742" s="3" t="s">
        <v>39</v>
      </c>
      <c r="C742" s="3" t="s">
        <v>40</v>
      </c>
      <c r="D742" s="3" t="s">
        <v>41</v>
      </c>
      <c r="E742" s="3" t="s">
        <v>992</v>
      </c>
      <c r="F742" s="3" t="s">
        <v>53</v>
      </c>
      <c r="G742" s="2">
        <v>55.61</v>
      </c>
      <c r="H742" s="2">
        <v>7</v>
      </c>
      <c r="I742" s="2">
        <v>19.4635</v>
      </c>
      <c r="J742" s="2">
        <v>408.73349999999999</v>
      </c>
      <c r="K742" s="5">
        <v>43547</v>
      </c>
      <c r="L742" s="4">
        <v>0.52847222222222223</v>
      </c>
      <c r="M742" s="3" t="s">
        <v>49</v>
      </c>
      <c r="N742" s="2">
        <v>389.27</v>
      </c>
      <c r="O742" s="2">
        <v>4.7619047620000003</v>
      </c>
      <c r="P742" s="2">
        <v>19.4635</v>
      </c>
      <c r="Q742" s="2">
        <v>8.5</v>
      </c>
      <c r="R742" s="3" t="str">
        <f t="shared" si="24"/>
        <v>March</v>
      </c>
      <c r="S742" s="3">
        <f t="shared" si="23"/>
        <v>3</v>
      </c>
      <c r="T742" s="3" t="str">
        <f>IF(tbl_sales[[#This Row],[Sales]]&gt;=500,"High Value","Standard")</f>
        <v>Standard</v>
      </c>
      <c r="U742" s="1" t="str">
        <f>IF(tbl_sales[[#This Row],[Order Size]]="High Value","High Value Order","Standard Order")</f>
        <v>Standard Order</v>
      </c>
      <c r="V742" s="1"/>
      <c r="W742" s="17" t="s">
        <v>37</v>
      </c>
      <c r="X742" s="17"/>
      <c r="Y742" s="6"/>
      <c r="Z742" s="1"/>
    </row>
    <row r="743" spans="1:26">
      <c r="A743" s="3" t="s">
        <v>4196</v>
      </c>
      <c r="B743" s="3" t="s">
        <v>39</v>
      </c>
      <c r="C743" s="3" t="s">
        <v>40</v>
      </c>
      <c r="D743" s="3" t="s">
        <v>41</v>
      </c>
      <c r="E743" s="3" t="s">
        <v>992</v>
      </c>
      <c r="F743" s="3" t="s">
        <v>117</v>
      </c>
      <c r="G743" s="2">
        <v>84.83</v>
      </c>
      <c r="H743" s="2">
        <v>1</v>
      </c>
      <c r="I743" s="2">
        <v>4.2415000000000003</v>
      </c>
      <c r="J743" s="2">
        <v>89.0715</v>
      </c>
      <c r="K743" s="5">
        <v>43479</v>
      </c>
      <c r="L743" s="4">
        <v>0.63888888888888884</v>
      </c>
      <c r="M743" s="3" t="s">
        <v>33</v>
      </c>
      <c r="N743" s="2">
        <v>84.83</v>
      </c>
      <c r="O743" s="2">
        <v>4.7619047620000003</v>
      </c>
      <c r="P743" s="2">
        <v>4.2415000000000003</v>
      </c>
      <c r="Q743" s="2">
        <v>8.8000000000000007</v>
      </c>
      <c r="R743" s="3" t="str">
        <f t="shared" si="24"/>
        <v>January</v>
      </c>
      <c r="S743" s="3">
        <f t="shared" si="23"/>
        <v>1</v>
      </c>
      <c r="T743" s="3" t="str">
        <f>IF(tbl_sales[[#This Row],[Sales]]&gt;=500,"High Value","Standard")</f>
        <v>Standard</v>
      </c>
      <c r="U743" s="1" t="str">
        <f>IF(tbl_sales[[#This Row],[Order Size]]="High Value","High Value Order","Standard Order")</f>
        <v>Standard Order</v>
      </c>
      <c r="V743" s="1"/>
      <c r="W743" s="17" t="s">
        <v>37</v>
      </c>
      <c r="X743" s="17"/>
      <c r="Y743" s="6"/>
      <c r="Z743" s="1"/>
    </row>
    <row r="744" spans="1:26">
      <c r="A744" s="3" t="s">
        <v>4201</v>
      </c>
      <c r="B744" s="3" t="s">
        <v>22</v>
      </c>
      <c r="C744" s="3" t="s">
        <v>23</v>
      </c>
      <c r="D744" s="3" t="s">
        <v>24</v>
      </c>
      <c r="E744" s="3" t="s">
        <v>25</v>
      </c>
      <c r="F744" s="3" t="s">
        <v>72</v>
      </c>
      <c r="G744" s="2">
        <v>71.63</v>
      </c>
      <c r="H744" s="2">
        <v>2</v>
      </c>
      <c r="I744" s="2">
        <v>7.1630000000000003</v>
      </c>
      <c r="J744" s="2">
        <v>150.423</v>
      </c>
      <c r="K744" s="5">
        <v>43508</v>
      </c>
      <c r="L744" s="4">
        <v>0.60624999999999996</v>
      </c>
      <c r="M744" s="3" t="s">
        <v>33</v>
      </c>
      <c r="N744" s="2">
        <v>143.26</v>
      </c>
      <c r="O744" s="2">
        <v>4.7619047620000003</v>
      </c>
      <c r="P744" s="2">
        <v>7.1630000000000003</v>
      </c>
      <c r="Q744" s="2">
        <v>8.8000000000000007</v>
      </c>
      <c r="R744" s="3" t="str">
        <f t="shared" si="24"/>
        <v>February</v>
      </c>
      <c r="S744" s="3">
        <f t="shared" si="23"/>
        <v>2</v>
      </c>
      <c r="T744" s="3" t="str">
        <f>IF(tbl_sales[[#This Row],[Sales]]&gt;=500,"High Value","Standard")</f>
        <v>Standard</v>
      </c>
      <c r="U744" s="1" t="str">
        <f>IF(tbl_sales[[#This Row],[Order Size]]="High Value","High Value Order","Standard Order")</f>
        <v>Standard Order</v>
      </c>
      <c r="V744" s="1"/>
      <c r="W744" s="17" t="s">
        <v>37</v>
      </c>
      <c r="X744" s="17"/>
      <c r="Y744" s="6"/>
      <c r="Z744" s="1"/>
    </row>
    <row r="745" spans="1:26">
      <c r="A745" s="3" t="s">
        <v>4206</v>
      </c>
      <c r="B745" s="3" t="s">
        <v>22</v>
      </c>
      <c r="C745" s="3" t="s">
        <v>23</v>
      </c>
      <c r="D745" s="3" t="s">
        <v>24</v>
      </c>
      <c r="E745" s="3" t="s">
        <v>992</v>
      </c>
      <c r="F745" s="3" t="s">
        <v>53</v>
      </c>
      <c r="G745" s="2">
        <v>37.69</v>
      </c>
      <c r="H745" s="2">
        <v>2</v>
      </c>
      <c r="I745" s="2">
        <v>3.7690000000000001</v>
      </c>
      <c r="J745" s="2">
        <v>79.149000000000001</v>
      </c>
      <c r="K745" s="5">
        <v>43516</v>
      </c>
      <c r="L745" s="4">
        <v>0.64513888888888893</v>
      </c>
      <c r="M745" s="3" t="s">
        <v>33</v>
      </c>
      <c r="N745" s="2">
        <v>75.38</v>
      </c>
      <c r="O745" s="2">
        <v>4.7619047620000003</v>
      </c>
      <c r="P745" s="2">
        <v>3.7690000000000001</v>
      </c>
      <c r="Q745" s="2">
        <v>9.5</v>
      </c>
      <c r="R745" s="3" t="str">
        <f t="shared" si="24"/>
        <v>February</v>
      </c>
      <c r="S745" s="3">
        <f t="shared" si="23"/>
        <v>2</v>
      </c>
      <c r="T745" s="3" t="str">
        <f>IF(tbl_sales[[#This Row],[Sales]]&gt;=500,"High Value","Standard")</f>
        <v>Standard</v>
      </c>
      <c r="U745" s="1" t="str">
        <f>IF(tbl_sales[[#This Row],[Order Size]]="High Value","High Value Order","Standard Order")</f>
        <v>Standard Order</v>
      </c>
      <c r="V745" s="1"/>
      <c r="W745" s="17" t="s">
        <v>37</v>
      </c>
      <c r="X745" s="17"/>
      <c r="Y745" s="6"/>
      <c r="Z745" s="1"/>
    </row>
    <row r="746" spans="1:26">
      <c r="A746" s="3" t="s">
        <v>4211</v>
      </c>
      <c r="B746" s="3" t="s">
        <v>39</v>
      </c>
      <c r="C746" s="3" t="s">
        <v>40</v>
      </c>
      <c r="D746" s="3" t="s">
        <v>24</v>
      </c>
      <c r="E746" s="3" t="s">
        <v>25</v>
      </c>
      <c r="F746" s="3" t="s">
        <v>72</v>
      </c>
      <c r="G746" s="2">
        <v>31.67</v>
      </c>
      <c r="H746" s="2">
        <v>8</v>
      </c>
      <c r="I746" s="2">
        <v>12.667999999999999</v>
      </c>
      <c r="J746" s="2">
        <v>266.02800000000002</v>
      </c>
      <c r="K746" s="5">
        <v>43467</v>
      </c>
      <c r="L746" s="4">
        <v>0.67986111111111114</v>
      </c>
      <c r="M746" s="3" t="s">
        <v>59</v>
      </c>
      <c r="N746" s="2">
        <v>253.36</v>
      </c>
      <c r="O746" s="2">
        <v>4.7619047620000003</v>
      </c>
      <c r="P746" s="2">
        <v>12.667999999999999</v>
      </c>
      <c r="Q746" s="2">
        <v>5.6</v>
      </c>
      <c r="R746" s="3" t="str">
        <f t="shared" si="24"/>
        <v>January</v>
      </c>
      <c r="S746" s="3">
        <f t="shared" si="23"/>
        <v>1</v>
      </c>
      <c r="T746" s="3" t="str">
        <f>IF(tbl_sales[[#This Row],[Sales]]&gt;=500,"High Value","Standard")</f>
        <v>Standard</v>
      </c>
      <c r="U746" s="1" t="str">
        <f>IF(tbl_sales[[#This Row],[Order Size]]="High Value","High Value Order","Standard Order")</f>
        <v>Standard Order</v>
      </c>
      <c r="V746" s="1"/>
      <c r="W746" s="17" t="s">
        <v>37</v>
      </c>
      <c r="X746" s="17"/>
      <c r="Y746" s="6"/>
      <c r="Z746" s="1"/>
    </row>
    <row r="747" spans="1:26">
      <c r="A747" s="3" t="s">
        <v>4216</v>
      </c>
      <c r="B747" s="3" t="s">
        <v>39</v>
      </c>
      <c r="C747" s="3" t="s">
        <v>40</v>
      </c>
      <c r="D747" s="3" t="s">
        <v>24</v>
      </c>
      <c r="E747" s="3" t="s">
        <v>25</v>
      </c>
      <c r="F747" s="3" t="s">
        <v>117</v>
      </c>
      <c r="G747" s="2">
        <v>38.42</v>
      </c>
      <c r="H747" s="2">
        <v>1</v>
      </c>
      <c r="I747" s="2">
        <v>1.921</v>
      </c>
      <c r="J747" s="2">
        <v>40.341000000000001</v>
      </c>
      <c r="K747" s="5">
        <v>43498</v>
      </c>
      <c r="L747" s="4">
        <v>0.68958333333333333</v>
      </c>
      <c r="M747" s="3" t="s">
        <v>49</v>
      </c>
      <c r="N747" s="2">
        <v>38.42</v>
      </c>
      <c r="O747" s="2">
        <v>4.7619047620000003</v>
      </c>
      <c r="P747" s="2">
        <v>1.921</v>
      </c>
      <c r="Q747" s="2">
        <v>8.6</v>
      </c>
      <c r="R747" s="3" t="str">
        <f t="shared" si="24"/>
        <v>February</v>
      </c>
      <c r="S747" s="3">
        <f t="shared" si="23"/>
        <v>2</v>
      </c>
      <c r="T747" s="3" t="str">
        <f>IF(tbl_sales[[#This Row],[Sales]]&gt;=500,"High Value","Standard")</f>
        <v>Standard</v>
      </c>
      <c r="U747" s="1" t="str">
        <f>IF(tbl_sales[[#This Row],[Order Size]]="High Value","High Value Order","Standard Order")</f>
        <v>Standard Order</v>
      </c>
      <c r="V747" s="1"/>
      <c r="W747" s="17" t="s">
        <v>37</v>
      </c>
      <c r="X747" s="17"/>
      <c r="Y747" s="6"/>
      <c r="Z747" s="1"/>
    </row>
    <row r="748" spans="1:26">
      <c r="A748" s="3" t="s">
        <v>4221</v>
      </c>
      <c r="B748" s="3" t="s">
        <v>115</v>
      </c>
      <c r="C748" s="3" t="s">
        <v>116</v>
      </c>
      <c r="D748" s="3" t="s">
        <v>24</v>
      </c>
      <c r="E748" s="3" t="s">
        <v>992</v>
      </c>
      <c r="F748" s="3" t="s">
        <v>127</v>
      </c>
      <c r="G748" s="2">
        <v>65.23</v>
      </c>
      <c r="H748" s="2">
        <v>10</v>
      </c>
      <c r="I748" s="2">
        <v>32.615000000000002</v>
      </c>
      <c r="J748" s="2">
        <v>684.91499999999996</v>
      </c>
      <c r="K748" s="5">
        <v>43473</v>
      </c>
      <c r="L748" s="4">
        <v>0.79652777777777772</v>
      </c>
      <c r="M748" s="3" t="s">
        <v>59</v>
      </c>
      <c r="N748" s="2">
        <v>652.29999999999995</v>
      </c>
      <c r="O748" s="2">
        <v>4.7619047620000003</v>
      </c>
      <c r="P748" s="2">
        <v>32.615000000000002</v>
      </c>
      <c r="Q748" s="2">
        <v>5.2</v>
      </c>
      <c r="R748" s="3" t="str">
        <f t="shared" si="24"/>
        <v>January</v>
      </c>
      <c r="S748" s="3">
        <f t="shared" si="23"/>
        <v>1</v>
      </c>
      <c r="T748" s="3" t="str">
        <f>IF(tbl_sales[[#This Row],[Sales]]&gt;=500,"High Value","Standard")</f>
        <v>High Value</v>
      </c>
      <c r="U748" s="1" t="str">
        <f>IF(tbl_sales[[#This Row],[Order Size]]="High Value","High Value Order","Standard Order")</f>
        <v>High Value Order</v>
      </c>
      <c r="V748" s="1"/>
      <c r="W748" s="17" t="s">
        <v>37</v>
      </c>
      <c r="X748" s="17"/>
      <c r="Y748" s="6"/>
      <c r="Z748" s="1"/>
    </row>
    <row r="749" spans="1:26">
      <c r="A749" s="3" t="s">
        <v>4226</v>
      </c>
      <c r="B749" s="3" t="s">
        <v>39</v>
      </c>
      <c r="C749" s="3" t="s">
        <v>40</v>
      </c>
      <c r="D749" s="3" t="s">
        <v>24</v>
      </c>
      <c r="E749" s="3" t="s">
        <v>25</v>
      </c>
      <c r="F749" s="3" t="s">
        <v>53</v>
      </c>
      <c r="G749" s="2">
        <v>10.53</v>
      </c>
      <c r="H749" s="2">
        <v>5</v>
      </c>
      <c r="I749" s="2">
        <v>2.6324999999999998</v>
      </c>
      <c r="J749" s="2">
        <v>55.282499999999999</v>
      </c>
      <c r="K749" s="5">
        <v>43495</v>
      </c>
      <c r="L749" s="4">
        <v>0.61319444444444449</v>
      </c>
      <c r="M749" s="3" t="s">
        <v>59</v>
      </c>
      <c r="N749" s="2">
        <v>52.65</v>
      </c>
      <c r="O749" s="2">
        <v>4.7619047620000003</v>
      </c>
      <c r="P749" s="2">
        <v>2.6324999999999998</v>
      </c>
      <c r="Q749" s="2">
        <v>5.8</v>
      </c>
      <c r="R749" s="3" t="str">
        <f t="shared" si="24"/>
        <v>January</v>
      </c>
      <c r="S749" s="3">
        <f t="shared" si="23"/>
        <v>1</v>
      </c>
      <c r="T749" s="3" t="str">
        <f>IF(tbl_sales[[#This Row],[Sales]]&gt;=500,"High Value","Standard")</f>
        <v>Standard</v>
      </c>
      <c r="U749" s="1" t="str">
        <f>IF(tbl_sales[[#This Row],[Order Size]]="High Value","High Value Order","Standard Order")</f>
        <v>Standard Order</v>
      </c>
      <c r="V749" s="1"/>
      <c r="W749" s="17" t="s">
        <v>37</v>
      </c>
      <c r="X749" s="17"/>
      <c r="Y749" s="6"/>
      <c r="Z749" s="1"/>
    </row>
    <row r="750" spans="1:26">
      <c r="A750" s="3" t="s">
        <v>4231</v>
      </c>
      <c r="B750" s="3" t="s">
        <v>115</v>
      </c>
      <c r="C750" s="3" t="s">
        <v>116</v>
      </c>
      <c r="D750" s="3" t="s">
        <v>24</v>
      </c>
      <c r="E750" s="3" t="s">
        <v>25</v>
      </c>
      <c r="F750" s="3" t="s">
        <v>53</v>
      </c>
      <c r="G750" s="2">
        <v>12.29</v>
      </c>
      <c r="H750" s="2">
        <v>9</v>
      </c>
      <c r="I750" s="2">
        <v>5.5305</v>
      </c>
      <c r="J750" s="2">
        <v>116.1405</v>
      </c>
      <c r="K750" s="5">
        <v>43550</v>
      </c>
      <c r="L750" s="4">
        <v>0.81111111111111112</v>
      </c>
      <c r="M750" s="3" t="s">
        <v>59</v>
      </c>
      <c r="N750" s="2">
        <v>110.61</v>
      </c>
      <c r="O750" s="2">
        <v>4.7619047620000003</v>
      </c>
      <c r="P750" s="2">
        <v>5.5305</v>
      </c>
      <c r="Q750" s="2">
        <v>8</v>
      </c>
      <c r="R750" s="3" t="str">
        <f t="shared" si="24"/>
        <v>March</v>
      </c>
      <c r="S750" s="3">
        <f t="shared" si="23"/>
        <v>3</v>
      </c>
      <c r="T750" s="3" t="str">
        <f>IF(tbl_sales[[#This Row],[Sales]]&gt;=500,"High Value","Standard")</f>
        <v>Standard</v>
      </c>
      <c r="U750" s="1" t="str">
        <f>IF(tbl_sales[[#This Row],[Order Size]]="High Value","High Value Order","Standard Order")</f>
        <v>Standard Order</v>
      </c>
      <c r="V750" s="1"/>
      <c r="W750" s="17" t="s">
        <v>37</v>
      </c>
      <c r="X750" s="17"/>
      <c r="Y750" s="6"/>
      <c r="Z750" s="1"/>
    </row>
    <row r="751" spans="1:26">
      <c r="A751" s="3" t="s">
        <v>4236</v>
      </c>
      <c r="B751" s="3" t="s">
        <v>39</v>
      </c>
      <c r="C751" s="3" t="s">
        <v>40</v>
      </c>
      <c r="D751" s="3" t="s">
        <v>24</v>
      </c>
      <c r="E751" s="3" t="s">
        <v>992</v>
      </c>
      <c r="F751" s="3" t="s">
        <v>26</v>
      </c>
      <c r="G751" s="2">
        <v>81.23</v>
      </c>
      <c r="H751" s="2">
        <v>7</v>
      </c>
      <c r="I751" s="2">
        <v>28.430499999999999</v>
      </c>
      <c r="J751" s="2">
        <v>597.04049999999995</v>
      </c>
      <c r="K751" s="5">
        <v>43480</v>
      </c>
      <c r="L751" s="4">
        <v>0.86388888888888893</v>
      </c>
      <c r="M751" s="3" t="s">
        <v>49</v>
      </c>
      <c r="N751" s="2">
        <v>568.61</v>
      </c>
      <c r="O751" s="2">
        <v>4.7619047620000003</v>
      </c>
      <c r="P751" s="2">
        <v>28.430499999999999</v>
      </c>
      <c r="Q751" s="2">
        <v>9</v>
      </c>
      <c r="R751" s="3" t="str">
        <f t="shared" si="24"/>
        <v>January</v>
      </c>
      <c r="S751" s="3">
        <f t="shared" si="23"/>
        <v>1</v>
      </c>
      <c r="T751" s="3" t="str">
        <f>IF(tbl_sales[[#This Row],[Sales]]&gt;=500,"High Value","Standard")</f>
        <v>High Value</v>
      </c>
      <c r="U751" s="1" t="str">
        <f>IF(tbl_sales[[#This Row],[Order Size]]="High Value","High Value Order","Standard Order")</f>
        <v>High Value Order</v>
      </c>
      <c r="V751" s="1"/>
      <c r="W751" s="17" t="s">
        <v>37</v>
      </c>
      <c r="X751" s="17"/>
      <c r="Y751" s="6"/>
      <c r="Z751" s="1"/>
    </row>
    <row r="752" spans="1:26">
      <c r="A752" s="3" t="s">
        <v>4242</v>
      </c>
      <c r="B752" s="3" t="s">
        <v>115</v>
      </c>
      <c r="C752" s="3" t="s">
        <v>116</v>
      </c>
      <c r="D752" s="3" t="s">
        <v>24</v>
      </c>
      <c r="E752" s="3" t="s">
        <v>25</v>
      </c>
      <c r="F752" s="3" t="s">
        <v>127</v>
      </c>
      <c r="G752" s="2">
        <v>22.32</v>
      </c>
      <c r="H752" s="2">
        <v>4</v>
      </c>
      <c r="I752" s="2">
        <v>4.4640000000000004</v>
      </c>
      <c r="J752" s="2">
        <v>93.744</v>
      </c>
      <c r="K752" s="5">
        <v>43538</v>
      </c>
      <c r="L752" s="4">
        <v>0.46944444444444444</v>
      </c>
      <c r="M752" s="3" t="s">
        <v>33</v>
      </c>
      <c r="N752" s="2">
        <v>89.28</v>
      </c>
      <c r="O752" s="2">
        <v>4.7619047620000003</v>
      </c>
      <c r="P752" s="2">
        <v>4.4640000000000004</v>
      </c>
      <c r="Q752" s="2">
        <v>4.0999999999999996</v>
      </c>
      <c r="R752" s="3" t="str">
        <f t="shared" si="24"/>
        <v>March</v>
      </c>
      <c r="S752" s="3">
        <f t="shared" si="23"/>
        <v>3</v>
      </c>
      <c r="T752" s="3" t="str">
        <f>IF(tbl_sales[[#This Row],[Sales]]&gt;=500,"High Value","Standard")</f>
        <v>Standard</v>
      </c>
      <c r="U752" s="1" t="str">
        <f>IF(tbl_sales[[#This Row],[Order Size]]="High Value","High Value Order","Standard Order")</f>
        <v>Standard Order</v>
      </c>
      <c r="V752" s="1"/>
      <c r="W752" s="17" t="s">
        <v>37</v>
      </c>
      <c r="X752" s="17"/>
      <c r="Y752" s="6"/>
      <c r="Z752" s="1"/>
    </row>
    <row r="753" spans="1:26">
      <c r="A753" s="3" t="s">
        <v>4244</v>
      </c>
      <c r="B753" s="3" t="s">
        <v>22</v>
      </c>
      <c r="C753" s="3" t="s">
        <v>23</v>
      </c>
      <c r="D753" s="3" t="s">
        <v>41</v>
      </c>
      <c r="E753" s="3" t="s">
        <v>25</v>
      </c>
      <c r="F753" s="3" t="s">
        <v>117</v>
      </c>
      <c r="G753" s="2">
        <v>27.28</v>
      </c>
      <c r="H753" s="2">
        <v>5</v>
      </c>
      <c r="I753" s="2">
        <v>6.82</v>
      </c>
      <c r="J753" s="2">
        <v>143.22</v>
      </c>
      <c r="K753" s="5">
        <v>43499</v>
      </c>
      <c r="L753" s="4">
        <v>0.43819444444444444</v>
      </c>
      <c r="M753" s="3" t="s">
        <v>59</v>
      </c>
      <c r="N753" s="2">
        <v>136.4</v>
      </c>
      <c r="O753" s="2">
        <v>4.7619047620000003</v>
      </c>
      <c r="P753" s="2">
        <v>6.82</v>
      </c>
      <c r="Q753" s="2">
        <v>8.6</v>
      </c>
      <c r="R753" s="3" t="str">
        <f t="shared" si="24"/>
        <v>February</v>
      </c>
      <c r="S753" s="3">
        <f t="shared" si="23"/>
        <v>2</v>
      </c>
      <c r="T753" s="3" t="str">
        <f>IF(tbl_sales[[#This Row],[Sales]]&gt;=500,"High Value","Standard")</f>
        <v>Standard</v>
      </c>
      <c r="U753" s="1" t="str">
        <f>IF(tbl_sales[[#This Row],[Order Size]]="High Value","High Value Order","Standard Order")</f>
        <v>Standard Order</v>
      </c>
      <c r="V753" s="1"/>
      <c r="W753" s="17" t="s">
        <v>37</v>
      </c>
      <c r="X753" s="17"/>
      <c r="Y753" s="6"/>
      <c r="Z753" s="1"/>
    </row>
    <row r="754" spans="1:26">
      <c r="A754" s="3" t="s">
        <v>4249</v>
      </c>
      <c r="B754" s="3" t="s">
        <v>22</v>
      </c>
      <c r="C754" s="3" t="s">
        <v>23</v>
      </c>
      <c r="D754" s="3" t="s">
        <v>24</v>
      </c>
      <c r="E754" s="3" t="s">
        <v>25</v>
      </c>
      <c r="F754" s="3" t="s">
        <v>42</v>
      </c>
      <c r="G754" s="2">
        <v>17.420000000000002</v>
      </c>
      <c r="H754" s="2">
        <v>10</v>
      </c>
      <c r="I754" s="2">
        <v>8.7100000000000009</v>
      </c>
      <c r="J754" s="2">
        <v>182.91</v>
      </c>
      <c r="K754" s="5">
        <v>43518</v>
      </c>
      <c r="L754" s="4">
        <v>0.52083333333333337</v>
      </c>
      <c r="M754" s="3" t="s">
        <v>33</v>
      </c>
      <c r="N754" s="2">
        <v>174.2</v>
      </c>
      <c r="O754" s="2">
        <v>4.7619047620000003</v>
      </c>
      <c r="P754" s="2">
        <v>8.7100000000000009</v>
      </c>
      <c r="Q754" s="2">
        <v>7</v>
      </c>
      <c r="R754" s="3" t="str">
        <f t="shared" si="24"/>
        <v>February</v>
      </c>
      <c r="S754" s="3">
        <f t="shared" si="23"/>
        <v>2</v>
      </c>
      <c r="T754" s="3" t="str">
        <f>IF(tbl_sales[[#This Row],[Sales]]&gt;=500,"High Value","Standard")</f>
        <v>Standard</v>
      </c>
      <c r="U754" s="1" t="str">
        <f>IF(tbl_sales[[#This Row],[Order Size]]="High Value","High Value Order","Standard Order")</f>
        <v>Standard Order</v>
      </c>
      <c r="V754" s="1"/>
      <c r="W754" s="17" t="s">
        <v>37</v>
      </c>
      <c r="X754" s="17"/>
      <c r="Y754" s="6"/>
      <c r="Z754" s="1"/>
    </row>
    <row r="755" spans="1:26">
      <c r="A755" s="3" t="s">
        <v>4255</v>
      </c>
      <c r="B755" s="3" t="s">
        <v>115</v>
      </c>
      <c r="C755" s="3" t="s">
        <v>116</v>
      </c>
      <c r="D755" s="3" t="s">
        <v>41</v>
      </c>
      <c r="E755" s="3" t="s">
        <v>992</v>
      </c>
      <c r="F755" s="3" t="s">
        <v>53</v>
      </c>
      <c r="G755" s="2">
        <v>73.28</v>
      </c>
      <c r="H755" s="2">
        <v>5</v>
      </c>
      <c r="I755" s="2">
        <v>18.32</v>
      </c>
      <c r="J755" s="2">
        <v>384.72</v>
      </c>
      <c r="K755" s="5">
        <v>43489</v>
      </c>
      <c r="L755" s="4">
        <v>0.62847222222222221</v>
      </c>
      <c r="M755" s="3" t="s">
        <v>33</v>
      </c>
      <c r="N755" s="2">
        <v>366.4</v>
      </c>
      <c r="O755" s="2">
        <v>4.7619047620000003</v>
      </c>
      <c r="P755" s="2">
        <v>18.32</v>
      </c>
      <c r="Q755" s="2">
        <v>8.4</v>
      </c>
      <c r="R755" s="3" t="str">
        <f t="shared" si="24"/>
        <v>January</v>
      </c>
      <c r="S755" s="3">
        <f t="shared" si="23"/>
        <v>1</v>
      </c>
      <c r="T755" s="3" t="str">
        <f>IF(tbl_sales[[#This Row],[Sales]]&gt;=500,"High Value","Standard")</f>
        <v>Standard</v>
      </c>
      <c r="U755" s="1" t="str">
        <f>IF(tbl_sales[[#This Row],[Order Size]]="High Value","High Value Order","Standard Order")</f>
        <v>Standard Order</v>
      </c>
      <c r="V755" s="1"/>
      <c r="W755" s="17" t="s">
        <v>37</v>
      </c>
      <c r="X755" s="17"/>
      <c r="Y755" s="6"/>
      <c r="Z755" s="1"/>
    </row>
    <row r="756" spans="1:26">
      <c r="A756" s="3" t="s">
        <v>4260</v>
      </c>
      <c r="B756" s="3" t="s">
        <v>39</v>
      </c>
      <c r="C756" s="3" t="s">
        <v>40</v>
      </c>
      <c r="D756" s="3" t="s">
        <v>24</v>
      </c>
      <c r="E756" s="3" t="s">
        <v>25</v>
      </c>
      <c r="F756" s="3" t="s">
        <v>127</v>
      </c>
      <c r="G756" s="2">
        <v>84.87</v>
      </c>
      <c r="H756" s="2">
        <v>3</v>
      </c>
      <c r="I756" s="2">
        <v>12.730499999999999</v>
      </c>
      <c r="J756" s="2">
        <v>267.34050000000002</v>
      </c>
      <c r="K756" s="5">
        <v>43490</v>
      </c>
      <c r="L756" s="4">
        <v>0.77083333333333337</v>
      </c>
      <c r="M756" s="3" t="s">
        <v>33</v>
      </c>
      <c r="N756" s="2">
        <v>254.61</v>
      </c>
      <c r="O756" s="2">
        <v>4.7619047620000003</v>
      </c>
      <c r="P756" s="2">
        <v>12.730499999999999</v>
      </c>
      <c r="Q756" s="2">
        <v>7.4</v>
      </c>
      <c r="R756" s="3" t="str">
        <f t="shared" si="24"/>
        <v>January</v>
      </c>
      <c r="S756" s="3">
        <f t="shared" si="23"/>
        <v>1</v>
      </c>
      <c r="T756" s="3" t="str">
        <f>IF(tbl_sales[[#This Row],[Sales]]&gt;=500,"High Value","Standard")</f>
        <v>Standard</v>
      </c>
      <c r="U756" s="1" t="str">
        <f>IF(tbl_sales[[#This Row],[Order Size]]="High Value","High Value Order","Standard Order")</f>
        <v>Standard Order</v>
      </c>
      <c r="V756" s="1"/>
      <c r="W756" s="17" t="s">
        <v>37</v>
      </c>
      <c r="X756" s="17"/>
      <c r="Y756" s="6"/>
      <c r="Z756" s="1"/>
    </row>
    <row r="757" spans="1:26">
      <c r="A757" s="3" t="s">
        <v>4265</v>
      </c>
      <c r="B757" s="3" t="s">
        <v>22</v>
      </c>
      <c r="C757" s="3" t="s">
        <v>23</v>
      </c>
      <c r="D757" s="3" t="s">
        <v>41</v>
      </c>
      <c r="E757" s="3" t="s">
        <v>25</v>
      </c>
      <c r="F757" s="3" t="s">
        <v>127</v>
      </c>
      <c r="G757" s="2">
        <v>97.29</v>
      </c>
      <c r="H757" s="2">
        <v>8</v>
      </c>
      <c r="I757" s="2">
        <v>38.915999999999997</v>
      </c>
      <c r="J757" s="2">
        <v>817.23599999999999</v>
      </c>
      <c r="K757" s="5">
        <v>43533</v>
      </c>
      <c r="L757" s="4">
        <v>0.5541666666666667</v>
      </c>
      <c r="M757" s="3" t="s">
        <v>59</v>
      </c>
      <c r="N757" s="2">
        <v>778.32</v>
      </c>
      <c r="O757" s="2">
        <v>4.7619047620000003</v>
      </c>
      <c r="P757" s="2">
        <v>38.915999999999997</v>
      </c>
      <c r="Q757" s="2">
        <v>6.2</v>
      </c>
      <c r="R757" s="3" t="str">
        <f t="shared" si="24"/>
        <v>March</v>
      </c>
      <c r="S757" s="3">
        <f t="shared" si="23"/>
        <v>3</v>
      </c>
      <c r="T757" s="3" t="str">
        <f>IF(tbl_sales[[#This Row],[Sales]]&gt;=500,"High Value","Standard")</f>
        <v>High Value</v>
      </c>
      <c r="U757" s="1" t="str">
        <f>IF(tbl_sales[[#This Row],[Order Size]]="High Value","High Value Order","Standard Order")</f>
        <v>High Value Order</v>
      </c>
      <c r="V757" s="1"/>
      <c r="W757" s="17" t="s">
        <v>37</v>
      </c>
      <c r="X757" s="17"/>
      <c r="Y757" s="6"/>
      <c r="Z757" s="1"/>
    </row>
    <row r="758" spans="1:26">
      <c r="A758" s="3" t="s">
        <v>4270</v>
      </c>
      <c r="B758" s="3" t="s">
        <v>115</v>
      </c>
      <c r="C758" s="3" t="s">
        <v>116</v>
      </c>
      <c r="D758" s="3" t="s">
        <v>24</v>
      </c>
      <c r="E758" s="3" t="s">
        <v>25</v>
      </c>
      <c r="F758" s="3" t="s">
        <v>42</v>
      </c>
      <c r="G758" s="2">
        <v>35.74</v>
      </c>
      <c r="H758" s="2">
        <v>8</v>
      </c>
      <c r="I758" s="2">
        <v>14.295999999999999</v>
      </c>
      <c r="J758" s="2">
        <v>300.21600000000001</v>
      </c>
      <c r="K758" s="5">
        <v>43513</v>
      </c>
      <c r="L758" s="4">
        <v>0.64444444444444449</v>
      </c>
      <c r="M758" s="3" t="s">
        <v>33</v>
      </c>
      <c r="N758" s="2">
        <v>285.92</v>
      </c>
      <c r="O758" s="2">
        <v>4.7619047620000003</v>
      </c>
      <c r="P758" s="2">
        <v>14.295999999999999</v>
      </c>
      <c r="Q758" s="2">
        <v>4.9000000000000004</v>
      </c>
      <c r="R758" s="3" t="str">
        <f t="shared" si="24"/>
        <v>February</v>
      </c>
      <c r="S758" s="3">
        <f t="shared" si="23"/>
        <v>2</v>
      </c>
      <c r="T758" s="3" t="str">
        <f>IF(tbl_sales[[#This Row],[Sales]]&gt;=500,"High Value","Standard")</f>
        <v>Standard</v>
      </c>
      <c r="U758" s="1" t="str">
        <f>IF(tbl_sales[[#This Row],[Order Size]]="High Value","High Value Order","Standard Order")</f>
        <v>Standard Order</v>
      </c>
      <c r="V758" s="1"/>
      <c r="W758" s="17" t="s">
        <v>37</v>
      </c>
      <c r="X758" s="17"/>
      <c r="Y758" s="6"/>
      <c r="Z758" s="1"/>
    </row>
    <row r="759" spans="1:26">
      <c r="A759" s="3" t="s">
        <v>4275</v>
      </c>
      <c r="B759" s="3" t="s">
        <v>22</v>
      </c>
      <c r="C759" s="3" t="s">
        <v>23</v>
      </c>
      <c r="D759" s="3" t="s">
        <v>41</v>
      </c>
      <c r="E759" s="3" t="s">
        <v>25</v>
      </c>
      <c r="F759" s="3" t="s">
        <v>53</v>
      </c>
      <c r="G759" s="2">
        <v>96.52</v>
      </c>
      <c r="H759" s="2">
        <v>6</v>
      </c>
      <c r="I759" s="2">
        <v>28.956</v>
      </c>
      <c r="J759" s="2">
        <v>608.07600000000002</v>
      </c>
      <c r="K759" s="5">
        <v>43476</v>
      </c>
      <c r="L759" s="4">
        <v>0.49444444444444446</v>
      </c>
      <c r="M759" s="3" t="s">
        <v>49</v>
      </c>
      <c r="N759" s="2">
        <v>579.12</v>
      </c>
      <c r="O759" s="2">
        <v>4.7619047620000003</v>
      </c>
      <c r="P759" s="2">
        <v>28.956</v>
      </c>
      <c r="Q759" s="2">
        <v>4.5</v>
      </c>
      <c r="R759" s="3" t="str">
        <f t="shared" si="24"/>
        <v>January</v>
      </c>
      <c r="S759" s="3">
        <f t="shared" si="23"/>
        <v>1</v>
      </c>
      <c r="T759" s="3" t="str">
        <f>IF(tbl_sales[[#This Row],[Sales]]&gt;=500,"High Value","Standard")</f>
        <v>High Value</v>
      </c>
      <c r="U759" s="1" t="str">
        <f>IF(tbl_sales[[#This Row],[Order Size]]="High Value","High Value Order","Standard Order")</f>
        <v>High Value Order</v>
      </c>
      <c r="V759" s="1"/>
      <c r="W759" s="17" t="s">
        <v>37</v>
      </c>
      <c r="X759" s="17"/>
      <c r="Y759" s="6"/>
      <c r="Z759" s="1"/>
    </row>
    <row r="760" spans="1:26">
      <c r="A760" s="3" t="s">
        <v>4280</v>
      </c>
      <c r="B760" s="3" t="s">
        <v>22</v>
      </c>
      <c r="C760" s="3" t="s">
        <v>23</v>
      </c>
      <c r="D760" s="3" t="s">
        <v>24</v>
      </c>
      <c r="E760" s="3" t="s">
        <v>992</v>
      </c>
      <c r="F760" s="3" t="s">
        <v>117</v>
      </c>
      <c r="G760" s="2">
        <v>18.850000000000001</v>
      </c>
      <c r="H760" s="2">
        <v>10</v>
      </c>
      <c r="I760" s="2">
        <v>9.4250000000000007</v>
      </c>
      <c r="J760" s="2">
        <v>197.92500000000001</v>
      </c>
      <c r="K760" s="5">
        <v>43523</v>
      </c>
      <c r="L760" s="4">
        <v>0.76666666666666672</v>
      </c>
      <c r="M760" s="3" t="s">
        <v>33</v>
      </c>
      <c r="N760" s="2">
        <v>188.5</v>
      </c>
      <c r="O760" s="2">
        <v>4.7619047620000003</v>
      </c>
      <c r="P760" s="2">
        <v>9.4250000000000007</v>
      </c>
      <c r="Q760" s="2">
        <v>5.6</v>
      </c>
      <c r="R760" s="3" t="str">
        <f t="shared" si="24"/>
        <v>February</v>
      </c>
      <c r="S760" s="3">
        <f t="shared" si="23"/>
        <v>2</v>
      </c>
      <c r="T760" s="3" t="str">
        <f>IF(tbl_sales[[#This Row],[Sales]]&gt;=500,"High Value","Standard")</f>
        <v>Standard</v>
      </c>
      <c r="U760" s="1" t="str">
        <f>IF(tbl_sales[[#This Row],[Order Size]]="High Value","High Value Order","Standard Order")</f>
        <v>Standard Order</v>
      </c>
      <c r="V760" s="1"/>
      <c r="W760" s="17" t="s">
        <v>37</v>
      </c>
      <c r="X760" s="17"/>
      <c r="Y760" s="6"/>
      <c r="Z760" s="1"/>
    </row>
    <row r="761" spans="1:26">
      <c r="A761" s="3" t="s">
        <v>4285</v>
      </c>
      <c r="B761" s="3" t="s">
        <v>22</v>
      </c>
      <c r="C761" s="3" t="s">
        <v>23</v>
      </c>
      <c r="D761" s="3" t="s">
        <v>41</v>
      </c>
      <c r="E761" s="3" t="s">
        <v>25</v>
      </c>
      <c r="F761" s="3" t="s">
        <v>117</v>
      </c>
      <c r="G761" s="2">
        <v>55.39</v>
      </c>
      <c r="H761" s="2">
        <v>4</v>
      </c>
      <c r="I761" s="2">
        <v>11.077999999999999</v>
      </c>
      <c r="J761" s="2">
        <v>232.63800000000001</v>
      </c>
      <c r="K761" s="5">
        <v>43549</v>
      </c>
      <c r="L761" s="4">
        <v>0.6381944444444444</v>
      </c>
      <c r="M761" s="3" t="s">
        <v>33</v>
      </c>
      <c r="N761" s="2">
        <v>221.56</v>
      </c>
      <c r="O761" s="2">
        <v>4.7619047620000003</v>
      </c>
      <c r="P761" s="2">
        <v>11.077999999999999</v>
      </c>
      <c r="Q761" s="2">
        <v>8</v>
      </c>
      <c r="R761" s="3" t="str">
        <f t="shared" si="24"/>
        <v>March</v>
      </c>
      <c r="S761" s="3">
        <f t="shared" si="23"/>
        <v>3</v>
      </c>
      <c r="T761" s="3" t="str">
        <f>IF(tbl_sales[[#This Row],[Sales]]&gt;=500,"High Value","Standard")</f>
        <v>Standard</v>
      </c>
      <c r="U761" s="1" t="str">
        <f>IF(tbl_sales[[#This Row],[Order Size]]="High Value","High Value Order","Standard Order")</f>
        <v>Standard Order</v>
      </c>
      <c r="V761" s="1"/>
      <c r="W761" s="17" t="s">
        <v>37</v>
      </c>
      <c r="X761" s="17"/>
      <c r="Y761" s="6"/>
      <c r="Z761" s="1"/>
    </row>
    <row r="762" spans="1:26">
      <c r="A762" s="3" t="s">
        <v>4290</v>
      </c>
      <c r="B762" s="3" t="s">
        <v>115</v>
      </c>
      <c r="C762" s="3" t="s">
        <v>116</v>
      </c>
      <c r="D762" s="3" t="s">
        <v>24</v>
      </c>
      <c r="E762" s="3" t="s">
        <v>25</v>
      </c>
      <c r="F762" s="3" t="s">
        <v>117</v>
      </c>
      <c r="G762" s="2">
        <v>77.2</v>
      </c>
      <c r="H762" s="2">
        <v>10</v>
      </c>
      <c r="I762" s="2">
        <v>38.6</v>
      </c>
      <c r="J762" s="2">
        <v>810.6</v>
      </c>
      <c r="K762" s="5">
        <v>43507</v>
      </c>
      <c r="L762" s="4">
        <v>0.44305555555555554</v>
      </c>
      <c r="M762" s="3" t="s">
        <v>59</v>
      </c>
      <c r="N762" s="2">
        <v>772</v>
      </c>
      <c r="O762" s="2">
        <v>4.7619047620000003</v>
      </c>
      <c r="P762" s="2">
        <v>38.6</v>
      </c>
      <c r="Q762" s="2">
        <v>5.6</v>
      </c>
      <c r="R762" s="3" t="str">
        <f t="shared" si="24"/>
        <v>February</v>
      </c>
      <c r="S762" s="3">
        <f t="shared" si="23"/>
        <v>2</v>
      </c>
      <c r="T762" s="3" t="str">
        <f>IF(tbl_sales[[#This Row],[Sales]]&gt;=500,"High Value","Standard")</f>
        <v>High Value</v>
      </c>
      <c r="U762" s="1" t="str">
        <f>IF(tbl_sales[[#This Row],[Order Size]]="High Value","High Value Order","Standard Order")</f>
        <v>High Value Order</v>
      </c>
      <c r="V762" s="1"/>
      <c r="W762" s="17" t="s">
        <v>37</v>
      </c>
      <c r="X762" s="17"/>
      <c r="Y762" s="6"/>
      <c r="Z762" s="1"/>
    </row>
    <row r="763" spans="1:26">
      <c r="A763" s="3" t="s">
        <v>4294</v>
      </c>
      <c r="B763" s="3" t="s">
        <v>115</v>
      </c>
      <c r="C763" s="3" t="s">
        <v>116</v>
      </c>
      <c r="D763" s="3" t="s">
        <v>41</v>
      </c>
      <c r="E763" s="3" t="s">
        <v>992</v>
      </c>
      <c r="F763" s="3" t="s">
        <v>42</v>
      </c>
      <c r="G763" s="2">
        <v>72.13</v>
      </c>
      <c r="H763" s="2">
        <v>10</v>
      </c>
      <c r="I763" s="2">
        <v>36.064999999999998</v>
      </c>
      <c r="J763" s="2">
        <v>757.36500000000001</v>
      </c>
      <c r="K763" s="5">
        <v>43496</v>
      </c>
      <c r="L763" s="4">
        <v>0.6333333333333333</v>
      </c>
      <c r="M763" s="3" t="s">
        <v>59</v>
      </c>
      <c r="N763" s="2">
        <v>721.3</v>
      </c>
      <c r="O763" s="2">
        <v>4.7619047620000003</v>
      </c>
      <c r="P763" s="2">
        <v>36.064999999999998</v>
      </c>
      <c r="Q763" s="2">
        <v>4.2</v>
      </c>
      <c r="R763" s="3" t="str">
        <f t="shared" si="24"/>
        <v>January</v>
      </c>
      <c r="S763" s="3">
        <f t="shared" si="23"/>
        <v>1</v>
      </c>
      <c r="T763" s="3" t="str">
        <f>IF(tbl_sales[[#This Row],[Sales]]&gt;=500,"High Value","Standard")</f>
        <v>High Value</v>
      </c>
      <c r="U763" s="1" t="str">
        <f>IF(tbl_sales[[#This Row],[Order Size]]="High Value","High Value Order","Standard Order")</f>
        <v>High Value Order</v>
      </c>
      <c r="V763" s="1"/>
      <c r="W763" s="17" t="s">
        <v>37</v>
      </c>
      <c r="X763" s="17"/>
      <c r="Y763" s="6"/>
      <c r="Z763" s="1"/>
    </row>
    <row r="764" spans="1:26">
      <c r="A764" s="3" t="s">
        <v>4299</v>
      </c>
      <c r="B764" s="3" t="s">
        <v>22</v>
      </c>
      <c r="C764" s="3" t="s">
        <v>23</v>
      </c>
      <c r="D764" s="3" t="s">
        <v>24</v>
      </c>
      <c r="E764" s="3" t="s">
        <v>25</v>
      </c>
      <c r="F764" s="3" t="s">
        <v>127</v>
      </c>
      <c r="G764" s="2">
        <v>63.88</v>
      </c>
      <c r="H764" s="2">
        <v>8</v>
      </c>
      <c r="I764" s="2">
        <v>25.552</v>
      </c>
      <c r="J764" s="2">
        <v>536.59199999999998</v>
      </c>
      <c r="K764" s="5">
        <v>43485</v>
      </c>
      <c r="L764" s="4">
        <v>0.7416666666666667</v>
      </c>
      <c r="M764" s="3" t="s">
        <v>33</v>
      </c>
      <c r="N764" s="2">
        <v>511.04</v>
      </c>
      <c r="O764" s="2">
        <v>4.7619047620000003</v>
      </c>
      <c r="P764" s="2">
        <v>25.552</v>
      </c>
      <c r="Q764" s="2">
        <v>9.9</v>
      </c>
      <c r="R764" s="3" t="str">
        <f t="shared" si="24"/>
        <v>January</v>
      </c>
      <c r="S764" s="3">
        <f t="shared" si="23"/>
        <v>1</v>
      </c>
      <c r="T764" s="3" t="str">
        <f>IF(tbl_sales[[#This Row],[Sales]]&gt;=500,"High Value","Standard")</f>
        <v>High Value</v>
      </c>
      <c r="U764" s="1" t="str">
        <f>IF(tbl_sales[[#This Row],[Order Size]]="High Value","High Value Order","Standard Order")</f>
        <v>High Value Order</v>
      </c>
      <c r="V764" s="1"/>
      <c r="W764" s="17" t="s">
        <v>37</v>
      </c>
      <c r="X764" s="17"/>
      <c r="Y764" s="6"/>
      <c r="Z764" s="1"/>
    </row>
    <row r="765" spans="1:26">
      <c r="A765" s="3" t="s">
        <v>4305</v>
      </c>
      <c r="B765" s="3" t="s">
        <v>22</v>
      </c>
      <c r="C765" s="3" t="s">
        <v>23</v>
      </c>
      <c r="D765" s="3" t="s">
        <v>24</v>
      </c>
      <c r="E765" s="3" t="s">
        <v>25</v>
      </c>
      <c r="F765" s="3" t="s">
        <v>26</v>
      </c>
      <c r="G765" s="2">
        <v>10.69</v>
      </c>
      <c r="H765" s="2">
        <v>5</v>
      </c>
      <c r="I765" s="2">
        <v>2.6724999999999999</v>
      </c>
      <c r="J765" s="2">
        <v>56.122500000000002</v>
      </c>
      <c r="K765" s="5">
        <v>43550</v>
      </c>
      <c r="L765" s="4">
        <v>0.46319444444444446</v>
      </c>
      <c r="M765" s="3" t="s">
        <v>33</v>
      </c>
      <c r="N765" s="2">
        <v>53.45</v>
      </c>
      <c r="O765" s="2">
        <v>4.7619047620000003</v>
      </c>
      <c r="P765" s="2">
        <v>2.6724999999999999</v>
      </c>
      <c r="Q765" s="2">
        <v>7.6</v>
      </c>
      <c r="R765" s="3" t="str">
        <f t="shared" si="24"/>
        <v>March</v>
      </c>
      <c r="S765" s="3">
        <f t="shared" si="23"/>
        <v>3</v>
      </c>
      <c r="T765" s="3" t="str">
        <f>IF(tbl_sales[[#This Row],[Sales]]&gt;=500,"High Value","Standard")</f>
        <v>Standard</v>
      </c>
      <c r="U765" s="1" t="str">
        <f>IF(tbl_sales[[#This Row],[Order Size]]="High Value","High Value Order","Standard Order")</f>
        <v>Standard Order</v>
      </c>
      <c r="V765" s="1"/>
      <c r="W765" s="17" t="s">
        <v>37</v>
      </c>
      <c r="X765" s="17"/>
      <c r="Y765" s="6"/>
      <c r="Z765" s="1"/>
    </row>
    <row r="766" spans="1:26">
      <c r="A766" s="3" t="s">
        <v>4310</v>
      </c>
      <c r="B766" s="3" t="s">
        <v>22</v>
      </c>
      <c r="C766" s="3" t="s">
        <v>23</v>
      </c>
      <c r="D766" s="3" t="s">
        <v>24</v>
      </c>
      <c r="E766" s="3" t="s">
        <v>992</v>
      </c>
      <c r="F766" s="3" t="s">
        <v>26</v>
      </c>
      <c r="G766" s="2">
        <v>55.5</v>
      </c>
      <c r="H766" s="2">
        <v>4</v>
      </c>
      <c r="I766" s="2">
        <v>11.1</v>
      </c>
      <c r="J766" s="2">
        <v>233.1</v>
      </c>
      <c r="K766" s="5">
        <v>43485</v>
      </c>
      <c r="L766" s="4">
        <v>0.65833333333333333</v>
      </c>
      <c r="M766" s="3" t="s">
        <v>59</v>
      </c>
      <c r="N766" s="2">
        <v>222</v>
      </c>
      <c r="O766" s="2">
        <v>4.7619047620000003</v>
      </c>
      <c r="P766" s="2">
        <v>11.1</v>
      </c>
      <c r="Q766" s="2">
        <v>6.6</v>
      </c>
      <c r="R766" s="3" t="str">
        <f t="shared" si="24"/>
        <v>January</v>
      </c>
      <c r="S766" s="3">
        <f t="shared" si="23"/>
        <v>1</v>
      </c>
      <c r="T766" s="3" t="str">
        <f>IF(tbl_sales[[#This Row],[Sales]]&gt;=500,"High Value","Standard")</f>
        <v>Standard</v>
      </c>
      <c r="U766" s="1" t="str">
        <f>IF(tbl_sales[[#This Row],[Order Size]]="High Value","High Value Order","Standard Order")</f>
        <v>Standard Order</v>
      </c>
      <c r="V766" s="1"/>
      <c r="W766" s="17" t="s">
        <v>37</v>
      </c>
      <c r="X766" s="17"/>
      <c r="Y766" s="6"/>
      <c r="Z766" s="1"/>
    </row>
    <row r="767" spans="1:26">
      <c r="A767" s="3" t="s">
        <v>4315</v>
      </c>
      <c r="B767" s="3" t="s">
        <v>115</v>
      </c>
      <c r="C767" s="3" t="s">
        <v>116</v>
      </c>
      <c r="D767" s="3" t="s">
        <v>41</v>
      </c>
      <c r="E767" s="3" t="s">
        <v>25</v>
      </c>
      <c r="F767" s="3" t="s">
        <v>53</v>
      </c>
      <c r="G767" s="2">
        <v>95.46</v>
      </c>
      <c r="H767" s="2">
        <v>8</v>
      </c>
      <c r="I767" s="2">
        <v>38.183999999999997</v>
      </c>
      <c r="J767" s="2">
        <v>801.86400000000003</v>
      </c>
      <c r="K767" s="5">
        <v>43529</v>
      </c>
      <c r="L767" s="4">
        <v>0.81944444444444442</v>
      </c>
      <c r="M767" s="3" t="s">
        <v>33</v>
      </c>
      <c r="N767" s="2">
        <v>763.68</v>
      </c>
      <c r="O767" s="2">
        <v>4.7619047620000003</v>
      </c>
      <c r="P767" s="2">
        <v>38.183999999999997</v>
      </c>
      <c r="Q767" s="2">
        <v>4.7</v>
      </c>
      <c r="R767" s="3" t="str">
        <f t="shared" si="24"/>
        <v>March</v>
      </c>
      <c r="S767" s="3">
        <f t="shared" si="23"/>
        <v>3</v>
      </c>
      <c r="T767" s="3" t="str">
        <f>IF(tbl_sales[[#This Row],[Sales]]&gt;=500,"High Value","Standard")</f>
        <v>High Value</v>
      </c>
      <c r="U767" s="1" t="str">
        <f>IF(tbl_sales[[#This Row],[Order Size]]="High Value","High Value Order","Standard Order")</f>
        <v>High Value Order</v>
      </c>
      <c r="V767" s="1"/>
      <c r="W767" s="17" t="s">
        <v>37</v>
      </c>
      <c r="X767" s="17"/>
      <c r="Y767" s="6"/>
      <c r="Z767" s="1"/>
    </row>
    <row r="768" spans="1:26">
      <c r="A768" s="3" t="s">
        <v>4320</v>
      </c>
      <c r="B768" s="3" t="s">
        <v>39</v>
      </c>
      <c r="C768" s="3" t="s">
        <v>40</v>
      </c>
      <c r="D768" s="3" t="s">
        <v>41</v>
      </c>
      <c r="E768" s="3" t="s">
        <v>25</v>
      </c>
      <c r="F768" s="3" t="s">
        <v>127</v>
      </c>
      <c r="G768" s="2">
        <v>76.06</v>
      </c>
      <c r="H768" s="2">
        <v>3</v>
      </c>
      <c r="I768" s="2">
        <v>11.409000000000001</v>
      </c>
      <c r="J768" s="2">
        <v>239.589</v>
      </c>
      <c r="K768" s="5">
        <v>43470</v>
      </c>
      <c r="L768" s="4">
        <v>0.85416666666666663</v>
      </c>
      <c r="M768" s="3" t="s">
        <v>59</v>
      </c>
      <c r="N768" s="2">
        <v>228.18</v>
      </c>
      <c r="O768" s="2">
        <v>4.7619047620000003</v>
      </c>
      <c r="P768" s="2">
        <v>11.409000000000001</v>
      </c>
      <c r="Q768" s="2">
        <v>9.8000000000000007</v>
      </c>
      <c r="R768" s="3" t="str">
        <f t="shared" si="24"/>
        <v>January</v>
      </c>
      <c r="S768" s="3">
        <f t="shared" si="23"/>
        <v>1</v>
      </c>
      <c r="T768" s="3" t="str">
        <f>IF(tbl_sales[[#This Row],[Sales]]&gt;=500,"High Value","Standard")</f>
        <v>Standard</v>
      </c>
      <c r="U768" s="1" t="str">
        <f>IF(tbl_sales[[#This Row],[Order Size]]="High Value","High Value Order","Standard Order")</f>
        <v>Standard Order</v>
      </c>
      <c r="V768" s="1"/>
      <c r="W768" s="17" t="s">
        <v>37</v>
      </c>
      <c r="X768" s="17"/>
      <c r="Y768" s="6"/>
      <c r="Z768" s="1"/>
    </row>
    <row r="769" spans="1:26">
      <c r="A769" s="3" t="s">
        <v>4326</v>
      </c>
      <c r="B769" s="3" t="s">
        <v>115</v>
      </c>
      <c r="C769" s="3" t="s">
        <v>116</v>
      </c>
      <c r="D769" s="3" t="s">
        <v>41</v>
      </c>
      <c r="E769" s="3" t="s">
        <v>992</v>
      </c>
      <c r="F769" s="3" t="s">
        <v>72</v>
      </c>
      <c r="G769" s="2">
        <v>13.69</v>
      </c>
      <c r="H769" s="2">
        <v>6</v>
      </c>
      <c r="I769" s="2">
        <v>4.1070000000000002</v>
      </c>
      <c r="J769" s="2">
        <v>86.247</v>
      </c>
      <c r="K769" s="5">
        <v>43509</v>
      </c>
      <c r="L769" s="4">
        <v>0.58263888888888893</v>
      </c>
      <c r="M769" s="3" t="s">
        <v>49</v>
      </c>
      <c r="N769" s="2">
        <v>82.14</v>
      </c>
      <c r="O769" s="2">
        <v>4.7619047620000003</v>
      </c>
      <c r="P769" s="2">
        <v>4.1070000000000002</v>
      </c>
      <c r="Q769" s="2">
        <v>6.3</v>
      </c>
      <c r="R769" s="3" t="str">
        <f t="shared" si="24"/>
        <v>February</v>
      </c>
      <c r="S769" s="3">
        <f t="shared" si="23"/>
        <v>2</v>
      </c>
      <c r="T769" s="3" t="str">
        <f>IF(tbl_sales[[#This Row],[Sales]]&gt;=500,"High Value","Standard")</f>
        <v>Standard</v>
      </c>
      <c r="U769" s="1" t="str">
        <f>IF(tbl_sales[[#This Row],[Order Size]]="High Value","High Value Order","Standard Order")</f>
        <v>Standard Order</v>
      </c>
      <c r="V769" s="1"/>
      <c r="W769" s="17" t="s">
        <v>37</v>
      </c>
      <c r="X769" s="17"/>
      <c r="Y769" s="6"/>
      <c r="Z769" s="1"/>
    </row>
    <row r="770" spans="1:26">
      <c r="A770" s="3" t="s">
        <v>4332</v>
      </c>
      <c r="B770" s="3" t="s">
        <v>115</v>
      </c>
      <c r="C770" s="3" t="s">
        <v>116</v>
      </c>
      <c r="D770" s="3" t="s">
        <v>41</v>
      </c>
      <c r="E770" s="3" t="s">
        <v>25</v>
      </c>
      <c r="F770" s="3" t="s">
        <v>42</v>
      </c>
      <c r="G770" s="2">
        <v>95.64</v>
      </c>
      <c r="H770" s="2">
        <v>4</v>
      </c>
      <c r="I770" s="2">
        <v>19.128</v>
      </c>
      <c r="J770" s="2">
        <v>401.68799999999999</v>
      </c>
      <c r="K770" s="5">
        <v>43540</v>
      </c>
      <c r="L770" s="4">
        <v>0.78541666666666665</v>
      </c>
      <c r="M770" s="3" t="s">
        <v>49</v>
      </c>
      <c r="N770" s="2">
        <v>382.56</v>
      </c>
      <c r="O770" s="2">
        <v>4.7619047620000003</v>
      </c>
      <c r="P770" s="2">
        <v>19.128</v>
      </c>
      <c r="Q770" s="2">
        <v>7.9</v>
      </c>
      <c r="R770" s="3" t="str">
        <f t="shared" si="24"/>
        <v>March</v>
      </c>
      <c r="S770" s="3">
        <f t="shared" ref="S770:S833" si="25">MONTH(K770)</f>
        <v>3</v>
      </c>
      <c r="T770" s="3" t="str">
        <f>IF(tbl_sales[[#This Row],[Sales]]&gt;=500,"High Value","Standard")</f>
        <v>Standard</v>
      </c>
      <c r="U770" s="1" t="str">
        <f>IF(tbl_sales[[#This Row],[Order Size]]="High Value","High Value Order","Standard Order")</f>
        <v>Standard Order</v>
      </c>
      <c r="V770" s="1"/>
      <c r="W770" s="17" t="s">
        <v>37</v>
      </c>
      <c r="X770" s="17"/>
      <c r="Y770" s="6"/>
      <c r="Z770" s="1"/>
    </row>
    <row r="771" spans="1:26">
      <c r="A771" s="3" t="s">
        <v>4337</v>
      </c>
      <c r="B771" s="3" t="s">
        <v>22</v>
      </c>
      <c r="C771" s="3" t="s">
        <v>23</v>
      </c>
      <c r="D771" s="3" t="s">
        <v>41</v>
      </c>
      <c r="E771" s="3" t="s">
        <v>25</v>
      </c>
      <c r="F771" s="3" t="s">
        <v>53</v>
      </c>
      <c r="G771" s="2">
        <v>11.43</v>
      </c>
      <c r="H771" s="2">
        <v>6</v>
      </c>
      <c r="I771" s="2">
        <v>3.4289999999999998</v>
      </c>
      <c r="J771" s="2">
        <v>72.009</v>
      </c>
      <c r="K771" s="5">
        <v>43480</v>
      </c>
      <c r="L771" s="4">
        <v>0.72499999999999998</v>
      </c>
      <c r="M771" s="3" t="s">
        <v>49</v>
      </c>
      <c r="N771" s="2">
        <v>68.58</v>
      </c>
      <c r="O771" s="2">
        <v>4.7619047620000003</v>
      </c>
      <c r="P771" s="2">
        <v>3.4289999999999998</v>
      </c>
      <c r="Q771" s="2">
        <v>7.7</v>
      </c>
      <c r="R771" s="3" t="str">
        <f t="shared" ref="R771:R834" si="26">TEXT(K771,"mmmm")</f>
        <v>January</v>
      </c>
      <c r="S771" s="3">
        <f t="shared" si="25"/>
        <v>1</v>
      </c>
      <c r="T771" s="3" t="str">
        <f>IF(tbl_sales[[#This Row],[Sales]]&gt;=500,"High Value","Standard")</f>
        <v>Standard</v>
      </c>
      <c r="U771" s="1" t="str">
        <f>IF(tbl_sales[[#This Row],[Order Size]]="High Value","High Value Order","Standard Order")</f>
        <v>Standard Order</v>
      </c>
      <c r="V771" s="1"/>
      <c r="W771" s="17" t="s">
        <v>37</v>
      </c>
      <c r="X771" s="17"/>
      <c r="Y771" s="6"/>
      <c r="Z771" s="1"/>
    </row>
    <row r="772" spans="1:26">
      <c r="A772" s="3" t="s">
        <v>4342</v>
      </c>
      <c r="B772" s="3" t="s">
        <v>115</v>
      </c>
      <c r="C772" s="3" t="s">
        <v>116</v>
      </c>
      <c r="D772" s="3" t="s">
        <v>24</v>
      </c>
      <c r="E772" s="3" t="s">
        <v>25</v>
      </c>
      <c r="F772" s="3" t="s">
        <v>72</v>
      </c>
      <c r="G772" s="2">
        <v>95.54</v>
      </c>
      <c r="H772" s="2">
        <v>4</v>
      </c>
      <c r="I772" s="2">
        <v>19.108000000000001</v>
      </c>
      <c r="J772" s="2">
        <v>401.26799999999997</v>
      </c>
      <c r="K772" s="5">
        <v>43522</v>
      </c>
      <c r="L772" s="4">
        <v>0.49861111111111112</v>
      </c>
      <c r="M772" s="3" t="s">
        <v>33</v>
      </c>
      <c r="N772" s="2">
        <v>382.16</v>
      </c>
      <c r="O772" s="2">
        <v>4.7619047620000003</v>
      </c>
      <c r="P772" s="2">
        <v>19.108000000000001</v>
      </c>
      <c r="Q772" s="2">
        <v>4.5</v>
      </c>
      <c r="R772" s="3" t="str">
        <f t="shared" si="26"/>
        <v>February</v>
      </c>
      <c r="S772" s="3">
        <f t="shared" si="25"/>
        <v>2</v>
      </c>
      <c r="T772" s="3" t="str">
        <f>IF(tbl_sales[[#This Row],[Sales]]&gt;=500,"High Value","Standard")</f>
        <v>Standard</v>
      </c>
      <c r="U772" s="1" t="str">
        <f>IF(tbl_sales[[#This Row],[Order Size]]="High Value","High Value Order","Standard Order")</f>
        <v>Standard Order</v>
      </c>
      <c r="V772" s="1"/>
      <c r="W772" s="17" t="s">
        <v>37</v>
      </c>
      <c r="X772" s="17"/>
      <c r="Y772" s="6"/>
      <c r="Z772" s="1"/>
    </row>
    <row r="773" spans="1:26">
      <c r="A773" s="3" t="s">
        <v>4347</v>
      </c>
      <c r="B773" s="3" t="s">
        <v>39</v>
      </c>
      <c r="C773" s="3" t="s">
        <v>40</v>
      </c>
      <c r="D773" s="3" t="s">
        <v>24</v>
      </c>
      <c r="E773" s="3" t="s">
        <v>25</v>
      </c>
      <c r="F773" s="3" t="s">
        <v>26</v>
      </c>
      <c r="G773" s="2">
        <v>85.87</v>
      </c>
      <c r="H773" s="2">
        <v>7</v>
      </c>
      <c r="I773" s="2">
        <v>30.054500000000001</v>
      </c>
      <c r="J773" s="2">
        <v>631.14449999999999</v>
      </c>
      <c r="K773" s="5">
        <v>43523</v>
      </c>
      <c r="L773" s="4">
        <v>0.79236111111111107</v>
      </c>
      <c r="M773" s="3" t="s">
        <v>59</v>
      </c>
      <c r="N773" s="2">
        <v>601.09</v>
      </c>
      <c r="O773" s="2">
        <v>4.7619047620000003</v>
      </c>
      <c r="P773" s="2">
        <v>30.054500000000001</v>
      </c>
      <c r="Q773" s="2">
        <v>8</v>
      </c>
      <c r="R773" s="3" t="str">
        <f t="shared" si="26"/>
        <v>February</v>
      </c>
      <c r="S773" s="3">
        <f t="shared" si="25"/>
        <v>2</v>
      </c>
      <c r="T773" s="3" t="str">
        <f>IF(tbl_sales[[#This Row],[Sales]]&gt;=500,"High Value","Standard")</f>
        <v>High Value</v>
      </c>
      <c r="U773" s="1" t="str">
        <f>IF(tbl_sales[[#This Row],[Order Size]]="High Value","High Value Order","Standard Order")</f>
        <v>High Value Order</v>
      </c>
      <c r="V773" s="1"/>
      <c r="W773" s="17" t="s">
        <v>37</v>
      </c>
      <c r="X773" s="17"/>
      <c r="Y773" s="6"/>
      <c r="Z773" s="1"/>
    </row>
    <row r="774" spans="1:26">
      <c r="A774" s="3" t="s">
        <v>4352</v>
      </c>
      <c r="B774" s="3" t="s">
        <v>39</v>
      </c>
      <c r="C774" s="3" t="s">
        <v>40</v>
      </c>
      <c r="D774" s="3" t="s">
        <v>24</v>
      </c>
      <c r="E774" s="3" t="s">
        <v>25</v>
      </c>
      <c r="F774" s="3" t="s">
        <v>72</v>
      </c>
      <c r="G774" s="2">
        <v>67.989999999999995</v>
      </c>
      <c r="H774" s="2">
        <v>7</v>
      </c>
      <c r="I774" s="2">
        <v>23.796500000000002</v>
      </c>
      <c r="J774" s="2">
        <v>499.72649999999999</v>
      </c>
      <c r="K774" s="5">
        <v>43513</v>
      </c>
      <c r="L774" s="4">
        <v>0.70138888888888884</v>
      </c>
      <c r="M774" s="3" t="s">
        <v>33</v>
      </c>
      <c r="N774" s="2">
        <v>475.93</v>
      </c>
      <c r="O774" s="2">
        <v>4.7619047620000003</v>
      </c>
      <c r="P774" s="2">
        <v>23.796500000000002</v>
      </c>
      <c r="Q774" s="2">
        <v>5.7</v>
      </c>
      <c r="R774" s="3" t="str">
        <f t="shared" si="26"/>
        <v>February</v>
      </c>
      <c r="S774" s="3">
        <f t="shared" si="25"/>
        <v>2</v>
      </c>
      <c r="T774" s="3" t="str">
        <f>IF(tbl_sales[[#This Row],[Sales]]&gt;=500,"High Value","Standard")</f>
        <v>Standard</v>
      </c>
      <c r="U774" s="1" t="str">
        <f>IF(tbl_sales[[#This Row],[Order Size]]="High Value","High Value Order","Standard Order")</f>
        <v>Standard Order</v>
      </c>
      <c r="V774" s="1"/>
      <c r="W774" s="17" t="s">
        <v>37</v>
      </c>
      <c r="X774" s="17"/>
      <c r="Y774" s="6"/>
      <c r="Z774" s="1"/>
    </row>
    <row r="775" spans="1:26">
      <c r="A775" s="3" t="s">
        <v>4358</v>
      </c>
      <c r="B775" s="3" t="s">
        <v>39</v>
      </c>
      <c r="C775" s="3" t="s">
        <v>40</v>
      </c>
      <c r="D775" s="3" t="s">
        <v>41</v>
      </c>
      <c r="E775" s="3" t="s">
        <v>25</v>
      </c>
      <c r="F775" s="3" t="s">
        <v>117</v>
      </c>
      <c r="G775" s="2">
        <v>52.42</v>
      </c>
      <c r="H775" s="2">
        <v>1</v>
      </c>
      <c r="I775" s="2">
        <v>2.621</v>
      </c>
      <c r="J775" s="2">
        <v>55.040999999999997</v>
      </c>
      <c r="K775" s="5">
        <v>43502</v>
      </c>
      <c r="L775" s="4">
        <v>0.43194444444444446</v>
      </c>
      <c r="M775" s="3" t="s">
        <v>59</v>
      </c>
      <c r="N775" s="2">
        <v>52.42</v>
      </c>
      <c r="O775" s="2">
        <v>4.7619047620000003</v>
      </c>
      <c r="P775" s="2">
        <v>2.621</v>
      </c>
      <c r="Q775" s="2">
        <v>6.3</v>
      </c>
      <c r="R775" s="3" t="str">
        <f t="shared" si="26"/>
        <v>February</v>
      </c>
      <c r="S775" s="3">
        <f t="shared" si="25"/>
        <v>2</v>
      </c>
      <c r="T775" s="3" t="str">
        <f>IF(tbl_sales[[#This Row],[Sales]]&gt;=500,"High Value","Standard")</f>
        <v>Standard</v>
      </c>
      <c r="U775" s="1" t="str">
        <f>IF(tbl_sales[[#This Row],[Order Size]]="High Value","High Value Order","Standard Order")</f>
        <v>Standard Order</v>
      </c>
      <c r="V775" s="1"/>
      <c r="W775" s="17" t="s">
        <v>37</v>
      </c>
      <c r="X775" s="17"/>
      <c r="Y775" s="6"/>
      <c r="Z775" s="1"/>
    </row>
    <row r="776" spans="1:26">
      <c r="A776" s="3" t="s">
        <v>4361</v>
      </c>
      <c r="B776" s="3" t="s">
        <v>39</v>
      </c>
      <c r="C776" s="3" t="s">
        <v>40</v>
      </c>
      <c r="D776" s="3" t="s">
        <v>24</v>
      </c>
      <c r="E776" s="3" t="s">
        <v>992</v>
      </c>
      <c r="F776" s="3" t="s">
        <v>117</v>
      </c>
      <c r="G776" s="2">
        <v>65.650000000000006</v>
      </c>
      <c r="H776" s="2">
        <v>2</v>
      </c>
      <c r="I776" s="2">
        <v>6.5650000000000004</v>
      </c>
      <c r="J776" s="2">
        <v>137.86500000000001</v>
      </c>
      <c r="K776" s="5">
        <v>43482</v>
      </c>
      <c r="L776" s="4">
        <v>0.69861111111111107</v>
      </c>
      <c r="M776" s="3" t="s">
        <v>49</v>
      </c>
      <c r="N776" s="2">
        <v>131.30000000000001</v>
      </c>
      <c r="O776" s="2">
        <v>4.7619047620000003</v>
      </c>
      <c r="P776" s="2">
        <v>6.5650000000000004</v>
      </c>
      <c r="Q776" s="2">
        <v>6</v>
      </c>
      <c r="R776" s="3" t="str">
        <f t="shared" si="26"/>
        <v>January</v>
      </c>
      <c r="S776" s="3">
        <f t="shared" si="25"/>
        <v>1</v>
      </c>
      <c r="T776" s="3" t="str">
        <f>IF(tbl_sales[[#This Row],[Sales]]&gt;=500,"High Value","Standard")</f>
        <v>Standard</v>
      </c>
      <c r="U776" s="1" t="str">
        <f>IF(tbl_sales[[#This Row],[Order Size]]="High Value","High Value Order","Standard Order")</f>
        <v>Standard Order</v>
      </c>
      <c r="V776" s="1"/>
      <c r="W776" s="17" t="s">
        <v>37</v>
      </c>
      <c r="X776" s="17"/>
      <c r="Y776" s="6"/>
      <c r="Z776" s="1"/>
    </row>
    <row r="777" spans="1:26">
      <c r="A777" s="3" t="s">
        <v>4366</v>
      </c>
      <c r="B777" s="3" t="s">
        <v>115</v>
      </c>
      <c r="C777" s="3" t="s">
        <v>116</v>
      </c>
      <c r="D777" s="3" t="s">
        <v>41</v>
      </c>
      <c r="E777" s="3" t="s">
        <v>25</v>
      </c>
      <c r="F777" s="3" t="s">
        <v>117</v>
      </c>
      <c r="G777" s="2">
        <v>28.86</v>
      </c>
      <c r="H777" s="2">
        <v>5</v>
      </c>
      <c r="I777" s="2">
        <v>7.2149999999999999</v>
      </c>
      <c r="J777" s="2">
        <v>151.51499999999999</v>
      </c>
      <c r="K777" s="5">
        <v>43487</v>
      </c>
      <c r="L777" s="4">
        <v>0.75555555555555554</v>
      </c>
      <c r="M777" s="3" t="s">
        <v>59</v>
      </c>
      <c r="N777" s="2">
        <v>144.30000000000001</v>
      </c>
      <c r="O777" s="2">
        <v>4.7619047620000003</v>
      </c>
      <c r="P777" s="2">
        <v>7.2149999999999999</v>
      </c>
      <c r="Q777" s="2">
        <v>8</v>
      </c>
      <c r="R777" s="3" t="str">
        <f t="shared" si="26"/>
        <v>January</v>
      </c>
      <c r="S777" s="3">
        <f t="shared" si="25"/>
        <v>1</v>
      </c>
      <c r="T777" s="3" t="str">
        <f>IF(tbl_sales[[#This Row],[Sales]]&gt;=500,"High Value","Standard")</f>
        <v>Standard</v>
      </c>
      <c r="U777" s="1" t="str">
        <f>IF(tbl_sales[[#This Row],[Order Size]]="High Value","High Value Order","Standard Order")</f>
        <v>Standard Order</v>
      </c>
      <c r="V777" s="1"/>
      <c r="W777" s="17" t="s">
        <v>37</v>
      </c>
      <c r="X777" s="17"/>
      <c r="Y777" s="6"/>
      <c r="Z777" s="1"/>
    </row>
    <row r="778" spans="1:26">
      <c r="A778" s="3" t="s">
        <v>4371</v>
      </c>
      <c r="B778" s="3" t="s">
        <v>39</v>
      </c>
      <c r="C778" s="3" t="s">
        <v>40</v>
      </c>
      <c r="D778" s="3" t="s">
        <v>24</v>
      </c>
      <c r="E778" s="3" t="s">
        <v>992</v>
      </c>
      <c r="F778" s="3" t="s">
        <v>26</v>
      </c>
      <c r="G778" s="2">
        <v>65.31</v>
      </c>
      <c r="H778" s="2">
        <v>7</v>
      </c>
      <c r="I778" s="2">
        <v>22.858499999999999</v>
      </c>
      <c r="J778" s="2">
        <v>480.02850000000001</v>
      </c>
      <c r="K778" s="5">
        <v>43529</v>
      </c>
      <c r="L778" s="4">
        <v>0.75138888888888888</v>
      </c>
      <c r="M778" s="3" t="s">
        <v>59</v>
      </c>
      <c r="N778" s="2">
        <v>457.17</v>
      </c>
      <c r="O778" s="2">
        <v>4.7619047620000003</v>
      </c>
      <c r="P778" s="2">
        <v>22.858499999999999</v>
      </c>
      <c r="Q778" s="2">
        <v>4.2</v>
      </c>
      <c r="R778" s="3" t="str">
        <f t="shared" si="26"/>
        <v>March</v>
      </c>
      <c r="S778" s="3">
        <f t="shared" si="25"/>
        <v>3</v>
      </c>
      <c r="T778" s="3" t="str">
        <f>IF(tbl_sales[[#This Row],[Sales]]&gt;=500,"High Value","Standard")</f>
        <v>Standard</v>
      </c>
      <c r="U778" s="1" t="str">
        <f>IF(tbl_sales[[#This Row],[Order Size]]="High Value","High Value Order","Standard Order")</f>
        <v>Standard Order</v>
      </c>
      <c r="V778" s="1"/>
      <c r="W778" s="17" t="s">
        <v>37</v>
      </c>
      <c r="X778" s="17"/>
      <c r="Y778" s="6"/>
      <c r="Z778" s="1"/>
    </row>
    <row r="779" spans="1:26">
      <c r="A779" s="3" t="s">
        <v>4377</v>
      </c>
      <c r="B779" s="3" t="s">
        <v>115</v>
      </c>
      <c r="C779" s="3" t="s">
        <v>116</v>
      </c>
      <c r="D779" s="3" t="s">
        <v>41</v>
      </c>
      <c r="E779" s="3" t="s">
        <v>992</v>
      </c>
      <c r="F779" s="3" t="s">
        <v>72</v>
      </c>
      <c r="G779" s="2">
        <v>93.38</v>
      </c>
      <c r="H779" s="2">
        <v>1</v>
      </c>
      <c r="I779" s="2">
        <v>4.6689999999999996</v>
      </c>
      <c r="J779" s="2">
        <v>98.049000000000007</v>
      </c>
      <c r="K779" s="5">
        <v>43468</v>
      </c>
      <c r="L779" s="4">
        <v>0.54652777777777772</v>
      </c>
      <c r="M779" s="3" t="s">
        <v>49</v>
      </c>
      <c r="N779" s="2">
        <v>93.38</v>
      </c>
      <c r="O779" s="2">
        <v>4.7619047620000003</v>
      </c>
      <c r="P779" s="2">
        <v>4.6689999999999996</v>
      </c>
      <c r="Q779" s="2">
        <v>9.6</v>
      </c>
      <c r="R779" s="3" t="str">
        <f t="shared" si="26"/>
        <v>January</v>
      </c>
      <c r="S779" s="3">
        <f t="shared" si="25"/>
        <v>1</v>
      </c>
      <c r="T779" s="3" t="str">
        <f>IF(tbl_sales[[#This Row],[Sales]]&gt;=500,"High Value","Standard")</f>
        <v>Standard</v>
      </c>
      <c r="U779" s="1" t="str">
        <f>IF(tbl_sales[[#This Row],[Order Size]]="High Value","High Value Order","Standard Order")</f>
        <v>Standard Order</v>
      </c>
      <c r="V779" s="1"/>
      <c r="W779" s="17" t="s">
        <v>37</v>
      </c>
      <c r="X779" s="17"/>
      <c r="Y779" s="6"/>
      <c r="Z779" s="1"/>
    </row>
    <row r="780" spans="1:26">
      <c r="A780" s="3" t="s">
        <v>4381</v>
      </c>
      <c r="B780" s="3" t="s">
        <v>39</v>
      </c>
      <c r="C780" s="3" t="s">
        <v>40</v>
      </c>
      <c r="D780" s="3" t="s">
        <v>24</v>
      </c>
      <c r="E780" s="3" t="s">
        <v>992</v>
      </c>
      <c r="F780" s="3" t="s">
        <v>72</v>
      </c>
      <c r="G780" s="2">
        <v>25.25</v>
      </c>
      <c r="H780" s="2">
        <v>5</v>
      </c>
      <c r="I780" s="2">
        <v>6.3125</v>
      </c>
      <c r="J780" s="2">
        <v>132.5625</v>
      </c>
      <c r="K780" s="5">
        <v>43544</v>
      </c>
      <c r="L780" s="4">
        <v>0.74444444444444446</v>
      </c>
      <c r="M780" s="3" t="s">
        <v>49</v>
      </c>
      <c r="N780" s="2">
        <v>126.25</v>
      </c>
      <c r="O780" s="2">
        <v>4.7619047620000003</v>
      </c>
      <c r="P780" s="2">
        <v>6.3125</v>
      </c>
      <c r="Q780" s="2">
        <v>6.1</v>
      </c>
      <c r="R780" s="3" t="str">
        <f t="shared" si="26"/>
        <v>March</v>
      </c>
      <c r="S780" s="3">
        <f t="shared" si="25"/>
        <v>3</v>
      </c>
      <c r="T780" s="3" t="str">
        <f>IF(tbl_sales[[#This Row],[Sales]]&gt;=500,"High Value","Standard")</f>
        <v>Standard</v>
      </c>
      <c r="U780" s="1" t="str">
        <f>IF(tbl_sales[[#This Row],[Order Size]]="High Value","High Value Order","Standard Order")</f>
        <v>Standard Order</v>
      </c>
      <c r="V780" s="1"/>
      <c r="W780" s="17" t="s">
        <v>37</v>
      </c>
      <c r="X780" s="17"/>
      <c r="Y780" s="6"/>
      <c r="Z780" s="1"/>
    </row>
    <row r="781" spans="1:26">
      <c r="A781" s="3" t="s">
        <v>4387</v>
      </c>
      <c r="B781" s="3" t="s">
        <v>115</v>
      </c>
      <c r="C781" s="3" t="s">
        <v>116</v>
      </c>
      <c r="D781" s="3" t="s">
        <v>24</v>
      </c>
      <c r="E781" s="3" t="s">
        <v>992</v>
      </c>
      <c r="F781" s="3" t="s">
        <v>42</v>
      </c>
      <c r="G781" s="2">
        <v>87.87</v>
      </c>
      <c r="H781" s="2">
        <v>9</v>
      </c>
      <c r="I781" s="2">
        <v>39.541499999999999</v>
      </c>
      <c r="J781" s="2">
        <v>830.37149999999997</v>
      </c>
      <c r="K781" s="5">
        <v>43496</v>
      </c>
      <c r="L781" s="4">
        <v>0.85555555555555551</v>
      </c>
      <c r="M781" s="3" t="s">
        <v>33</v>
      </c>
      <c r="N781" s="2">
        <v>790.83</v>
      </c>
      <c r="O781" s="2">
        <v>4.7619047620000003</v>
      </c>
      <c r="P781" s="2">
        <v>39.541499999999999</v>
      </c>
      <c r="Q781" s="2">
        <v>5.6</v>
      </c>
      <c r="R781" s="3" t="str">
        <f t="shared" si="26"/>
        <v>January</v>
      </c>
      <c r="S781" s="3">
        <f t="shared" si="25"/>
        <v>1</v>
      </c>
      <c r="T781" s="3" t="str">
        <f>IF(tbl_sales[[#This Row],[Sales]]&gt;=500,"High Value","Standard")</f>
        <v>High Value</v>
      </c>
      <c r="U781" s="1" t="str">
        <f>IF(tbl_sales[[#This Row],[Order Size]]="High Value","High Value Order","Standard Order")</f>
        <v>High Value Order</v>
      </c>
      <c r="V781" s="1"/>
      <c r="W781" s="17" t="s">
        <v>37</v>
      </c>
      <c r="X781" s="17"/>
      <c r="Y781" s="6"/>
      <c r="Z781" s="1"/>
    </row>
    <row r="782" spans="1:26">
      <c r="A782" s="3" t="s">
        <v>4392</v>
      </c>
      <c r="B782" s="3" t="s">
        <v>39</v>
      </c>
      <c r="C782" s="3" t="s">
        <v>40</v>
      </c>
      <c r="D782" s="3" t="s">
        <v>41</v>
      </c>
      <c r="E782" s="3" t="s">
        <v>992</v>
      </c>
      <c r="F782" s="3" t="s">
        <v>26</v>
      </c>
      <c r="G782" s="2">
        <v>21.8</v>
      </c>
      <c r="H782" s="2">
        <v>8</v>
      </c>
      <c r="I782" s="2">
        <v>8.7200000000000006</v>
      </c>
      <c r="J782" s="2">
        <v>183.12</v>
      </c>
      <c r="K782" s="5">
        <v>43515</v>
      </c>
      <c r="L782" s="4">
        <v>0.80833333333333335</v>
      </c>
      <c r="M782" s="3" t="s">
        <v>49</v>
      </c>
      <c r="N782" s="2">
        <v>174.4</v>
      </c>
      <c r="O782" s="2">
        <v>4.7619047620000003</v>
      </c>
      <c r="P782" s="2">
        <v>8.7200000000000006</v>
      </c>
      <c r="Q782" s="2">
        <v>8.3000000000000007</v>
      </c>
      <c r="R782" s="3" t="str">
        <f t="shared" si="26"/>
        <v>February</v>
      </c>
      <c r="S782" s="3">
        <f t="shared" si="25"/>
        <v>2</v>
      </c>
      <c r="T782" s="3" t="str">
        <f>IF(tbl_sales[[#This Row],[Sales]]&gt;=500,"High Value","Standard")</f>
        <v>Standard</v>
      </c>
      <c r="U782" s="1" t="str">
        <f>IF(tbl_sales[[#This Row],[Order Size]]="High Value","High Value Order","Standard Order")</f>
        <v>Standard Order</v>
      </c>
      <c r="V782" s="1"/>
      <c r="W782" s="17" t="s">
        <v>37</v>
      </c>
      <c r="X782" s="17"/>
      <c r="Y782" s="6"/>
      <c r="Z782" s="1"/>
    </row>
    <row r="783" spans="1:26">
      <c r="A783" s="3" t="s">
        <v>4397</v>
      </c>
      <c r="B783" s="3" t="s">
        <v>22</v>
      </c>
      <c r="C783" s="3" t="s">
        <v>23</v>
      </c>
      <c r="D783" s="3" t="s">
        <v>41</v>
      </c>
      <c r="E783" s="3" t="s">
        <v>25</v>
      </c>
      <c r="F783" s="3" t="s">
        <v>72</v>
      </c>
      <c r="G783" s="2">
        <v>94.76</v>
      </c>
      <c r="H783" s="2">
        <v>4</v>
      </c>
      <c r="I783" s="2">
        <v>18.952000000000002</v>
      </c>
      <c r="J783" s="2">
        <v>397.99200000000002</v>
      </c>
      <c r="K783" s="5">
        <v>43507</v>
      </c>
      <c r="L783" s="4">
        <v>0.67083333333333328</v>
      </c>
      <c r="M783" s="3" t="s">
        <v>33</v>
      </c>
      <c r="N783" s="2">
        <v>379.04</v>
      </c>
      <c r="O783" s="2">
        <v>4.7619047620000003</v>
      </c>
      <c r="P783" s="2">
        <v>18.952000000000002</v>
      </c>
      <c r="Q783" s="2">
        <v>7.8</v>
      </c>
      <c r="R783" s="3" t="str">
        <f t="shared" si="26"/>
        <v>February</v>
      </c>
      <c r="S783" s="3">
        <f t="shared" si="25"/>
        <v>2</v>
      </c>
      <c r="T783" s="3" t="str">
        <f>IF(tbl_sales[[#This Row],[Sales]]&gt;=500,"High Value","Standard")</f>
        <v>Standard</v>
      </c>
      <c r="U783" s="1" t="str">
        <f>IF(tbl_sales[[#This Row],[Order Size]]="High Value","High Value Order","Standard Order")</f>
        <v>Standard Order</v>
      </c>
      <c r="V783" s="1"/>
      <c r="W783" s="17" t="s">
        <v>37</v>
      </c>
      <c r="X783" s="17"/>
      <c r="Y783" s="6"/>
      <c r="Z783" s="1"/>
    </row>
    <row r="784" spans="1:26">
      <c r="A784" s="3" t="s">
        <v>4402</v>
      </c>
      <c r="B784" s="3" t="s">
        <v>22</v>
      </c>
      <c r="C784" s="3" t="s">
        <v>23</v>
      </c>
      <c r="D784" s="3" t="s">
        <v>24</v>
      </c>
      <c r="E784" s="3" t="s">
        <v>25</v>
      </c>
      <c r="F784" s="3" t="s">
        <v>127</v>
      </c>
      <c r="G784" s="2">
        <v>30.62</v>
      </c>
      <c r="H784" s="2">
        <v>1</v>
      </c>
      <c r="I784" s="2">
        <v>1.5309999999999999</v>
      </c>
      <c r="J784" s="2">
        <v>32.151000000000003</v>
      </c>
      <c r="K784" s="5">
        <v>43501</v>
      </c>
      <c r="L784" s="4">
        <v>0.59305555555555556</v>
      </c>
      <c r="M784" s="3" t="s">
        <v>59</v>
      </c>
      <c r="N784" s="2">
        <v>30.62</v>
      </c>
      <c r="O784" s="2">
        <v>4.7619047620000003</v>
      </c>
      <c r="P784" s="2">
        <v>1.5309999999999999</v>
      </c>
      <c r="Q784" s="2">
        <v>4.0999999999999996</v>
      </c>
      <c r="R784" s="3" t="str">
        <f t="shared" si="26"/>
        <v>February</v>
      </c>
      <c r="S784" s="3">
        <f t="shared" si="25"/>
        <v>2</v>
      </c>
      <c r="T784" s="3" t="str">
        <f>IF(tbl_sales[[#This Row],[Sales]]&gt;=500,"High Value","Standard")</f>
        <v>Standard</v>
      </c>
      <c r="U784" s="1" t="str">
        <f>IF(tbl_sales[[#This Row],[Order Size]]="High Value","High Value Order","Standard Order")</f>
        <v>Standard Order</v>
      </c>
      <c r="V784" s="1"/>
      <c r="W784" s="17" t="s">
        <v>37</v>
      </c>
      <c r="X784" s="17"/>
      <c r="Y784" s="6"/>
      <c r="Z784" s="1"/>
    </row>
    <row r="785" spans="1:26">
      <c r="A785" s="3" t="s">
        <v>4406</v>
      </c>
      <c r="B785" s="3" t="s">
        <v>39</v>
      </c>
      <c r="C785" s="3" t="s">
        <v>40</v>
      </c>
      <c r="D785" s="3" t="s">
        <v>41</v>
      </c>
      <c r="E785" s="3" t="s">
        <v>25</v>
      </c>
      <c r="F785" s="3" t="s">
        <v>53</v>
      </c>
      <c r="G785" s="2">
        <v>44.01</v>
      </c>
      <c r="H785" s="2">
        <v>8</v>
      </c>
      <c r="I785" s="2">
        <v>17.603999999999999</v>
      </c>
      <c r="J785" s="2">
        <v>369.68400000000003</v>
      </c>
      <c r="K785" s="5">
        <v>43527</v>
      </c>
      <c r="L785" s="4">
        <v>0.73333333333333328</v>
      </c>
      <c r="M785" s="3" t="s">
        <v>49</v>
      </c>
      <c r="N785" s="2">
        <v>352.08</v>
      </c>
      <c r="O785" s="2">
        <v>4.7619047620000003</v>
      </c>
      <c r="P785" s="2">
        <v>17.603999999999999</v>
      </c>
      <c r="Q785" s="2">
        <v>8.8000000000000007</v>
      </c>
      <c r="R785" s="3" t="str">
        <f t="shared" si="26"/>
        <v>March</v>
      </c>
      <c r="S785" s="3">
        <f t="shared" si="25"/>
        <v>3</v>
      </c>
      <c r="T785" s="3" t="str">
        <f>IF(tbl_sales[[#This Row],[Sales]]&gt;=500,"High Value","Standard")</f>
        <v>Standard</v>
      </c>
      <c r="U785" s="1" t="str">
        <f>IF(tbl_sales[[#This Row],[Order Size]]="High Value","High Value Order","Standard Order")</f>
        <v>Standard Order</v>
      </c>
      <c r="V785" s="1"/>
      <c r="W785" s="17" t="s">
        <v>37</v>
      </c>
      <c r="X785" s="17"/>
      <c r="Y785" s="6"/>
      <c r="Z785" s="1"/>
    </row>
    <row r="786" spans="1:26">
      <c r="A786" s="3" t="s">
        <v>4411</v>
      </c>
      <c r="B786" s="3" t="s">
        <v>39</v>
      </c>
      <c r="C786" s="3" t="s">
        <v>40</v>
      </c>
      <c r="D786" s="3" t="s">
        <v>24</v>
      </c>
      <c r="E786" s="3" t="s">
        <v>25</v>
      </c>
      <c r="F786" s="3" t="s">
        <v>26</v>
      </c>
      <c r="G786" s="2">
        <v>10.16</v>
      </c>
      <c r="H786" s="2">
        <v>5</v>
      </c>
      <c r="I786" s="2">
        <v>2.54</v>
      </c>
      <c r="J786" s="2">
        <v>53.34</v>
      </c>
      <c r="K786" s="5">
        <v>43520</v>
      </c>
      <c r="L786" s="4">
        <v>0.54722222222222228</v>
      </c>
      <c r="M786" s="3" t="s">
        <v>33</v>
      </c>
      <c r="N786" s="2">
        <v>50.8</v>
      </c>
      <c r="O786" s="2">
        <v>4.7619047620000003</v>
      </c>
      <c r="P786" s="2">
        <v>2.54</v>
      </c>
      <c r="Q786" s="2">
        <v>4.0999999999999996</v>
      </c>
      <c r="R786" s="3" t="str">
        <f t="shared" si="26"/>
        <v>February</v>
      </c>
      <c r="S786" s="3">
        <f t="shared" si="25"/>
        <v>2</v>
      </c>
      <c r="T786" s="3" t="str">
        <f>IF(tbl_sales[[#This Row],[Sales]]&gt;=500,"High Value","Standard")</f>
        <v>Standard</v>
      </c>
      <c r="U786" s="1" t="str">
        <f>IF(tbl_sales[[#This Row],[Order Size]]="High Value","High Value Order","Standard Order")</f>
        <v>Standard Order</v>
      </c>
      <c r="V786" s="1"/>
      <c r="W786" s="17" t="s">
        <v>37</v>
      </c>
      <c r="X786" s="17"/>
      <c r="Y786" s="6"/>
      <c r="Z786" s="1"/>
    </row>
    <row r="787" spans="1:26">
      <c r="A787" s="3" t="s">
        <v>4416</v>
      </c>
      <c r="B787" s="3" t="s">
        <v>22</v>
      </c>
      <c r="C787" s="3" t="s">
        <v>23</v>
      </c>
      <c r="D787" s="3" t="s">
        <v>41</v>
      </c>
      <c r="E787" s="3" t="s">
        <v>992</v>
      </c>
      <c r="F787" s="3" t="s">
        <v>42</v>
      </c>
      <c r="G787" s="2">
        <v>74.58</v>
      </c>
      <c r="H787" s="2">
        <v>7</v>
      </c>
      <c r="I787" s="2">
        <v>26.103000000000002</v>
      </c>
      <c r="J787" s="2">
        <v>548.16300000000001</v>
      </c>
      <c r="K787" s="5">
        <v>43500</v>
      </c>
      <c r="L787" s="4">
        <v>0.67291666666666672</v>
      </c>
      <c r="M787" s="3" t="s">
        <v>59</v>
      </c>
      <c r="N787" s="2">
        <v>522.05999999999995</v>
      </c>
      <c r="O787" s="2">
        <v>4.7619047620000003</v>
      </c>
      <c r="P787" s="2">
        <v>26.103000000000002</v>
      </c>
      <c r="Q787" s="2">
        <v>9</v>
      </c>
      <c r="R787" s="3" t="str">
        <f t="shared" si="26"/>
        <v>February</v>
      </c>
      <c r="S787" s="3">
        <f t="shared" si="25"/>
        <v>2</v>
      </c>
      <c r="T787" s="3" t="str">
        <f>IF(tbl_sales[[#This Row],[Sales]]&gt;=500,"High Value","Standard")</f>
        <v>High Value</v>
      </c>
      <c r="U787" s="1" t="str">
        <f>IF(tbl_sales[[#This Row],[Order Size]]="High Value","High Value Order","Standard Order")</f>
        <v>High Value Order</v>
      </c>
      <c r="V787" s="1"/>
      <c r="W787" s="17" t="s">
        <v>37</v>
      </c>
      <c r="X787" s="17"/>
      <c r="Y787" s="6"/>
      <c r="Z787" s="1"/>
    </row>
    <row r="788" spans="1:26">
      <c r="A788" s="3" t="s">
        <v>4422</v>
      </c>
      <c r="B788" s="3" t="s">
        <v>39</v>
      </c>
      <c r="C788" s="3" t="s">
        <v>40</v>
      </c>
      <c r="D788" s="3" t="s">
        <v>41</v>
      </c>
      <c r="E788" s="3" t="s">
        <v>992</v>
      </c>
      <c r="F788" s="3" t="s">
        <v>42</v>
      </c>
      <c r="G788" s="2">
        <v>71.89</v>
      </c>
      <c r="H788" s="2">
        <v>8</v>
      </c>
      <c r="I788" s="2">
        <v>28.756</v>
      </c>
      <c r="J788" s="2">
        <v>603.87599999999998</v>
      </c>
      <c r="K788" s="5">
        <v>43515</v>
      </c>
      <c r="L788" s="4">
        <v>0.48125000000000001</v>
      </c>
      <c r="M788" s="3" t="s">
        <v>33</v>
      </c>
      <c r="N788" s="2">
        <v>575.12</v>
      </c>
      <c r="O788" s="2">
        <v>4.7619047620000003</v>
      </c>
      <c r="P788" s="2">
        <v>28.756</v>
      </c>
      <c r="Q788" s="2">
        <v>5.5</v>
      </c>
      <c r="R788" s="3" t="str">
        <f t="shared" si="26"/>
        <v>February</v>
      </c>
      <c r="S788" s="3">
        <f t="shared" si="25"/>
        <v>2</v>
      </c>
      <c r="T788" s="3" t="str">
        <f>IF(tbl_sales[[#This Row],[Sales]]&gt;=500,"High Value","Standard")</f>
        <v>High Value</v>
      </c>
      <c r="U788" s="1" t="str">
        <f>IF(tbl_sales[[#This Row],[Order Size]]="High Value","High Value Order","Standard Order")</f>
        <v>High Value Order</v>
      </c>
      <c r="V788" s="1"/>
      <c r="W788" s="17" t="s">
        <v>37</v>
      </c>
      <c r="X788" s="17"/>
      <c r="Y788" s="6"/>
      <c r="Z788" s="1"/>
    </row>
    <row r="789" spans="1:26">
      <c r="A789" s="3" t="s">
        <v>4428</v>
      </c>
      <c r="B789" s="3" t="s">
        <v>39</v>
      </c>
      <c r="C789" s="3" t="s">
        <v>40</v>
      </c>
      <c r="D789" s="3" t="s">
        <v>41</v>
      </c>
      <c r="E789" s="3" t="s">
        <v>25</v>
      </c>
      <c r="F789" s="3" t="s">
        <v>26</v>
      </c>
      <c r="G789" s="2">
        <v>10.99</v>
      </c>
      <c r="H789" s="2">
        <v>5</v>
      </c>
      <c r="I789" s="2">
        <v>2.7475000000000001</v>
      </c>
      <c r="J789" s="2">
        <v>57.697499999999998</v>
      </c>
      <c r="K789" s="5">
        <v>43488</v>
      </c>
      <c r="L789" s="4">
        <v>0.42916666666666664</v>
      </c>
      <c r="M789" s="3" t="s">
        <v>59</v>
      </c>
      <c r="N789" s="2">
        <v>54.95</v>
      </c>
      <c r="O789" s="2">
        <v>4.7619047620000003</v>
      </c>
      <c r="P789" s="2">
        <v>2.7475000000000001</v>
      </c>
      <c r="Q789" s="2">
        <v>9.3000000000000007</v>
      </c>
      <c r="R789" s="3" t="str">
        <f t="shared" si="26"/>
        <v>January</v>
      </c>
      <c r="S789" s="3">
        <f t="shared" si="25"/>
        <v>1</v>
      </c>
      <c r="T789" s="3" t="str">
        <f>IF(tbl_sales[[#This Row],[Sales]]&gt;=500,"High Value","Standard")</f>
        <v>Standard</v>
      </c>
      <c r="U789" s="1" t="str">
        <f>IF(tbl_sales[[#This Row],[Order Size]]="High Value","High Value Order","Standard Order")</f>
        <v>Standard Order</v>
      </c>
      <c r="V789" s="1"/>
      <c r="W789" s="17" t="s">
        <v>37</v>
      </c>
      <c r="X789" s="17"/>
      <c r="Y789" s="6"/>
      <c r="Z789" s="1"/>
    </row>
    <row r="790" spans="1:26">
      <c r="A790" s="3" t="s">
        <v>4433</v>
      </c>
      <c r="B790" s="3" t="s">
        <v>39</v>
      </c>
      <c r="C790" s="3" t="s">
        <v>40</v>
      </c>
      <c r="D790" s="3" t="s">
        <v>24</v>
      </c>
      <c r="E790" s="3" t="s">
        <v>992</v>
      </c>
      <c r="F790" s="3" t="s">
        <v>26</v>
      </c>
      <c r="G790" s="2">
        <v>60.47</v>
      </c>
      <c r="H790" s="2">
        <v>3</v>
      </c>
      <c r="I790" s="2">
        <v>9.0704999999999991</v>
      </c>
      <c r="J790" s="2">
        <v>190.48050000000001</v>
      </c>
      <c r="K790" s="5">
        <v>43479</v>
      </c>
      <c r="L790" s="4">
        <v>0.4548611111111111</v>
      </c>
      <c r="M790" s="3" t="s">
        <v>59</v>
      </c>
      <c r="N790" s="2">
        <v>181.41</v>
      </c>
      <c r="O790" s="2">
        <v>4.7619047620000003</v>
      </c>
      <c r="P790" s="2">
        <v>9.0704999999999991</v>
      </c>
      <c r="Q790" s="2">
        <v>5.6</v>
      </c>
      <c r="R790" s="3" t="str">
        <f t="shared" si="26"/>
        <v>January</v>
      </c>
      <c r="S790" s="3">
        <f t="shared" si="25"/>
        <v>1</v>
      </c>
      <c r="T790" s="3" t="str">
        <f>IF(tbl_sales[[#This Row],[Sales]]&gt;=500,"High Value","Standard")</f>
        <v>Standard</v>
      </c>
      <c r="U790" s="1" t="str">
        <f>IF(tbl_sales[[#This Row],[Order Size]]="High Value","High Value Order","Standard Order")</f>
        <v>Standard Order</v>
      </c>
      <c r="V790" s="1"/>
      <c r="W790" s="17" t="s">
        <v>37</v>
      </c>
      <c r="X790" s="17"/>
      <c r="Y790" s="6"/>
      <c r="Z790" s="1"/>
    </row>
    <row r="791" spans="1:26">
      <c r="A791" s="3" t="s">
        <v>4438</v>
      </c>
      <c r="B791" s="3" t="s">
        <v>22</v>
      </c>
      <c r="C791" s="3" t="s">
        <v>23</v>
      </c>
      <c r="D791" s="3" t="s">
        <v>41</v>
      </c>
      <c r="E791" s="3" t="s">
        <v>992</v>
      </c>
      <c r="F791" s="3" t="s">
        <v>72</v>
      </c>
      <c r="G791" s="2">
        <v>58.91</v>
      </c>
      <c r="H791" s="2">
        <v>7</v>
      </c>
      <c r="I791" s="2">
        <v>20.618500000000001</v>
      </c>
      <c r="J791" s="2">
        <v>432.98849999999999</v>
      </c>
      <c r="K791" s="5">
        <v>43482</v>
      </c>
      <c r="L791" s="4">
        <v>0.63541666666666663</v>
      </c>
      <c r="M791" s="3" t="s">
        <v>33</v>
      </c>
      <c r="N791" s="2">
        <v>412.37</v>
      </c>
      <c r="O791" s="2">
        <v>4.7619047620000003</v>
      </c>
      <c r="P791" s="2">
        <v>20.618500000000001</v>
      </c>
      <c r="Q791" s="2">
        <v>9.6999999999999993</v>
      </c>
      <c r="R791" s="3" t="str">
        <f t="shared" si="26"/>
        <v>January</v>
      </c>
      <c r="S791" s="3">
        <f t="shared" si="25"/>
        <v>1</v>
      </c>
      <c r="T791" s="3" t="str">
        <f>IF(tbl_sales[[#This Row],[Sales]]&gt;=500,"High Value","Standard")</f>
        <v>Standard</v>
      </c>
      <c r="U791" s="1" t="str">
        <f>IF(tbl_sales[[#This Row],[Order Size]]="High Value","High Value Order","Standard Order")</f>
        <v>Standard Order</v>
      </c>
      <c r="V791" s="1"/>
      <c r="W791" s="17" t="s">
        <v>37</v>
      </c>
      <c r="X791" s="17"/>
      <c r="Y791" s="6"/>
      <c r="Z791" s="1"/>
    </row>
    <row r="792" spans="1:26">
      <c r="A792" s="3" t="s">
        <v>4444</v>
      </c>
      <c r="B792" s="3" t="s">
        <v>22</v>
      </c>
      <c r="C792" s="3" t="s">
        <v>23</v>
      </c>
      <c r="D792" s="3" t="s">
        <v>41</v>
      </c>
      <c r="E792" s="3" t="s">
        <v>992</v>
      </c>
      <c r="F792" s="3" t="s">
        <v>127</v>
      </c>
      <c r="G792" s="2">
        <v>46.41</v>
      </c>
      <c r="H792" s="2">
        <v>1</v>
      </c>
      <c r="I792" s="2">
        <v>2.3205</v>
      </c>
      <c r="J792" s="2">
        <v>48.730499999999999</v>
      </c>
      <c r="K792" s="5">
        <v>43527</v>
      </c>
      <c r="L792" s="4">
        <v>0.83750000000000002</v>
      </c>
      <c r="M792" s="3" t="s">
        <v>59</v>
      </c>
      <c r="N792" s="2">
        <v>46.41</v>
      </c>
      <c r="O792" s="2">
        <v>4.7619047620000003</v>
      </c>
      <c r="P792" s="2">
        <v>2.3205</v>
      </c>
      <c r="Q792" s="2">
        <v>4</v>
      </c>
      <c r="R792" s="3" t="str">
        <f t="shared" si="26"/>
        <v>March</v>
      </c>
      <c r="S792" s="3">
        <f t="shared" si="25"/>
        <v>3</v>
      </c>
      <c r="T792" s="3" t="str">
        <f>IF(tbl_sales[[#This Row],[Sales]]&gt;=500,"High Value","Standard")</f>
        <v>Standard</v>
      </c>
      <c r="U792" s="1" t="str">
        <f>IF(tbl_sales[[#This Row],[Order Size]]="High Value","High Value Order","Standard Order")</f>
        <v>Standard Order</v>
      </c>
      <c r="V792" s="1"/>
      <c r="W792" s="17" t="s">
        <v>37</v>
      </c>
      <c r="X792" s="17"/>
      <c r="Y792" s="6"/>
      <c r="Z792" s="1"/>
    </row>
    <row r="793" spans="1:26">
      <c r="A793" s="3" t="s">
        <v>4449</v>
      </c>
      <c r="B793" s="3" t="s">
        <v>39</v>
      </c>
      <c r="C793" s="3" t="s">
        <v>40</v>
      </c>
      <c r="D793" s="3" t="s">
        <v>24</v>
      </c>
      <c r="E793" s="3" t="s">
        <v>992</v>
      </c>
      <c r="F793" s="3" t="s">
        <v>26</v>
      </c>
      <c r="G793" s="2">
        <v>68.55</v>
      </c>
      <c r="H793" s="2">
        <v>4</v>
      </c>
      <c r="I793" s="2">
        <v>13.71</v>
      </c>
      <c r="J793" s="2">
        <v>287.91000000000003</v>
      </c>
      <c r="K793" s="5">
        <v>43511</v>
      </c>
      <c r="L793" s="4">
        <v>0.84791666666666665</v>
      </c>
      <c r="M793" s="3" t="s">
        <v>59</v>
      </c>
      <c r="N793" s="2">
        <v>274.2</v>
      </c>
      <c r="O793" s="2">
        <v>4.7619047620000003</v>
      </c>
      <c r="P793" s="2">
        <v>13.71</v>
      </c>
      <c r="Q793" s="2">
        <v>9.1999999999999993</v>
      </c>
      <c r="R793" s="3" t="str">
        <f t="shared" si="26"/>
        <v>February</v>
      </c>
      <c r="S793" s="3">
        <f t="shared" si="25"/>
        <v>2</v>
      </c>
      <c r="T793" s="3" t="str">
        <f>IF(tbl_sales[[#This Row],[Sales]]&gt;=500,"High Value","Standard")</f>
        <v>Standard</v>
      </c>
      <c r="U793" s="1" t="str">
        <f>IF(tbl_sales[[#This Row],[Order Size]]="High Value","High Value Order","Standard Order")</f>
        <v>Standard Order</v>
      </c>
      <c r="V793" s="1"/>
      <c r="W793" s="17" t="s">
        <v>37</v>
      </c>
      <c r="X793" s="17"/>
      <c r="Y793" s="6"/>
      <c r="Z793" s="1"/>
    </row>
    <row r="794" spans="1:26">
      <c r="A794" s="3" t="s">
        <v>4454</v>
      </c>
      <c r="B794" s="3" t="s">
        <v>115</v>
      </c>
      <c r="C794" s="3" t="s">
        <v>116</v>
      </c>
      <c r="D794" s="3" t="s">
        <v>41</v>
      </c>
      <c r="E794" s="3" t="s">
        <v>25</v>
      </c>
      <c r="F794" s="3" t="s">
        <v>53</v>
      </c>
      <c r="G794" s="2">
        <v>97.37</v>
      </c>
      <c r="H794" s="2">
        <v>10</v>
      </c>
      <c r="I794" s="2">
        <v>48.685000000000002</v>
      </c>
      <c r="J794" s="2">
        <v>1022.385</v>
      </c>
      <c r="K794" s="5">
        <v>43480</v>
      </c>
      <c r="L794" s="4">
        <v>0.57499999999999996</v>
      </c>
      <c r="M794" s="3" t="s">
        <v>59</v>
      </c>
      <c r="N794" s="2">
        <v>973.7</v>
      </c>
      <c r="O794" s="2">
        <v>4.7619047620000003</v>
      </c>
      <c r="P794" s="2">
        <v>48.685000000000002</v>
      </c>
      <c r="Q794" s="2">
        <v>4.9000000000000004</v>
      </c>
      <c r="R794" s="3" t="str">
        <f t="shared" si="26"/>
        <v>January</v>
      </c>
      <c r="S794" s="3">
        <f t="shared" si="25"/>
        <v>1</v>
      </c>
      <c r="T794" s="3" t="str">
        <f>IF(tbl_sales[[#This Row],[Sales]]&gt;=500,"High Value","Standard")</f>
        <v>High Value</v>
      </c>
      <c r="U794" s="1" t="str">
        <f>IF(tbl_sales[[#This Row],[Order Size]]="High Value","High Value Order","Standard Order")</f>
        <v>High Value Order</v>
      </c>
      <c r="V794" s="1"/>
      <c r="W794" s="17" t="s">
        <v>37</v>
      </c>
      <c r="X794" s="17"/>
      <c r="Y794" s="6"/>
      <c r="Z794" s="1"/>
    </row>
    <row r="795" spans="1:26">
      <c r="A795" s="3" t="s">
        <v>4459</v>
      </c>
      <c r="B795" s="3" t="s">
        <v>22</v>
      </c>
      <c r="C795" s="3" t="s">
        <v>23</v>
      </c>
      <c r="D795" s="3" t="s">
        <v>24</v>
      </c>
      <c r="E795" s="3" t="s">
        <v>992</v>
      </c>
      <c r="F795" s="3" t="s">
        <v>42</v>
      </c>
      <c r="G795" s="2">
        <v>92.6</v>
      </c>
      <c r="H795" s="2">
        <v>7</v>
      </c>
      <c r="I795" s="2">
        <v>32.409999999999997</v>
      </c>
      <c r="J795" s="2">
        <v>680.61</v>
      </c>
      <c r="K795" s="5">
        <v>43523</v>
      </c>
      <c r="L795" s="4">
        <v>0.53611111111111109</v>
      </c>
      <c r="M795" s="3" t="s">
        <v>59</v>
      </c>
      <c r="N795" s="2">
        <v>648.20000000000005</v>
      </c>
      <c r="O795" s="2">
        <v>4.7619047620000003</v>
      </c>
      <c r="P795" s="2">
        <v>32.409999999999997</v>
      </c>
      <c r="Q795" s="2">
        <v>9.3000000000000007</v>
      </c>
      <c r="R795" s="3" t="str">
        <f t="shared" si="26"/>
        <v>February</v>
      </c>
      <c r="S795" s="3">
        <f t="shared" si="25"/>
        <v>2</v>
      </c>
      <c r="T795" s="3" t="str">
        <f>IF(tbl_sales[[#This Row],[Sales]]&gt;=500,"High Value","Standard")</f>
        <v>High Value</v>
      </c>
      <c r="U795" s="1" t="str">
        <f>IF(tbl_sales[[#This Row],[Order Size]]="High Value","High Value Order","Standard Order")</f>
        <v>High Value Order</v>
      </c>
      <c r="V795" s="1"/>
      <c r="W795" s="17" t="s">
        <v>37</v>
      </c>
      <c r="X795" s="17"/>
      <c r="Y795" s="6"/>
      <c r="Z795" s="1"/>
    </row>
    <row r="796" spans="1:26">
      <c r="A796" s="3" t="s">
        <v>4464</v>
      </c>
      <c r="B796" s="3" t="s">
        <v>22</v>
      </c>
      <c r="C796" s="3" t="s">
        <v>23</v>
      </c>
      <c r="D796" s="3" t="s">
        <v>41</v>
      </c>
      <c r="E796" s="3" t="s">
        <v>25</v>
      </c>
      <c r="F796" s="3" t="s">
        <v>42</v>
      </c>
      <c r="G796" s="2">
        <v>46.61</v>
      </c>
      <c r="H796" s="2">
        <v>2</v>
      </c>
      <c r="I796" s="2">
        <v>4.6609999999999996</v>
      </c>
      <c r="J796" s="2">
        <v>97.881</v>
      </c>
      <c r="K796" s="5">
        <v>43522</v>
      </c>
      <c r="L796" s="4">
        <v>0.51944444444444449</v>
      </c>
      <c r="M796" s="3" t="s">
        <v>59</v>
      </c>
      <c r="N796" s="2">
        <v>93.22</v>
      </c>
      <c r="O796" s="2">
        <v>4.7619047620000003</v>
      </c>
      <c r="P796" s="2">
        <v>4.6609999999999996</v>
      </c>
      <c r="Q796" s="2">
        <v>6.6</v>
      </c>
      <c r="R796" s="3" t="str">
        <f t="shared" si="26"/>
        <v>February</v>
      </c>
      <c r="S796" s="3">
        <f t="shared" si="25"/>
        <v>2</v>
      </c>
      <c r="T796" s="3" t="str">
        <f>IF(tbl_sales[[#This Row],[Sales]]&gt;=500,"High Value","Standard")</f>
        <v>Standard</v>
      </c>
      <c r="U796" s="1" t="str">
        <f>IF(tbl_sales[[#This Row],[Order Size]]="High Value","High Value Order","Standard Order")</f>
        <v>Standard Order</v>
      </c>
      <c r="V796" s="1"/>
      <c r="W796" s="17" t="s">
        <v>37</v>
      </c>
      <c r="X796" s="17"/>
      <c r="Y796" s="6"/>
      <c r="Z796" s="1"/>
    </row>
    <row r="797" spans="1:26">
      <c r="A797" s="3" t="s">
        <v>4468</v>
      </c>
      <c r="B797" s="3" t="s">
        <v>115</v>
      </c>
      <c r="C797" s="3" t="s">
        <v>116</v>
      </c>
      <c r="D797" s="3" t="s">
        <v>41</v>
      </c>
      <c r="E797" s="3" t="s">
        <v>992</v>
      </c>
      <c r="F797" s="3" t="s">
        <v>127</v>
      </c>
      <c r="G797" s="2">
        <v>27.18</v>
      </c>
      <c r="H797" s="2">
        <v>2</v>
      </c>
      <c r="I797" s="2">
        <v>2.718</v>
      </c>
      <c r="J797" s="2">
        <v>57.078000000000003</v>
      </c>
      <c r="K797" s="5">
        <v>43539</v>
      </c>
      <c r="L797" s="4">
        <v>0.68472222222222223</v>
      </c>
      <c r="M797" s="3" t="s">
        <v>33</v>
      </c>
      <c r="N797" s="2">
        <v>54.36</v>
      </c>
      <c r="O797" s="2">
        <v>4.7619047620000003</v>
      </c>
      <c r="P797" s="2">
        <v>2.718</v>
      </c>
      <c r="Q797" s="2">
        <v>4.3</v>
      </c>
      <c r="R797" s="3" t="str">
        <f t="shared" si="26"/>
        <v>March</v>
      </c>
      <c r="S797" s="3">
        <f t="shared" si="25"/>
        <v>3</v>
      </c>
      <c r="T797" s="3" t="str">
        <f>IF(tbl_sales[[#This Row],[Sales]]&gt;=500,"High Value","Standard")</f>
        <v>Standard</v>
      </c>
      <c r="U797" s="1" t="str">
        <f>IF(tbl_sales[[#This Row],[Order Size]]="High Value","High Value Order","Standard Order")</f>
        <v>Standard Order</v>
      </c>
      <c r="V797" s="1"/>
      <c r="W797" s="17" t="s">
        <v>37</v>
      </c>
      <c r="X797" s="17"/>
      <c r="Y797" s="6"/>
      <c r="Z797" s="1"/>
    </row>
    <row r="798" spans="1:26">
      <c r="A798" s="3" t="s">
        <v>4472</v>
      </c>
      <c r="B798" s="3" t="s">
        <v>39</v>
      </c>
      <c r="C798" s="3" t="s">
        <v>40</v>
      </c>
      <c r="D798" s="3" t="s">
        <v>24</v>
      </c>
      <c r="E798" s="3" t="s">
        <v>25</v>
      </c>
      <c r="F798" s="3" t="s">
        <v>53</v>
      </c>
      <c r="G798" s="2">
        <v>60.87</v>
      </c>
      <c r="H798" s="2">
        <v>1</v>
      </c>
      <c r="I798" s="2">
        <v>3.0434999999999999</v>
      </c>
      <c r="J798" s="2">
        <v>63.913499999999999</v>
      </c>
      <c r="K798" s="5">
        <v>43489</v>
      </c>
      <c r="L798" s="4">
        <v>0.55833333333333335</v>
      </c>
      <c r="M798" s="3" t="s">
        <v>49</v>
      </c>
      <c r="N798" s="2">
        <v>60.87</v>
      </c>
      <c r="O798" s="2">
        <v>4.7619047620000003</v>
      </c>
      <c r="P798" s="2">
        <v>3.0434999999999999</v>
      </c>
      <c r="Q798" s="2">
        <v>5.5</v>
      </c>
      <c r="R798" s="3" t="str">
        <f t="shared" si="26"/>
        <v>January</v>
      </c>
      <c r="S798" s="3">
        <f t="shared" si="25"/>
        <v>1</v>
      </c>
      <c r="T798" s="3" t="str">
        <f>IF(tbl_sales[[#This Row],[Sales]]&gt;=500,"High Value","Standard")</f>
        <v>Standard</v>
      </c>
      <c r="U798" s="1" t="str">
        <f>IF(tbl_sales[[#This Row],[Order Size]]="High Value","High Value Order","Standard Order")</f>
        <v>Standard Order</v>
      </c>
      <c r="V798" s="1"/>
      <c r="W798" s="17" t="s">
        <v>37</v>
      </c>
      <c r="X798" s="17"/>
      <c r="Y798" s="6"/>
      <c r="Z798" s="1"/>
    </row>
    <row r="799" spans="1:26">
      <c r="A799" s="3" t="s">
        <v>4475</v>
      </c>
      <c r="B799" s="3" t="s">
        <v>22</v>
      </c>
      <c r="C799" s="3" t="s">
        <v>23</v>
      </c>
      <c r="D799" s="3" t="s">
        <v>24</v>
      </c>
      <c r="E799" s="3" t="s">
        <v>25</v>
      </c>
      <c r="F799" s="3" t="s">
        <v>72</v>
      </c>
      <c r="G799" s="2">
        <v>24.49</v>
      </c>
      <c r="H799" s="2">
        <v>10</v>
      </c>
      <c r="I799" s="2">
        <v>12.244999999999999</v>
      </c>
      <c r="J799" s="2">
        <v>257.14499999999998</v>
      </c>
      <c r="K799" s="5">
        <v>43518</v>
      </c>
      <c r="L799" s="4">
        <v>0.63541666666666663</v>
      </c>
      <c r="M799" s="3" t="s">
        <v>49</v>
      </c>
      <c r="N799" s="2">
        <v>244.9</v>
      </c>
      <c r="O799" s="2">
        <v>4.7619047620000003</v>
      </c>
      <c r="P799" s="2">
        <v>12.244999999999999</v>
      </c>
      <c r="Q799" s="2">
        <v>8.1</v>
      </c>
      <c r="R799" s="3" t="str">
        <f t="shared" si="26"/>
        <v>February</v>
      </c>
      <c r="S799" s="3">
        <f t="shared" si="25"/>
        <v>2</v>
      </c>
      <c r="T799" s="3" t="str">
        <f>IF(tbl_sales[[#This Row],[Sales]]&gt;=500,"High Value","Standard")</f>
        <v>Standard</v>
      </c>
      <c r="U799" s="1" t="str">
        <f>IF(tbl_sales[[#This Row],[Order Size]]="High Value","High Value Order","Standard Order")</f>
        <v>Standard Order</v>
      </c>
      <c r="V799" s="1"/>
      <c r="W799" s="17" t="s">
        <v>37</v>
      </c>
      <c r="X799" s="17"/>
      <c r="Y799" s="6"/>
      <c r="Z799" s="1"/>
    </row>
    <row r="800" spans="1:26">
      <c r="A800" s="3" t="s">
        <v>4480</v>
      </c>
      <c r="B800" s="3" t="s">
        <v>115</v>
      </c>
      <c r="C800" s="3" t="s">
        <v>116</v>
      </c>
      <c r="D800" s="3" t="s">
        <v>41</v>
      </c>
      <c r="E800" s="3" t="s">
        <v>992</v>
      </c>
      <c r="F800" s="3" t="s">
        <v>26</v>
      </c>
      <c r="G800" s="2">
        <v>92.78</v>
      </c>
      <c r="H800" s="2">
        <v>1</v>
      </c>
      <c r="I800" s="2">
        <v>4.6390000000000002</v>
      </c>
      <c r="J800" s="2">
        <v>97.418999999999997</v>
      </c>
      <c r="K800" s="5">
        <v>43539</v>
      </c>
      <c r="L800" s="4">
        <v>0.4513888888888889</v>
      </c>
      <c r="M800" s="3" t="s">
        <v>59</v>
      </c>
      <c r="N800" s="2">
        <v>92.78</v>
      </c>
      <c r="O800" s="2">
        <v>4.7619047620000003</v>
      </c>
      <c r="P800" s="2">
        <v>4.6390000000000002</v>
      </c>
      <c r="Q800" s="2">
        <v>9.8000000000000007</v>
      </c>
      <c r="R800" s="3" t="str">
        <f t="shared" si="26"/>
        <v>March</v>
      </c>
      <c r="S800" s="3">
        <f t="shared" si="25"/>
        <v>3</v>
      </c>
      <c r="T800" s="3" t="str">
        <f>IF(tbl_sales[[#This Row],[Sales]]&gt;=500,"High Value","Standard")</f>
        <v>Standard</v>
      </c>
      <c r="U800" s="1" t="str">
        <f>IF(tbl_sales[[#This Row],[Order Size]]="High Value","High Value Order","Standard Order")</f>
        <v>Standard Order</v>
      </c>
      <c r="V800" s="1"/>
      <c r="W800" s="17" t="s">
        <v>37</v>
      </c>
      <c r="X800" s="17"/>
      <c r="Y800" s="6"/>
      <c r="Z800" s="1"/>
    </row>
    <row r="801" spans="1:26">
      <c r="A801" s="3" t="s">
        <v>4484</v>
      </c>
      <c r="B801" s="3" t="s">
        <v>39</v>
      </c>
      <c r="C801" s="3" t="s">
        <v>40</v>
      </c>
      <c r="D801" s="3" t="s">
        <v>24</v>
      </c>
      <c r="E801" s="3" t="s">
        <v>992</v>
      </c>
      <c r="F801" s="3" t="s">
        <v>53</v>
      </c>
      <c r="G801" s="2">
        <v>86.69</v>
      </c>
      <c r="H801" s="2">
        <v>5</v>
      </c>
      <c r="I801" s="2">
        <v>21.672499999999999</v>
      </c>
      <c r="J801" s="2">
        <v>455.1225</v>
      </c>
      <c r="K801" s="5">
        <v>43507</v>
      </c>
      <c r="L801" s="4">
        <v>0.77638888888888891</v>
      </c>
      <c r="M801" s="3" t="s">
        <v>33</v>
      </c>
      <c r="N801" s="2">
        <v>433.45</v>
      </c>
      <c r="O801" s="2">
        <v>4.7619047620000003</v>
      </c>
      <c r="P801" s="2">
        <v>21.672499999999999</v>
      </c>
      <c r="Q801" s="2">
        <v>9.4</v>
      </c>
      <c r="R801" s="3" t="str">
        <f t="shared" si="26"/>
        <v>February</v>
      </c>
      <c r="S801" s="3">
        <f t="shared" si="25"/>
        <v>2</v>
      </c>
      <c r="T801" s="3" t="str">
        <f>IF(tbl_sales[[#This Row],[Sales]]&gt;=500,"High Value","Standard")</f>
        <v>Standard</v>
      </c>
      <c r="U801" s="1" t="str">
        <f>IF(tbl_sales[[#This Row],[Order Size]]="High Value","High Value Order","Standard Order")</f>
        <v>Standard Order</v>
      </c>
      <c r="V801" s="1"/>
      <c r="W801" s="17" t="s">
        <v>37</v>
      </c>
      <c r="X801" s="17"/>
      <c r="Y801" s="6"/>
      <c r="Z801" s="1"/>
    </row>
    <row r="802" spans="1:26">
      <c r="A802" s="3" t="s">
        <v>4490</v>
      </c>
      <c r="B802" s="3" t="s">
        <v>115</v>
      </c>
      <c r="C802" s="3" t="s">
        <v>116</v>
      </c>
      <c r="D802" s="3" t="s">
        <v>41</v>
      </c>
      <c r="E802" s="3" t="s">
        <v>992</v>
      </c>
      <c r="F802" s="3" t="s">
        <v>72</v>
      </c>
      <c r="G802" s="2">
        <v>23.01</v>
      </c>
      <c r="H802" s="2">
        <v>6</v>
      </c>
      <c r="I802" s="2">
        <v>6.9029999999999996</v>
      </c>
      <c r="J802" s="2">
        <v>144.96299999999999</v>
      </c>
      <c r="K802" s="5">
        <v>43477</v>
      </c>
      <c r="L802" s="4">
        <v>0.69791666666666663</v>
      </c>
      <c r="M802" s="3" t="s">
        <v>33</v>
      </c>
      <c r="N802" s="2">
        <v>138.06</v>
      </c>
      <c r="O802" s="2">
        <v>4.7619047620000003</v>
      </c>
      <c r="P802" s="2">
        <v>6.9029999999999996</v>
      </c>
      <c r="Q802" s="2">
        <v>7.9</v>
      </c>
      <c r="R802" s="3" t="str">
        <f t="shared" si="26"/>
        <v>January</v>
      </c>
      <c r="S802" s="3">
        <f t="shared" si="25"/>
        <v>1</v>
      </c>
      <c r="T802" s="3" t="str">
        <f>IF(tbl_sales[[#This Row],[Sales]]&gt;=500,"High Value","Standard")</f>
        <v>Standard</v>
      </c>
      <c r="U802" s="1" t="str">
        <f>IF(tbl_sales[[#This Row],[Order Size]]="High Value","High Value Order","Standard Order")</f>
        <v>Standard Order</v>
      </c>
      <c r="V802" s="1"/>
      <c r="W802" s="17" t="s">
        <v>37</v>
      </c>
      <c r="X802" s="17"/>
      <c r="Y802" s="6"/>
      <c r="Z802" s="1"/>
    </row>
    <row r="803" spans="1:26">
      <c r="A803" s="3" t="s">
        <v>4496</v>
      </c>
      <c r="B803" s="3" t="s">
        <v>39</v>
      </c>
      <c r="C803" s="3" t="s">
        <v>40</v>
      </c>
      <c r="D803" s="3" t="s">
        <v>24</v>
      </c>
      <c r="E803" s="3" t="s">
        <v>25</v>
      </c>
      <c r="F803" s="3" t="s">
        <v>42</v>
      </c>
      <c r="G803" s="2">
        <v>30.2</v>
      </c>
      <c r="H803" s="2">
        <v>8</v>
      </c>
      <c r="I803" s="2">
        <v>12.08</v>
      </c>
      <c r="J803" s="2">
        <v>253.68</v>
      </c>
      <c r="K803" s="5">
        <v>43527</v>
      </c>
      <c r="L803" s="4">
        <v>0.8125</v>
      </c>
      <c r="M803" s="3" t="s">
        <v>33</v>
      </c>
      <c r="N803" s="2">
        <v>241.6</v>
      </c>
      <c r="O803" s="2">
        <v>4.7619047620000003</v>
      </c>
      <c r="P803" s="2">
        <v>12.08</v>
      </c>
      <c r="Q803" s="2">
        <v>5.0999999999999996</v>
      </c>
      <c r="R803" s="3" t="str">
        <f t="shared" si="26"/>
        <v>March</v>
      </c>
      <c r="S803" s="3">
        <f t="shared" si="25"/>
        <v>3</v>
      </c>
      <c r="T803" s="3" t="str">
        <f>IF(tbl_sales[[#This Row],[Sales]]&gt;=500,"High Value","Standard")</f>
        <v>Standard</v>
      </c>
      <c r="U803" s="1" t="str">
        <f>IF(tbl_sales[[#This Row],[Order Size]]="High Value","High Value Order","Standard Order")</f>
        <v>Standard Order</v>
      </c>
      <c r="V803" s="1"/>
      <c r="W803" s="17" t="s">
        <v>37</v>
      </c>
      <c r="X803" s="17"/>
      <c r="Y803" s="6"/>
      <c r="Z803" s="1"/>
    </row>
    <row r="804" spans="1:26">
      <c r="A804" s="3" t="s">
        <v>4501</v>
      </c>
      <c r="B804" s="3" t="s">
        <v>39</v>
      </c>
      <c r="C804" s="3" t="s">
        <v>40</v>
      </c>
      <c r="D804" s="3" t="s">
        <v>24</v>
      </c>
      <c r="E804" s="3" t="s">
        <v>992</v>
      </c>
      <c r="F804" s="3" t="s">
        <v>127</v>
      </c>
      <c r="G804" s="2">
        <v>67.39</v>
      </c>
      <c r="H804" s="2">
        <v>7</v>
      </c>
      <c r="I804" s="2">
        <v>23.586500000000001</v>
      </c>
      <c r="J804" s="2">
        <v>495.31650000000002</v>
      </c>
      <c r="K804" s="5">
        <v>43547</v>
      </c>
      <c r="L804" s="4">
        <v>0.55763888888888891</v>
      </c>
      <c r="M804" s="3" t="s">
        <v>33</v>
      </c>
      <c r="N804" s="2">
        <v>471.73</v>
      </c>
      <c r="O804" s="2">
        <v>4.7619047620000003</v>
      </c>
      <c r="P804" s="2">
        <v>23.586500000000001</v>
      </c>
      <c r="Q804" s="2">
        <v>6.9</v>
      </c>
      <c r="R804" s="3" t="str">
        <f t="shared" si="26"/>
        <v>March</v>
      </c>
      <c r="S804" s="3">
        <f t="shared" si="25"/>
        <v>3</v>
      </c>
      <c r="T804" s="3" t="str">
        <f>IF(tbl_sales[[#This Row],[Sales]]&gt;=500,"High Value","Standard")</f>
        <v>Standard</v>
      </c>
      <c r="U804" s="1" t="str">
        <f>IF(tbl_sales[[#This Row],[Order Size]]="High Value","High Value Order","Standard Order")</f>
        <v>Standard Order</v>
      </c>
      <c r="V804" s="1"/>
      <c r="W804" s="17" t="s">
        <v>37</v>
      </c>
      <c r="X804" s="17"/>
      <c r="Y804" s="6"/>
      <c r="Z804" s="1"/>
    </row>
    <row r="805" spans="1:26">
      <c r="A805" s="3" t="s">
        <v>4506</v>
      </c>
      <c r="B805" s="3" t="s">
        <v>22</v>
      </c>
      <c r="C805" s="3" t="s">
        <v>23</v>
      </c>
      <c r="D805" s="3" t="s">
        <v>24</v>
      </c>
      <c r="E805" s="3" t="s">
        <v>25</v>
      </c>
      <c r="F805" s="3" t="s">
        <v>127</v>
      </c>
      <c r="G805" s="2">
        <v>48.96</v>
      </c>
      <c r="H805" s="2">
        <v>9</v>
      </c>
      <c r="I805" s="2">
        <v>22.032</v>
      </c>
      <c r="J805" s="2">
        <v>462.67200000000003</v>
      </c>
      <c r="K805" s="5">
        <v>43528</v>
      </c>
      <c r="L805" s="4">
        <v>0.47708333333333336</v>
      </c>
      <c r="M805" s="3" t="s">
        <v>49</v>
      </c>
      <c r="N805" s="2">
        <v>440.64</v>
      </c>
      <c r="O805" s="2">
        <v>4.7619047620000003</v>
      </c>
      <c r="P805" s="2">
        <v>22.032</v>
      </c>
      <c r="Q805" s="2">
        <v>8</v>
      </c>
      <c r="R805" s="3" t="str">
        <f t="shared" si="26"/>
        <v>March</v>
      </c>
      <c r="S805" s="3">
        <f t="shared" si="25"/>
        <v>3</v>
      </c>
      <c r="T805" s="3" t="str">
        <f>IF(tbl_sales[[#This Row],[Sales]]&gt;=500,"High Value","Standard")</f>
        <v>Standard</v>
      </c>
      <c r="U805" s="1" t="str">
        <f>IF(tbl_sales[[#This Row],[Order Size]]="High Value","High Value Order","Standard Order")</f>
        <v>Standard Order</v>
      </c>
      <c r="V805" s="1"/>
      <c r="W805" s="17" t="s">
        <v>37</v>
      </c>
      <c r="X805" s="17"/>
      <c r="Y805" s="6"/>
      <c r="Z805" s="1"/>
    </row>
    <row r="806" spans="1:26">
      <c r="A806" s="3" t="s">
        <v>4511</v>
      </c>
      <c r="B806" s="3" t="s">
        <v>115</v>
      </c>
      <c r="C806" s="3" t="s">
        <v>116</v>
      </c>
      <c r="D806" s="3" t="s">
        <v>24</v>
      </c>
      <c r="E806" s="3" t="s">
        <v>25</v>
      </c>
      <c r="F806" s="3" t="s">
        <v>42</v>
      </c>
      <c r="G806" s="2">
        <v>75.59</v>
      </c>
      <c r="H806" s="2">
        <v>9</v>
      </c>
      <c r="I806" s="2">
        <v>34.015500000000003</v>
      </c>
      <c r="J806" s="2">
        <v>714.32550000000003</v>
      </c>
      <c r="K806" s="5">
        <v>43519</v>
      </c>
      <c r="L806" s="4">
        <v>0.46666666666666667</v>
      </c>
      <c r="M806" s="3" t="s">
        <v>49</v>
      </c>
      <c r="N806" s="2">
        <v>680.31</v>
      </c>
      <c r="O806" s="2">
        <v>4.7619047620000003</v>
      </c>
      <c r="P806" s="2">
        <v>34.015500000000003</v>
      </c>
      <c r="Q806" s="2">
        <v>8</v>
      </c>
      <c r="R806" s="3" t="str">
        <f t="shared" si="26"/>
        <v>February</v>
      </c>
      <c r="S806" s="3">
        <f t="shared" si="25"/>
        <v>2</v>
      </c>
      <c r="T806" s="3" t="str">
        <f>IF(tbl_sales[[#This Row],[Sales]]&gt;=500,"High Value","Standard")</f>
        <v>High Value</v>
      </c>
      <c r="U806" s="1" t="str">
        <f>IF(tbl_sales[[#This Row],[Order Size]]="High Value","High Value Order","Standard Order")</f>
        <v>High Value Order</v>
      </c>
      <c r="V806" s="1"/>
      <c r="W806" s="17" t="s">
        <v>37</v>
      </c>
      <c r="X806" s="17"/>
      <c r="Y806" s="6"/>
      <c r="Z806" s="1"/>
    </row>
    <row r="807" spans="1:26">
      <c r="A807" s="3" t="s">
        <v>4516</v>
      </c>
      <c r="B807" s="3" t="s">
        <v>22</v>
      </c>
      <c r="C807" s="3" t="s">
        <v>23</v>
      </c>
      <c r="D807" s="3" t="s">
        <v>41</v>
      </c>
      <c r="E807" s="3" t="s">
        <v>25</v>
      </c>
      <c r="F807" s="3" t="s">
        <v>53</v>
      </c>
      <c r="G807" s="2">
        <v>77.47</v>
      </c>
      <c r="H807" s="2">
        <v>4</v>
      </c>
      <c r="I807" s="2">
        <v>15.494</v>
      </c>
      <c r="J807" s="2">
        <v>325.37400000000002</v>
      </c>
      <c r="K807" s="5">
        <v>43541</v>
      </c>
      <c r="L807" s="4">
        <v>0.69166666666666665</v>
      </c>
      <c r="M807" s="3" t="s">
        <v>49</v>
      </c>
      <c r="N807" s="2">
        <v>309.88</v>
      </c>
      <c r="O807" s="2">
        <v>4.7619047620000003</v>
      </c>
      <c r="P807" s="2">
        <v>15.494</v>
      </c>
      <c r="Q807" s="2">
        <v>4.2</v>
      </c>
      <c r="R807" s="3" t="str">
        <f t="shared" si="26"/>
        <v>March</v>
      </c>
      <c r="S807" s="3">
        <f t="shared" si="25"/>
        <v>3</v>
      </c>
      <c r="T807" s="3" t="str">
        <f>IF(tbl_sales[[#This Row],[Sales]]&gt;=500,"High Value","Standard")</f>
        <v>Standard</v>
      </c>
      <c r="U807" s="1" t="str">
        <f>IF(tbl_sales[[#This Row],[Order Size]]="High Value","High Value Order","Standard Order")</f>
        <v>Standard Order</v>
      </c>
      <c r="V807" s="1"/>
      <c r="W807" s="17" t="s">
        <v>37</v>
      </c>
      <c r="X807" s="17"/>
      <c r="Y807" s="6"/>
      <c r="Z807" s="1"/>
    </row>
    <row r="808" spans="1:26">
      <c r="A808" s="3" t="s">
        <v>4521</v>
      </c>
      <c r="B808" s="3" t="s">
        <v>22</v>
      </c>
      <c r="C808" s="3" t="s">
        <v>23</v>
      </c>
      <c r="D808" s="3" t="s">
        <v>41</v>
      </c>
      <c r="E808" s="3" t="s">
        <v>25</v>
      </c>
      <c r="F808" s="3" t="s">
        <v>72</v>
      </c>
      <c r="G808" s="2">
        <v>93.18</v>
      </c>
      <c r="H808" s="2">
        <v>2</v>
      </c>
      <c r="I808" s="2">
        <v>9.3179999999999996</v>
      </c>
      <c r="J808" s="2">
        <v>195.678</v>
      </c>
      <c r="K808" s="5">
        <v>43481</v>
      </c>
      <c r="L808" s="4">
        <v>0.77847222222222223</v>
      </c>
      <c r="M808" s="3" t="s">
        <v>59</v>
      </c>
      <c r="N808" s="2">
        <v>186.36</v>
      </c>
      <c r="O808" s="2">
        <v>4.7619047620000003</v>
      </c>
      <c r="P808" s="2">
        <v>9.3179999999999996</v>
      </c>
      <c r="Q808" s="2">
        <v>8.5</v>
      </c>
      <c r="R808" s="3" t="str">
        <f t="shared" si="26"/>
        <v>January</v>
      </c>
      <c r="S808" s="3">
        <f t="shared" si="25"/>
        <v>1</v>
      </c>
      <c r="T808" s="3" t="str">
        <f>IF(tbl_sales[[#This Row],[Sales]]&gt;=500,"High Value","Standard")</f>
        <v>Standard</v>
      </c>
      <c r="U808" s="1" t="str">
        <f>IF(tbl_sales[[#This Row],[Order Size]]="High Value","High Value Order","Standard Order")</f>
        <v>Standard Order</v>
      </c>
      <c r="V808" s="1"/>
      <c r="W808" s="17" t="s">
        <v>37</v>
      </c>
      <c r="X808" s="17"/>
      <c r="Y808" s="6"/>
      <c r="Z808" s="1"/>
    </row>
    <row r="809" spans="1:26">
      <c r="A809" s="3" t="s">
        <v>4527</v>
      </c>
      <c r="B809" s="3" t="s">
        <v>22</v>
      </c>
      <c r="C809" s="3" t="s">
        <v>23</v>
      </c>
      <c r="D809" s="3" t="s">
        <v>41</v>
      </c>
      <c r="E809" s="3" t="s">
        <v>25</v>
      </c>
      <c r="F809" s="3" t="s">
        <v>42</v>
      </c>
      <c r="G809" s="2">
        <v>50.23</v>
      </c>
      <c r="H809" s="2">
        <v>4</v>
      </c>
      <c r="I809" s="2">
        <v>10.045999999999999</v>
      </c>
      <c r="J809" s="2">
        <v>210.96600000000001</v>
      </c>
      <c r="K809" s="5">
        <v>43473</v>
      </c>
      <c r="L809" s="4">
        <v>0.71666666666666667</v>
      </c>
      <c r="M809" s="3" t="s">
        <v>49</v>
      </c>
      <c r="N809" s="2">
        <v>200.92</v>
      </c>
      <c r="O809" s="2">
        <v>4.7619047620000003</v>
      </c>
      <c r="P809" s="2">
        <v>10.045999999999999</v>
      </c>
      <c r="Q809" s="2">
        <v>9</v>
      </c>
      <c r="R809" s="3" t="str">
        <f t="shared" si="26"/>
        <v>January</v>
      </c>
      <c r="S809" s="3">
        <f t="shared" si="25"/>
        <v>1</v>
      </c>
      <c r="T809" s="3" t="str">
        <f>IF(tbl_sales[[#This Row],[Sales]]&gt;=500,"High Value","Standard")</f>
        <v>Standard</v>
      </c>
      <c r="U809" s="1" t="str">
        <f>IF(tbl_sales[[#This Row],[Order Size]]="High Value","High Value Order","Standard Order")</f>
        <v>Standard Order</v>
      </c>
      <c r="V809" s="1"/>
      <c r="W809" s="17" t="s">
        <v>37</v>
      </c>
      <c r="X809" s="17"/>
      <c r="Y809" s="6"/>
      <c r="Z809" s="1"/>
    </row>
    <row r="810" spans="1:26">
      <c r="A810" s="3" t="s">
        <v>4533</v>
      </c>
      <c r="B810" s="3" t="s">
        <v>115</v>
      </c>
      <c r="C810" s="3" t="s">
        <v>116</v>
      </c>
      <c r="D810" s="3" t="s">
        <v>41</v>
      </c>
      <c r="E810" s="3" t="s">
        <v>25</v>
      </c>
      <c r="F810" s="3" t="s">
        <v>26</v>
      </c>
      <c r="G810" s="2">
        <v>17.75</v>
      </c>
      <c r="H810" s="2">
        <v>1</v>
      </c>
      <c r="I810" s="2">
        <v>0.88749999999999996</v>
      </c>
      <c r="J810" s="2">
        <v>18.637499999999999</v>
      </c>
      <c r="K810" s="5">
        <v>43479</v>
      </c>
      <c r="L810" s="4">
        <v>0.44305555555555554</v>
      </c>
      <c r="M810" s="3" t="s">
        <v>49</v>
      </c>
      <c r="N810" s="2">
        <v>17.75</v>
      </c>
      <c r="O810" s="2">
        <v>4.7619047620000003</v>
      </c>
      <c r="P810" s="2">
        <v>0.88749999999999996</v>
      </c>
      <c r="Q810" s="2">
        <v>8.6</v>
      </c>
      <c r="R810" s="3" t="str">
        <f t="shared" si="26"/>
        <v>January</v>
      </c>
      <c r="S810" s="3">
        <f t="shared" si="25"/>
        <v>1</v>
      </c>
      <c r="T810" s="3" t="str">
        <f>IF(tbl_sales[[#This Row],[Sales]]&gt;=500,"High Value","Standard")</f>
        <v>Standard</v>
      </c>
      <c r="U810" s="1" t="str">
        <f>IF(tbl_sales[[#This Row],[Order Size]]="High Value","High Value Order","Standard Order")</f>
        <v>Standard Order</v>
      </c>
      <c r="V810" s="1"/>
      <c r="W810" s="17" t="s">
        <v>37</v>
      </c>
      <c r="X810" s="17"/>
      <c r="Y810" s="6"/>
      <c r="Z810" s="1"/>
    </row>
    <row r="811" spans="1:26">
      <c r="A811" s="3" t="s">
        <v>4537</v>
      </c>
      <c r="B811" s="3" t="s">
        <v>39</v>
      </c>
      <c r="C811" s="3" t="s">
        <v>40</v>
      </c>
      <c r="D811" s="3" t="s">
        <v>41</v>
      </c>
      <c r="E811" s="3" t="s">
        <v>25</v>
      </c>
      <c r="F811" s="3" t="s">
        <v>127</v>
      </c>
      <c r="G811" s="2">
        <v>62.18</v>
      </c>
      <c r="H811" s="2">
        <v>10</v>
      </c>
      <c r="I811" s="2">
        <v>31.09</v>
      </c>
      <c r="J811" s="2">
        <v>652.89</v>
      </c>
      <c r="K811" s="5">
        <v>43496</v>
      </c>
      <c r="L811" s="4">
        <v>0.43958333333333333</v>
      </c>
      <c r="M811" s="3" t="s">
        <v>33</v>
      </c>
      <c r="N811" s="2">
        <v>621.79999999999995</v>
      </c>
      <c r="O811" s="2">
        <v>4.7619047620000003</v>
      </c>
      <c r="P811" s="2">
        <v>31.09</v>
      </c>
      <c r="Q811" s="2">
        <v>6</v>
      </c>
      <c r="R811" s="3" t="str">
        <f t="shared" si="26"/>
        <v>January</v>
      </c>
      <c r="S811" s="3">
        <f t="shared" si="25"/>
        <v>1</v>
      </c>
      <c r="T811" s="3" t="str">
        <f>IF(tbl_sales[[#This Row],[Sales]]&gt;=500,"High Value","Standard")</f>
        <v>High Value</v>
      </c>
      <c r="U811" s="1" t="str">
        <f>IF(tbl_sales[[#This Row],[Order Size]]="High Value","High Value Order","Standard Order")</f>
        <v>High Value Order</v>
      </c>
      <c r="V811" s="1"/>
      <c r="W811" s="17" t="s">
        <v>37</v>
      </c>
      <c r="X811" s="17"/>
      <c r="Y811" s="6"/>
      <c r="Z811" s="1"/>
    </row>
    <row r="812" spans="1:26">
      <c r="A812" s="3" t="s">
        <v>4542</v>
      </c>
      <c r="B812" s="3" t="s">
        <v>115</v>
      </c>
      <c r="C812" s="3" t="s">
        <v>116</v>
      </c>
      <c r="D812" s="3" t="s">
        <v>41</v>
      </c>
      <c r="E812" s="3" t="s">
        <v>992</v>
      </c>
      <c r="F812" s="3" t="s">
        <v>26</v>
      </c>
      <c r="G812" s="2">
        <v>10.75</v>
      </c>
      <c r="H812" s="2">
        <v>8</v>
      </c>
      <c r="I812" s="2">
        <v>4.3</v>
      </c>
      <c r="J812" s="2">
        <v>90.3</v>
      </c>
      <c r="K812" s="5">
        <v>43539</v>
      </c>
      <c r="L812" s="4">
        <v>0.60972222222222228</v>
      </c>
      <c r="M812" s="3" t="s">
        <v>33</v>
      </c>
      <c r="N812" s="2">
        <v>86</v>
      </c>
      <c r="O812" s="2">
        <v>4.7619047620000003</v>
      </c>
      <c r="P812" s="2">
        <v>4.3</v>
      </c>
      <c r="Q812" s="2">
        <v>6.2</v>
      </c>
      <c r="R812" s="3" t="str">
        <f t="shared" si="26"/>
        <v>March</v>
      </c>
      <c r="S812" s="3">
        <f t="shared" si="25"/>
        <v>3</v>
      </c>
      <c r="T812" s="3" t="str">
        <f>IF(tbl_sales[[#This Row],[Sales]]&gt;=500,"High Value","Standard")</f>
        <v>Standard</v>
      </c>
      <c r="U812" s="1" t="str">
        <f>IF(tbl_sales[[#This Row],[Order Size]]="High Value","High Value Order","Standard Order")</f>
        <v>Standard Order</v>
      </c>
      <c r="V812" s="1"/>
      <c r="W812" s="17" t="s">
        <v>37</v>
      </c>
      <c r="X812" s="17"/>
      <c r="Y812" s="6"/>
      <c r="Z812" s="1"/>
    </row>
    <row r="813" spans="1:26">
      <c r="A813" s="3" t="s">
        <v>4546</v>
      </c>
      <c r="B813" s="3" t="s">
        <v>22</v>
      </c>
      <c r="C813" s="3" t="s">
        <v>23</v>
      </c>
      <c r="D813" s="3" t="s">
        <v>41</v>
      </c>
      <c r="E813" s="3" t="s">
        <v>25</v>
      </c>
      <c r="F813" s="3" t="s">
        <v>42</v>
      </c>
      <c r="G813" s="2">
        <v>40.26</v>
      </c>
      <c r="H813" s="2">
        <v>10</v>
      </c>
      <c r="I813" s="2">
        <v>20.13</v>
      </c>
      <c r="J813" s="2">
        <v>422.73</v>
      </c>
      <c r="K813" s="5">
        <v>43520</v>
      </c>
      <c r="L813" s="4">
        <v>0.75416666666666665</v>
      </c>
      <c r="M813" s="3" t="s">
        <v>59</v>
      </c>
      <c r="N813" s="2">
        <v>402.6</v>
      </c>
      <c r="O813" s="2">
        <v>4.7619047620000003</v>
      </c>
      <c r="P813" s="2">
        <v>20.13</v>
      </c>
      <c r="Q813" s="2">
        <v>5</v>
      </c>
      <c r="R813" s="3" t="str">
        <f t="shared" si="26"/>
        <v>February</v>
      </c>
      <c r="S813" s="3">
        <f t="shared" si="25"/>
        <v>2</v>
      </c>
      <c r="T813" s="3" t="str">
        <f>IF(tbl_sales[[#This Row],[Sales]]&gt;=500,"High Value","Standard")</f>
        <v>Standard</v>
      </c>
      <c r="U813" s="1" t="str">
        <f>IF(tbl_sales[[#This Row],[Order Size]]="High Value","High Value Order","Standard Order")</f>
        <v>Standard Order</v>
      </c>
      <c r="V813" s="1"/>
      <c r="W813" s="17" t="s">
        <v>37</v>
      </c>
      <c r="X813" s="17"/>
      <c r="Y813" s="6"/>
      <c r="Z813" s="1"/>
    </row>
    <row r="814" spans="1:26">
      <c r="A814" s="3" t="s">
        <v>4551</v>
      </c>
      <c r="B814" s="3" t="s">
        <v>39</v>
      </c>
      <c r="C814" s="3" t="s">
        <v>40</v>
      </c>
      <c r="D814" s="3" t="s">
        <v>24</v>
      </c>
      <c r="E814" s="3" t="s">
        <v>25</v>
      </c>
      <c r="F814" s="3" t="s">
        <v>72</v>
      </c>
      <c r="G814" s="2">
        <v>64.97</v>
      </c>
      <c r="H814" s="2">
        <v>5</v>
      </c>
      <c r="I814" s="2">
        <v>16.2425</v>
      </c>
      <c r="J814" s="2">
        <v>341.09249999999997</v>
      </c>
      <c r="K814" s="5">
        <v>43504</v>
      </c>
      <c r="L814" s="4">
        <v>0.53611111111111109</v>
      </c>
      <c r="M814" s="3" t="s">
        <v>59</v>
      </c>
      <c r="N814" s="2">
        <v>324.85000000000002</v>
      </c>
      <c r="O814" s="2">
        <v>4.7619047620000003</v>
      </c>
      <c r="P814" s="2">
        <v>16.2425</v>
      </c>
      <c r="Q814" s="2">
        <v>6.5</v>
      </c>
      <c r="R814" s="3" t="str">
        <f t="shared" si="26"/>
        <v>February</v>
      </c>
      <c r="S814" s="3">
        <f t="shared" si="25"/>
        <v>2</v>
      </c>
      <c r="T814" s="3" t="str">
        <f>IF(tbl_sales[[#This Row],[Sales]]&gt;=500,"High Value","Standard")</f>
        <v>Standard</v>
      </c>
      <c r="U814" s="1" t="str">
        <f>IF(tbl_sales[[#This Row],[Order Size]]="High Value","High Value Order","Standard Order")</f>
        <v>Standard Order</v>
      </c>
      <c r="V814" s="1"/>
      <c r="W814" s="17" t="s">
        <v>37</v>
      </c>
      <c r="X814" s="17"/>
      <c r="Y814" s="6"/>
      <c r="Z814" s="1"/>
    </row>
    <row r="815" spans="1:26">
      <c r="A815" s="3" t="s">
        <v>4556</v>
      </c>
      <c r="B815" s="3" t="s">
        <v>22</v>
      </c>
      <c r="C815" s="3" t="s">
        <v>23</v>
      </c>
      <c r="D815" s="3" t="s">
        <v>41</v>
      </c>
      <c r="E815" s="3" t="s">
        <v>992</v>
      </c>
      <c r="F815" s="3" t="s">
        <v>42</v>
      </c>
      <c r="G815" s="2">
        <v>95.15</v>
      </c>
      <c r="H815" s="2">
        <v>1</v>
      </c>
      <c r="I815" s="2">
        <v>4.7575000000000003</v>
      </c>
      <c r="J815" s="2">
        <v>99.907499999999999</v>
      </c>
      <c r="K815" s="5">
        <v>43546</v>
      </c>
      <c r="L815" s="4">
        <v>0.58333333333333337</v>
      </c>
      <c r="M815" s="3" t="s">
        <v>49</v>
      </c>
      <c r="N815" s="2">
        <v>95.15</v>
      </c>
      <c r="O815" s="2">
        <v>4.7619047620000003</v>
      </c>
      <c r="P815" s="2">
        <v>4.7575000000000003</v>
      </c>
      <c r="Q815" s="2">
        <v>6</v>
      </c>
      <c r="R815" s="3" t="str">
        <f t="shared" si="26"/>
        <v>March</v>
      </c>
      <c r="S815" s="3">
        <f t="shared" si="25"/>
        <v>3</v>
      </c>
      <c r="T815" s="3" t="str">
        <f>IF(tbl_sales[[#This Row],[Sales]]&gt;=500,"High Value","Standard")</f>
        <v>Standard</v>
      </c>
      <c r="U815" s="1" t="str">
        <f>IF(tbl_sales[[#This Row],[Order Size]]="High Value","High Value Order","Standard Order")</f>
        <v>Standard Order</v>
      </c>
      <c r="V815" s="1"/>
      <c r="W815" s="17" t="s">
        <v>37</v>
      </c>
      <c r="X815" s="17"/>
      <c r="Y815" s="6"/>
      <c r="Z815" s="1"/>
    </row>
    <row r="816" spans="1:26">
      <c r="A816" s="3" t="s">
        <v>4561</v>
      </c>
      <c r="B816" s="3" t="s">
        <v>22</v>
      </c>
      <c r="C816" s="3" t="s">
        <v>23</v>
      </c>
      <c r="D816" s="3" t="s">
        <v>24</v>
      </c>
      <c r="E816" s="3" t="s">
        <v>25</v>
      </c>
      <c r="F816" s="3" t="s">
        <v>42</v>
      </c>
      <c r="G816" s="2">
        <v>48.62</v>
      </c>
      <c r="H816" s="2">
        <v>8</v>
      </c>
      <c r="I816" s="2">
        <v>19.448</v>
      </c>
      <c r="J816" s="2">
        <v>408.40800000000002</v>
      </c>
      <c r="K816" s="5">
        <v>43489</v>
      </c>
      <c r="L816" s="4">
        <v>0.45624999999999999</v>
      </c>
      <c r="M816" s="3" t="s">
        <v>49</v>
      </c>
      <c r="N816" s="2">
        <v>388.96</v>
      </c>
      <c r="O816" s="2">
        <v>4.7619047620000003</v>
      </c>
      <c r="P816" s="2">
        <v>19.448</v>
      </c>
      <c r="Q816" s="2">
        <v>5</v>
      </c>
      <c r="R816" s="3" t="str">
        <f t="shared" si="26"/>
        <v>January</v>
      </c>
      <c r="S816" s="3">
        <f t="shared" si="25"/>
        <v>1</v>
      </c>
      <c r="T816" s="3" t="str">
        <f>IF(tbl_sales[[#This Row],[Sales]]&gt;=500,"High Value","Standard")</f>
        <v>Standard</v>
      </c>
      <c r="U816" s="1" t="str">
        <f>IF(tbl_sales[[#This Row],[Order Size]]="High Value","High Value Order","Standard Order")</f>
        <v>Standard Order</v>
      </c>
      <c r="V816" s="1"/>
      <c r="W816" s="17" t="s">
        <v>37</v>
      </c>
      <c r="X816" s="17"/>
      <c r="Y816" s="6"/>
      <c r="Z816" s="1"/>
    </row>
    <row r="817" spans="1:26">
      <c r="A817" s="3" t="s">
        <v>4566</v>
      </c>
      <c r="B817" s="3" t="s">
        <v>115</v>
      </c>
      <c r="C817" s="3" t="s">
        <v>116</v>
      </c>
      <c r="D817" s="3" t="s">
        <v>41</v>
      </c>
      <c r="E817" s="3" t="s">
        <v>25</v>
      </c>
      <c r="F817" s="3" t="s">
        <v>117</v>
      </c>
      <c r="G817" s="2">
        <v>53.21</v>
      </c>
      <c r="H817" s="2">
        <v>8</v>
      </c>
      <c r="I817" s="2">
        <v>21.283999999999999</v>
      </c>
      <c r="J817" s="2">
        <v>446.964</v>
      </c>
      <c r="K817" s="5">
        <v>43538</v>
      </c>
      <c r="L817" s="4">
        <v>0.69791666666666663</v>
      </c>
      <c r="M817" s="3" t="s">
        <v>33</v>
      </c>
      <c r="N817" s="2">
        <v>425.68</v>
      </c>
      <c r="O817" s="2">
        <v>4.7619047620000003</v>
      </c>
      <c r="P817" s="2">
        <v>21.283999999999999</v>
      </c>
      <c r="Q817" s="2">
        <v>5</v>
      </c>
      <c r="R817" s="3" t="str">
        <f t="shared" si="26"/>
        <v>March</v>
      </c>
      <c r="S817" s="3">
        <f t="shared" si="25"/>
        <v>3</v>
      </c>
      <c r="T817" s="3" t="str">
        <f>IF(tbl_sales[[#This Row],[Sales]]&gt;=500,"High Value","Standard")</f>
        <v>Standard</v>
      </c>
      <c r="U817" s="1" t="str">
        <f>IF(tbl_sales[[#This Row],[Order Size]]="High Value","High Value Order","Standard Order")</f>
        <v>Standard Order</v>
      </c>
      <c r="V817" s="1"/>
      <c r="W817" s="17" t="s">
        <v>37</v>
      </c>
      <c r="X817" s="17"/>
      <c r="Y817" s="6"/>
      <c r="Z817" s="1"/>
    </row>
    <row r="818" spans="1:26">
      <c r="A818" s="3" t="s">
        <v>4571</v>
      </c>
      <c r="B818" s="3" t="s">
        <v>39</v>
      </c>
      <c r="C818" s="3" t="s">
        <v>40</v>
      </c>
      <c r="D818" s="3" t="s">
        <v>41</v>
      </c>
      <c r="E818" s="3" t="s">
        <v>25</v>
      </c>
      <c r="F818" s="3" t="s">
        <v>127</v>
      </c>
      <c r="G818" s="2">
        <v>45.44</v>
      </c>
      <c r="H818" s="2">
        <v>7</v>
      </c>
      <c r="I818" s="2">
        <v>15.904</v>
      </c>
      <c r="J818" s="2">
        <v>333.98399999999998</v>
      </c>
      <c r="K818" s="5">
        <v>43488</v>
      </c>
      <c r="L818" s="4">
        <v>0.46875</v>
      </c>
      <c r="M818" s="3" t="s">
        <v>49</v>
      </c>
      <c r="N818" s="2">
        <v>318.08</v>
      </c>
      <c r="O818" s="2">
        <v>4.7619047620000003</v>
      </c>
      <c r="P818" s="2">
        <v>15.904</v>
      </c>
      <c r="Q818" s="2">
        <v>9.1999999999999993</v>
      </c>
      <c r="R818" s="3" t="str">
        <f t="shared" si="26"/>
        <v>January</v>
      </c>
      <c r="S818" s="3">
        <f t="shared" si="25"/>
        <v>1</v>
      </c>
      <c r="T818" s="3" t="str">
        <f>IF(tbl_sales[[#This Row],[Sales]]&gt;=500,"High Value","Standard")</f>
        <v>Standard</v>
      </c>
      <c r="U818" s="1" t="str">
        <f>IF(tbl_sales[[#This Row],[Order Size]]="High Value","High Value Order","Standard Order")</f>
        <v>Standard Order</v>
      </c>
      <c r="V818" s="1"/>
      <c r="W818" s="17" t="s">
        <v>37</v>
      </c>
      <c r="X818" s="17"/>
      <c r="Y818" s="6"/>
      <c r="Z818" s="1"/>
    </row>
    <row r="819" spans="1:26">
      <c r="A819" s="3" t="s">
        <v>4576</v>
      </c>
      <c r="B819" s="3" t="s">
        <v>22</v>
      </c>
      <c r="C819" s="3" t="s">
        <v>23</v>
      </c>
      <c r="D819" s="3" t="s">
        <v>41</v>
      </c>
      <c r="E819" s="3" t="s">
        <v>992</v>
      </c>
      <c r="F819" s="3" t="s">
        <v>117</v>
      </c>
      <c r="G819" s="2">
        <v>33.880000000000003</v>
      </c>
      <c r="H819" s="2">
        <v>8</v>
      </c>
      <c r="I819" s="2">
        <v>13.552</v>
      </c>
      <c r="J819" s="2">
        <v>284.59199999999998</v>
      </c>
      <c r="K819" s="5">
        <v>43484</v>
      </c>
      <c r="L819" s="4">
        <v>0.85347222222222219</v>
      </c>
      <c r="M819" s="3" t="s">
        <v>33</v>
      </c>
      <c r="N819" s="2">
        <v>271.04000000000002</v>
      </c>
      <c r="O819" s="2">
        <v>4.7619047620000003</v>
      </c>
      <c r="P819" s="2">
        <v>13.552</v>
      </c>
      <c r="Q819" s="2">
        <v>9.6</v>
      </c>
      <c r="R819" s="3" t="str">
        <f t="shared" si="26"/>
        <v>January</v>
      </c>
      <c r="S819" s="3">
        <f t="shared" si="25"/>
        <v>1</v>
      </c>
      <c r="T819" s="3" t="str">
        <f>IF(tbl_sales[[#This Row],[Sales]]&gt;=500,"High Value","Standard")</f>
        <v>Standard</v>
      </c>
      <c r="U819" s="1" t="str">
        <f>IF(tbl_sales[[#This Row],[Order Size]]="High Value","High Value Order","Standard Order")</f>
        <v>Standard Order</v>
      </c>
      <c r="V819" s="1"/>
      <c r="W819" s="17" t="s">
        <v>37</v>
      </c>
      <c r="X819" s="17"/>
      <c r="Y819" s="6"/>
      <c r="Z819" s="1"/>
    </row>
    <row r="820" spans="1:26">
      <c r="A820" s="3" t="s">
        <v>4581</v>
      </c>
      <c r="B820" s="3" t="s">
        <v>115</v>
      </c>
      <c r="C820" s="3" t="s">
        <v>116</v>
      </c>
      <c r="D820" s="3" t="s">
        <v>24</v>
      </c>
      <c r="E820" s="3" t="s">
        <v>992</v>
      </c>
      <c r="F820" s="3" t="s">
        <v>26</v>
      </c>
      <c r="G820" s="2">
        <v>96.16</v>
      </c>
      <c r="H820" s="2">
        <v>4</v>
      </c>
      <c r="I820" s="2">
        <v>19.231999999999999</v>
      </c>
      <c r="J820" s="2">
        <v>403.87200000000001</v>
      </c>
      <c r="K820" s="5">
        <v>43492</v>
      </c>
      <c r="L820" s="4">
        <v>0.8354166666666667</v>
      </c>
      <c r="M820" s="3" t="s">
        <v>59</v>
      </c>
      <c r="N820" s="2">
        <v>384.64</v>
      </c>
      <c r="O820" s="2">
        <v>4.7619047620000003</v>
      </c>
      <c r="P820" s="2">
        <v>19.231999999999999</v>
      </c>
      <c r="Q820" s="2">
        <v>8.4</v>
      </c>
      <c r="R820" s="3" t="str">
        <f t="shared" si="26"/>
        <v>January</v>
      </c>
      <c r="S820" s="3">
        <f t="shared" si="25"/>
        <v>1</v>
      </c>
      <c r="T820" s="3" t="str">
        <f>IF(tbl_sales[[#This Row],[Sales]]&gt;=500,"High Value","Standard")</f>
        <v>Standard</v>
      </c>
      <c r="U820" s="1" t="str">
        <f>IF(tbl_sales[[#This Row],[Order Size]]="High Value","High Value Order","Standard Order")</f>
        <v>Standard Order</v>
      </c>
      <c r="V820" s="1"/>
      <c r="W820" s="17" t="s">
        <v>37</v>
      </c>
      <c r="X820" s="17"/>
      <c r="Y820" s="6"/>
      <c r="Z820" s="1"/>
    </row>
    <row r="821" spans="1:26">
      <c r="A821" s="3" t="s">
        <v>4586</v>
      </c>
      <c r="B821" s="3" t="s">
        <v>115</v>
      </c>
      <c r="C821" s="3" t="s">
        <v>116</v>
      </c>
      <c r="D821" s="3" t="s">
        <v>24</v>
      </c>
      <c r="E821" s="3" t="s">
        <v>992</v>
      </c>
      <c r="F821" s="3" t="s">
        <v>117</v>
      </c>
      <c r="G821" s="2">
        <v>47.16</v>
      </c>
      <c r="H821" s="2">
        <v>5</v>
      </c>
      <c r="I821" s="2">
        <v>11.79</v>
      </c>
      <c r="J821" s="2">
        <v>247.59</v>
      </c>
      <c r="K821" s="5">
        <v>43499</v>
      </c>
      <c r="L821" s="4">
        <v>0.60763888888888884</v>
      </c>
      <c r="M821" s="3" t="s">
        <v>59</v>
      </c>
      <c r="N821" s="2">
        <v>235.8</v>
      </c>
      <c r="O821" s="2">
        <v>4.7619047620000003</v>
      </c>
      <c r="P821" s="2">
        <v>11.79</v>
      </c>
      <c r="Q821" s="2">
        <v>6</v>
      </c>
      <c r="R821" s="3" t="str">
        <f t="shared" si="26"/>
        <v>February</v>
      </c>
      <c r="S821" s="3">
        <f t="shared" si="25"/>
        <v>2</v>
      </c>
      <c r="T821" s="3" t="str">
        <f>IF(tbl_sales[[#This Row],[Sales]]&gt;=500,"High Value","Standard")</f>
        <v>Standard</v>
      </c>
      <c r="U821" s="1" t="str">
        <f>IF(tbl_sales[[#This Row],[Order Size]]="High Value","High Value Order","Standard Order")</f>
        <v>Standard Order</v>
      </c>
      <c r="V821" s="1"/>
      <c r="W821" s="17" t="s">
        <v>37</v>
      </c>
      <c r="X821" s="17"/>
      <c r="Y821" s="6"/>
      <c r="Z821" s="1"/>
    </row>
    <row r="822" spans="1:26">
      <c r="A822" s="3" t="s">
        <v>4591</v>
      </c>
      <c r="B822" s="3" t="s">
        <v>115</v>
      </c>
      <c r="C822" s="3" t="s">
        <v>116</v>
      </c>
      <c r="D822" s="3" t="s">
        <v>41</v>
      </c>
      <c r="E822" s="3" t="s">
        <v>992</v>
      </c>
      <c r="F822" s="3" t="s">
        <v>42</v>
      </c>
      <c r="G822" s="2">
        <v>52.89</v>
      </c>
      <c r="H822" s="2">
        <v>4</v>
      </c>
      <c r="I822" s="2">
        <v>10.577999999999999</v>
      </c>
      <c r="J822" s="2">
        <v>222.13800000000001</v>
      </c>
      <c r="K822" s="5">
        <v>43549</v>
      </c>
      <c r="L822" s="4">
        <v>0.68888888888888888</v>
      </c>
      <c r="M822" s="3" t="s">
        <v>33</v>
      </c>
      <c r="N822" s="2">
        <v>211.56</v>
      </c>
      <c r="O822" s="2">
        <v>4.7619047620000003</v>
      </c>
      <c r="P822" s="2">
        <v>10.577999999999999</v>
      </c>
      <c r="Q822" s="2">
        <v>6.7</v>
      </c>
      <c r="R822" s="3" t="str">
        <f t="shared" si="26"/>
        <v>March</v>
      </c>
      <c r="S822" s="3">
        <f t="shared" si="25"/>
        <v>3</v>
      </c>
      <c r="T822" s="3" t="str">
        <f>IF(tbl_sales[[#This Row],[Sales]]&gt;=500,"High Value","Standard")</f>
        <v>Standard</v>
      </c>
      <c r="U822" s="1" t="str">
        <f>IF(tbl_sales[[#This Row],[Order Size]]="High Value","High Value Order","Standard Order")</f>
        <v>Standard Order</v>
      </c>
      <c r="V822" s="1"/>
      <c r="W822" s="17" t="s">
        <v>37</v>
      </c>
      <c r="X822" s="17"/>
      <c r="Y822" s="6"/>
      <c r="Z822" s="1"/>
    </row>
    <row r="823" spans="1:26">
      <c r="A823" s="3" t="s">
        <v>4596</v>
      </c>
      <c r="B823" s="3" t="s">
        <v>22</v>
      </c>
      <c r="C823" s="3" t="s">
        <v>23</v>
      </c>
      <c r="D823" s="3" t="s">
        <v>24</v>
      </c>
      <c r="E823" s="3" t="s">
        <v>25</v>
      </c>
      <c r="F823" s="3" t="s">
        <v>53</v>
      </c>
      <c r="G823" s="2">
        <v>47.68</v>
      </c>
      <c r="H823" s="2">
        <v>2</v>
      </c>
      <c r="I823" s="2">
        <v>4.7679999999999998</v>
      </c>
      <c r="J823" s="2">
        <v>100.128</v>
      </c>
      <c r="K823" s="5">
        <v>43520</v>
      </c>
      <c r="L823" s="4">
        <v>0.4236111111111111</v>
      </c>
      <c r="M823" s="3" t="s">
        <v>59</v>
      </c>
      <c r="N823" s="2">
        <v>95.36</v>
      </c>
      <c r="O823" s="2">
        <v>4.7619047620000003</v>
      </c>
      <c r="P823" s="2">
        <v>4.7679999999999998</v>
      </c>
      <c r="Q823" s="2">
        <v>4.0999999999999996</v>
      </c>
      <c r="R823" s="3" t="str">
        <f t="shared" si="26"/>
        <v>February</v>
      </c>
      <c r="S823" s="3">
        <f t="shared" si="25"/>
        <v>2</v>
      </c>
      <c r="T823" s="3" t="str">
        <f>IF(tbl_sales[[#This Row],[Sales]]&gt;=500,"High Value","Standard")</f>
        <v>Standard</v>
      </c>
      <c r="U823" s="1" t="str">
        <f>IF(tbl_sales[[#This Row],[Order Size]]="High Value","High Value Order","Standard Order")</f>
        <v>Standard Order</v>
      </c>
      <c r="V823" s="1"/>
      <c r="W823" s="17" t="s">
        <v>37</v>
      </c>
      <c r="X823" s="17"/>
      <c r="Y823" s="6"/>
      <c r="Z823" s="1"/>
    </row>
    <row r="824" spans="1:26">
      <c r="A824" s="3" t="s">
        <v>4602</v>
      </c>
      <c r="B824" s="3" t="s">
        <v>39</v>
      </c>
      <c r="C824" s="3" t="s">
        <v>40</v>
      </c>
      <c r="D824" s="3" t="s">
        <v>24</v>
      </c>
      <c r="E824" s="3" t="s">
        <v>992</v>
      </c>
      <c r="F824" s="3" t="s">
        <v>72</v>
      </c>
      <c r="G824" s="2">
        <v>10.17</v>
      </c>
      <c r="H824" s="2">
        <v>1</v>
      </c>
      <c r="I824" s="2">
        <v>0.50849999999999995</v>
      </c>
      <c r="J824" s="2">
        <v>10.6785</v>
      </c>
      <c r="K824" s="5">
        <v>43503</v>
      </c>
      <c r="L824" s="4">
        <v>0.59375</v>
      </c>
      <c r="M824" s="3" t="s">
        <v>49</v>
      </c>
      <c r="N824" s="2">
        <v>10.17</v>
      </c>
      <c r="O824" s="2">
        <v>4.7619047620000003</v>
      </c>
      <c r="P824" s="2">
        <v>0.50849999999999995</v>
      </c>
      <c r="Q824" s="2">
        <v>5.9</v>
      </c>
      <c r="R824" s="3" t="str">
        <f t="shared" si="26"/>
        <v>February</v>
      </c>
      <c r="S824" s="3">
        <f t="shared" si="25"/>
        <v>2</v>
      </c>
      <c r="T824" s="3" t="str">
        <f>IF(tbl_sales[[#This Row],[Sales]]&gt;=500,"High Value","Standard")</f>
        <v>Standard</v>
      </c>
      <c r="U824" s="1" t="str">
        <f>IF(tbl_sales[[#This Row],[Order Size]]="High Value","High Value Order","Standard Order")</f>
        <v>Standard Order</v>
      </c>
      <c r="V824" s="1"/>
      <c r="W824" s="17" t="s">
        <v>37</v>
      </c>
      <c r="X824" s="17"/>
      <c r="Y824" s="6"/>
      <c r="Z824" s="1"/>
    </row>
    <row r="825" spans="1:26">
      <c r="A825" s="3" t="s">
        <v>4606</v>
      </c>
      <c r="B825" s="3" t="s">
        <v>22</v>
      </c>
      <c r="C825" s="3" t="s">
        <v>23</v>
      </c>
      <c r="D825" s="3" t="s">
        <v>41</v>
      </c>
      <c r="E825" s="3" t="s">
        <v>25</v>
      </c>
      <c r="F825" s="3" t="s">
        <v>26</v>
      </c>
      <c r="G825" s="2">
        <v>68.709999999999994</v>
      </c>
      <c r="H825" s="2">
        <v>3</v>
      </c>
      <c r="I825" s="2">
        <v>10.3065</v>
      </c>
      <c r="J825" s="2">
        <v>216.4365</v>
      </c>
      <c r="K825" s="5">
        <v>43528</v>
      </c>
      <c r="L825" s="4">
        <v>0.4201388888888889</v>
      </c>
      <c r="M825" s="3" t="s">
        <v>49</v>
      </c>
      <c r="N825" s="2">
        <v>206.13</v>
      </c>
      <c r="O825" s="2">
        <v>4.7619047620000003</v>
      </c>
      <c r="P825" s="2">
        <v>10.3065</v>
      </c>
      <c r="Q825" s="2">
        <v>8.6999999999999993</v>
      </c>
      <c r="R825" s="3" t="str">
        <f t="shared" si="26"/>
        <v>March</v>
      </c>
      <c r="S825" s="3">
        <f t="shared" si="25"/>
        <v>3</v>
      </c>
      <c r="T825" s="3" t="str">
        <f>IF(tbl_sales[[#This Row],[Sales]]&gt;=500,"High Value","Standard")</f>
        <v>Standard</v>
      </c>
      <c r="U825" s="1" t="str">
        <f>IF(tbl_sales[[#This Row],[Order Size]]="High Value","High Value Order","Standard Order")</f>
        <v>Standard Order</v>
      </c>
      <c r="V825" s="1"/>
      <c r="W825" s="17" t="s">
        <v>37</v>
      </c>
      <c r="X825" s="17"/>
      <c r="Y825" s="6"/>
      <c r="Z825" s="1"/>
    </row>
    <row r="826" spans="1:26">
      <c r="A826" s="3" t="s">
        <v>4611</v>
      </c>
      <c r="B826" s="3" t="s">
        <v>115</v>
      </c>
      <c r="C826" s="3" t="s">
        <v>116</v>
      </c>
      <c r="D826" s="3" t="s">
        <v>24</v>
      </c>
      <c r="E826" s="3" t="s">
        <v>25</v>
      </c>
      <c r="F826" s="3" t="s">
        <v>72</v>
      </c>
      <c r="G826" s="2">
        <v>60.08</v>
      </c>
      <c r="H826" s="2">
        <v>7</v>
      </c>
      <c r="I826" s="2">
        <v>21.027999999999999</v>
      </c>
      <c r="J826" s="2">
        <v>441.58800000000002</v>
      </c>
      <c r="K826" s="5">
        <v>43510</v>
      </c>
      <c r="L826" s="4">
        <v>0.48333333333333334</v>
      </c>
      <c r="M826" s="3" t="s">
        <v>59</v>
      </c>
      <c r="N826" s="2">
        <v>420.56</v>
      </c>
      <c r="O826" s="2">
        <v>4.7619047620000003</v>
      </c>
      <c r="P826" s="2">
        <v>21.027999999999999</v>
      </c>
      <c r="Q826" s="2">
        <v>4.5</v>
      </c>
      <c r="R826" s="3" t="str">
        <f t="shared" si="26"/>
        <v>February</v>
      </c>
      <c r="S826" s="3">
        <f t="shared" si="25"/>
        <v>2</v>
      </c>
      <c r="T826" s="3" t="str">
        <f>IF(tbl_sales[[#This Row],[Sales]]&gt;=500,"High Value","Standard")</f>
        <v>Standard</v>
      </c>
      <c r="U826" s="1" t="str">
        <f>IF(tbl_sales[[#This Row],[Order Size]]="High Value","High Value Order","Standard Order")</f>
        <v>Standard Order</v>
      </c>
      <c r="V826" s="1"/>
      <c r="W826" s="17" t="s">
        <v>37</v>
      </c>
      <c r="X826" s="17"/>
      <c r="Y826" s="6"/>
      <c r="Z826" s="1"/>
    </row>
    <row r="827" spans="1:26">
      <c r="A827" s="3" t="s">
        <v>4616</v>
      </c>
      <c r="B827" s="3" t="s">
        <v>22</v>
      </c>
      <c r="C827" s="3" t="s">
        <v>23</v>
      </c>
      <c r="D827" s="3" t="s">
        <v>24</v>
      </c>
      <c r="E827" s="3" t="s">
        <v>25</v>
      </c>
      <c r="F827" s="3" t="s">
        <v>72</v>
      </c>
      <c r="G827" s="2">
        <v>22.01</v>
      </c>
      <c r="H827" s="2">
        <v>4</v>
      </c>
      <c r="I827" s="2">
        <v>4.4020000000000001</v>
      </c>
      <c r="J827" s="2">
        <v>92.441999999999993</v>
      </c>
      <c r="K827" s="5">
        <v>43494</v>
      </c>
      <c r="L827" s="4">
        <v>0.76041666666666663</v>
      </c>
      <c r="M827" s="3" t="s">
        <v>59</v>
      </c>
      <c r="N827" s="2">
        <v>88.04</v>
      </c>
      <c r="O827" s="2">
        <v>4.7619047620000003</v>
      </c>
      <c r="P827" s="2">
        <v>4.4020000000000001</v>
      </c>
      <c r="Q827" s="2">
        <v>6.6</v>
      </c>
      <c r="R827" s="3" t="str">
        <f t="shared" si="26"/>
        <v>January</v>
      </c>
      <c r="S827" s="3">
        <f t="shared" si="25"/>
        <v>1</v>
      </c>
      <c r="T827" s="3" t="str">
        <f>IF(tbl_sales[[#This Row],[Sales]]&gt;=500,"High Value","Standard")</f>
        <v>Standard</v>
      </c>
      <c r="U827" s="1" t="str">
        <f>IF(tbl_sales[[#This Row],[Order Size]]="High Value","High Value Order","Standard Order")</f>
        <v>Standard Order</v>
      </c>
      <c r="V827" s="1"/>
      <c r="W827" s="17" t="s">
        <v>37</v>
      </c>
      <c r="X827" s="17"/>
      <c r="Y827" s="6"/>
      <c r="Z827" s="1"/>
    </row>
    <row r="828" spans="1:26">
      <c r="A828" s="3" t="s">
        <v>4621</v>
      </c>
      <c r="B828" s="3" t="s">
        <v>115</v>
      </c>
      <c r="C828" s="3" t="s">
        <v>116</v>
      </c>
      <c r="D828" s="3" t="s">
        <v>24</v>
      </c>
      <c r="E828" s="3" t="s">
        <v>25</v>
      </c>
      <c r="F828" s="3" t="s">
        <v>26</v>
      </c>
      <c r="G828" s="2">
        <v>72.11</v>
      </c>
      <c r="H828" s="2">
        <v>9</v>
      </c>
      <c r="I828" s="2">
        <v>32.4495</v>
      </c>
      <c r="J828" s="2">
        <v>681.43949999999995</v>
      </c>
      <c r="K828" s="5">
        <v>43493</v>
      </c>
      <c r="L828" s="4">
        <v>0.57847222222222228</v>
      </c>
      <c r="M828" s="3" t="s">
        <v>59</v>
      </c>
      <c r="N828" s="2">
        <v>648.99</v>
      </c>
      <c r="O828" s="2">
        <v>4.7619047620000003</v>
      </c>
      <c r="P828" s="2">
        <v>32.4495</v>
      </c>
      <c r="Q828" s="2">
        <v>7.7</v>
      </c>
      <c r="R828" s="3" t="str">
        <f t="shared" si="26"/>
        <v>January</v>
      </c>
      <c r="S828" s="3">
        <f t="shared" si="25"/>
        <v>1</v>
      </c>
      <c r="T828" s="3" t="str">
        <f>IF(tbl_sales[[#This Row],[Sales]]&gt;=500,"High Value","Standard")</f>
        <v>High Value</v>
      </c>
      <c r="U828" s="1" t="str">
        <f>IF(tbl_sales[[#This Row],[Order Size]]="High Value","High Value Order","Standard Order")</f>
        <v>High Value Order</v>
      </c>
      <c r="V828" s="1"/>
      <c r="W828" s="17" t="s">
        <v>37</v>
      </c>
      <c r="X828" s="17"/>
      <c r="Y828" s="6"/>
      <c r="Z828" s="1"/>
    </row>
    <row r="829" spans="1:26">
      <c r="A829" s="3" t="s">
        <v>4626</v>
      </c>
      <c r="B829" s="3" t="s">
        <v>22</v>
      </c>
      <c r="C829" s="3" t="s">
        <v>23</v>
      </c>
      <c r="D829" s="3" t="s">
        <v>24</v>
      </c>
      <c r="E829" s="3" t="s">
        <v>992</v>
      </c>
      <c r="F829" s="3" t="s">
        <v>127</v>
      </c>
      <c r="G829" s="2">
        <v>41.28</v>
      </c>
      <c r="H829" s="2">
        <v>3</v>
      </c>
      <c r="I829" s="2">
        <v>6.1920000000000002</v>
      </c>
      <c r="J829" s="2">
        <v>130.03200000000001</v>
      </c>
      <c r="K829" s="5">
        <v>43550</v>
      </c>
      <c r="L829" s="4">
        <v>0.77569444444444446</v>
      </c>
      <c r="M829" s="3" t="s">
        <v>59</v>
      </c>
      <c r="N829" s="2">
        <v>123.84</v>
      </c>
      <c r="O829" s="2">
        <v>4.7619047620000003</v>
      </c>
      <c r="P829" s="2">
        <v>6.1920000000000002</v>
      </c>
      <c r="Q829" s="2">
        <v>8.5</v>
      </c>
      <c r="R829" s="3" t="str">
        <f t="shared" si="26"/>
        <v>March</v>
      </c>
      <c r="S829" s="3">
        <f t="shared" si="25"/>
        <v>3</v>
      </c>
      <c r="T829" s="3" t="str">
        <f>IF(tbl_sales[[#This Row],[Sales]]&gt;=500,"High Value","Standard")</f>
        <v>Standard</v>
      </c>
      <c r="U829" s="1" t="str">
        <f>IF(tbl_sales[[#This Row],[Order Size]]="High Value","High Value Order","Standard Order")</f>
        <v>Standard Order</v>
      </c>
      <c r="V829" s="1"/>
      <c r="W829" s="17" t="s">
        <v>37</v>
      </c>
      <c r="X829" s="17"/>
      <c r="Y829" s="6"/>
      <c r="Z829" s="1"/>
    </row>
    <row r="830" spans="1:26">
      <c r="A830" s="3" t="s">
        <v>4631</v>
      </c>
      <c r="B830" s="3" t="s">
        <v>39</v>
      </c>
      <c r="C830" s="3" t="s">
        <v>40</v>
      </c>
      <c r="D830" s="3" t="s">
        <v>41</v>
      </c>
      <c r="E830" s="3" t="s">
        <v>992</v>
      </c>
      <c r="F830" s="3" t="s">
        <v>42</v>
      </c>
      <c r="G830" s="2">
        <v>64.95</v>
      </c>
      <c r="H830" s="2">
        <v>10</v>
      </c>
      <c r="I830" s="2">
        <v>32.475000000000001</v>
      </c>
      <c r="J830" s="2">
        <v>681.97500000000002</v>
      </c>
      <c r="K830" s="5">
        <v>43548</v>
      </c>
      <c r="L830" s="4">
        <v>0.76875000000000004</v>
      </c>
      <c r="M830" s="3" t="s">
        <v>49</v>
      </c>
      <c r="N830" s="2">
        <v>649.5</v>
      </c>
      <c r="O830" s="2">
        <v>4.7619047620000003</v>
      </c>
      <c r="P830" s="2">
        <v>32.475000000000001</v>
      </c>
      <c r="Q830" s="2">
        <v>5.2</v>
      </c>
      <c r="R830" s="3" t="str">
        <f t="shared" si="26"/>
        <v>March</v>
      </c>
      <c r="S830" s="3">
        <f t="shared" si="25"/>
        <v>3</v>
      </c>
      <c r="T830" s="3" t="str">
        <f>IF(tbl_sales[[#This Row],[Sales]]&gt;=500,"High Value","Standard")</f>
        <v>High Value</v>
      </c>
      <c r="U830" s="1" t="str">
        <f>IF(tbl_sales[[#This Row],[Order Size]]="High Value","High Value Order","Standard Order")</f>
        <v>High Value Order</v>
      </c>
      <c r="V830" s="1"/>
      <c r="W830" s="17" t="s">
        <v>37</v>
      </c>
      <c r="X830" s="17"/>
      <c r="Y830" s="6"/>
      <c r="Z830" s="1"/>
    </row>
    <row r="831" spans="1:26">
      <c r="A831" s="3" t="s">
        <v>4636</v>
      </c>
      <c r="B831" s="3" t="s">
        <v>22</v>
      </c>
      <c r="C831" s="3" t="s">
        <v>23</v>
      </c>
      <c r="D831" s="3" t="s">
        <v>24</v>
      </c>
      <c r="E831" s="3" t="s">
        <v>25</v>
      </c>
      <c r="F831" s="3" t="s">
        <v>42</v>
      </c>
      <c r="G831" s="2">
        <v>74.22</v>
      </c>
      <c r="H831" s="2">
        <v>10</v>
      </c>
      <c r="I831" s="2">
        <v>37.11</v>
      </c>
      <c r="J831" s="2">
        <v>779.31</v>
      </c>
      <c r="K831" s="5">
        <v>43466</v>
      </c>
      <c r="L831" s="4">
        <v>0.61250000000000004</v>
      </c>
      <c r="M831" s="3" t="s">
        <v>59</v>
      </c>
      <c r="N831" s="2">
        <v>742.2</v>
      </c>
      <c r="O831" s="2">
        <v>4.7619047620000003</v>
      </c>
      <c r="P831" s="2">
        <v>37.11</v>
      </c>
      <c r="Q831" s="2">
        <v>4.3</v>
      </c>
      <c r="R831" s="3" t="str">
        <f t="shared" si="26"/>
        <v>January</v>
      </c>
      <c r="S831" s="3">
        <f t="shared" si="25"/>
        <v>1</v>
      </c>
      <c r="T831" s="3" t="str">
        <f>IF(tbl_sales[[#This Row],[Sales]]&gt;=500,"High Value","Standard")</f>
        <v>High Value</v>
      </c>
      <c r="U831" s="1" t="str">
        <f>IF(tbl_sales[[#This Row],[Order Size]]="High Value","High Value Order","Standard Order")</f>
        <v>High Value Order</v>
      </c>
      <c r="V831" s="1"/>
      <c r="W831" s="17" t="s">
        <v>37</v>
      </c>
      <c r="X831" s="17"/>
      <c r="Y831" s="6"/>
      <c r="Z831" s="1"/>
    </row>
    <row r="832" spans="1:26">
      <c r="A832" s="3" t="s">
        <v>4640</v>
      </c>
      <c r="B832" s="3" t="s">
        <v>22</v>
      </c>
      <c r="C832" s="3" t="s">
        <v>23</v>
      </c>
      <c r="D832" s="3" t="s">
        <v>41</v>
      </c>
      <c r="E832" s="3" t="s">
        <v>992</v>
      </c>
      <c r="F832" s="3" t="s">
        <v>42</v>
      </c>
      <c r="G832" s="2">
        <v>10.56</v>
      </c>
      <c r="H832" s="2">
        <v>8</v>
      </c>
      <c r="I832" s="2">
        <v>4.2240000000000002</v>
      </c>
      <c r="J832" s="2">
        <v>88.703999999999994</v>
      </c>
      <c r="K832" s="5">
        <v>43489</v>
      </c>
      <c r="L832" s="4">
        <v>0.73819444444444449</v>
      </c>
      <c r="M832" s="3" t="s">
        <v>49</v>
      </c>
      <c r="N832" s="2">
        <v>84.48</v>
      </c>
      <c r="O832" s="2">
        <v>4.7619047620000003</v>
      </c>
      <c r="P832" s="2">
        <v>4.2240000000000002</v>
      </c>
      <c r="Q832" s="2">
        <v>7.6</v>
      </c>
      <c r="R832" s="3" t="str">
        <f t="shared" si="26"/>
        <v>January</v>
      </c>
      <c r="S832" s="3">
        <f t="shared" si="25"/>
        <v>1</v>
      </c>
      <c r="T832" s="3" t="str">
        <f>IF(tbl_sales[[#This Row],[Sales]]&gt;=500,"High Value","Standard")</f>
        <v>Standard</v>
      </c>
      <c r="U832" s="1" t="str">
        <f>IF(tbl_sales[[#This Row],[Order Size]]="High Value","High Value Order","Standard Order")</f>
        <v>Standard Order</v>
      </c>
      <c r="V832" s="1"/>
      <c r="W832" s="17" t="s">
        <v>37</v>
      </c>
      <c r="X832" s="17"/>
      <c r="Y832" s="6"/>
      <c r="Z832" s="1"/>
    </row>
    <row r="833" spans="1:26">
      <c r="A833" s="3" t="s">
        <v>4645</v>
      </c>
      <c r="B833" s="3" t="s">
        <v>115</v>
      </c>
      <c r="C833" s="3" t="s">
        <v>116</v>
      </c>
      <c r="D833" s="3" t="s">
        <v>41</v>
      </c>
      <c r="E833" s="3" t="s">
        <v>992</v>
      </c>
      <c r="F833" s="3" t="s">
        <v>26</v>
      </c>
      <c r="G833" s="2">
        <v>62.57</v>
      </c>
      <c r="H833" s="2">
        <v>4</v>
      </c>
      <c r="I833" s="2">
        <v>12.513999999999999</v>
      </c>
      <c r="J833" s="2">
        <v>262.79399999999998</v>
      </c>
      <c r="K833" s="5">
        <v>43521</v>
      </c>
      <c r="L833" s="4">
        <v>0.77569444444444446</v>
      </c>
      <c r="M833" s="3" t="s">
        <v>49</v>
      </c>
      <c r="N833" s="2">
        <v>250.28</v>
      </c>
      <c r="O833" s="2">
        <v>4.7619047620000003</v>
      </c>
      <c r="P833" s="2">
        <v>12.513999999999999</v>
      </c>
      <c r="Q833" s="2">
        <v>9.5</v>
      </c>
      <c r="R833" s="3" t="str">
        <f t="shared" si="26"/>
        <v>February</v>
      </c>
      <c r="S833" s="3">
        <f t="shared" si="25"/>
        <v>2</v>
      </c>
      <c r="T833" s="3" t="str">
        <f>IF(tbl_sales[[#This Row],[Sales]]&gt;=500,"High Value","Standard")</f>
        <v>Standard</v>
      </c>
      <c r="U833" s="1" t="str">
        <f>IF(tbl_sales[[#This Row],[Order Size]]="High Value","High Value Order","Standard Order")</f>
        <v>Standard Order</v>
      </c>
      <c r="V833" s="1"/>
      <c r="W833" s="17" t="s">
        <v>37</v>
      </c>
      <c r="X833" s="17"/>
      <c r="Y833" s="6"/>
      <c r="Z833" s="1"/>
    </row>
    <row r="834" spans="1:26">
      <c r="A834" s="3" t="s">
        <v>4650</v>
      </c>
      <c r="B834" s="3" t="s">
        <v>115</v>
      </c>
      <c r="C834" s="3" t="s">
        <v>116</v>
      </c>
      <c r="D834" s="3" t="s">
        <v>24</v>
      </c>
      <c r="E834" s="3" t="s">
        <v>25</v>
      </c>
      <c r="F834" s="3" t="s">
        <v>72</v>
      </c>
      <c r="G834" s="2">
        <v>11.85</v>
      </c>
      <c r="H834" s="2">
        <v>8</v>
      </c>
      <c r="I834" s="2">
        <v>4.74</v>
      </c>
      <c r="J834" s="2">
        <v>99.54</v>
      </c>
      <c r="K834" s="5">
        <v>43474</v>
      </c>
      <c r="L834" s="4">
        <v>0.69027777777777777</v>
      </c>
      <c r="M834" s="3" t="s">
        <v>49</v>
      </c>
      <c r="N834" s="2">
        <v>94.8</v>
      </c>
      <c r="O834" s="2">
        <v>4.7619047620000003</v>
      </c>
      <c r="P834" s="2">
        <v>4.74</v>
      </c>
      <c r="Q834" s="2">
        <v>4.0999999999999996</v>
      </c>
      <c r="R834" s="3" t="str">
        <f t="shared" si="26"/>
        <v>January</v>
      </c>
      <c r="S834" s="3">
        <f t="shared" ref="S834:S897" si="27">MONTH(K834)</f>
        <v>1</v>
      </c>
      <c r="T834" s="3" t="str">
        <f>IF(tbl_sales[[#This Row],[Sales]]&gt;=500,"High Value","Standard")</f>
        <v>Standard</v>
      </c>
      <c r="U834" s="1" t="str">
        <f>IF(tbl_sales[[#This Row],[Order Size]]="High Value","High Value Order","Standard Order")</f>
        <v>Standard Order</v>
      </c>
      <c r="V834" s="1"/>
      <c r="W834" s="17" t="s">
        <v>37</v>
      </c>
      <c r="X834" s="17"/>
      <c r="Y834" s="6"/>
      <c r="Z834" s="1"/>
    </row>
    <row r="835" spans="1:26">
      <c r="A835" s="3" t="s">
        <v>4655</v>
      </c>
      <c r="B835" s="3" t="s">
        <v>22</v>
      </c>
      <c r="C835" s="3" t="s">
        <v>23</v>
      </c>
      <c r="D835" s="3" t="s">
        <v>24</v>
      </c>
      <c r="E835" s="3" t="s">
        <v>992</v>
      </c>
      <c r="F835" s="3" t="s">
        <v>26</v>
      </c>
      <c r="G835" s="2">
        <v>91.3</v>
      </c>
      <c r="H835" s="2">
        <v>1</v>
      </c>
      <c r="I835" s="2">
        <v>4.5650000000000004</v>
      </c>
      <c r="J835" s="2">
        <v>95.864999999999995</v>
      </c>
      <c r="K835" s="5">
        <v>43510</v>
      </c>
      <c r="L835" s="4">
        <v>0.61250000000000004</v>
      </c>
      <c r="M835" s="3" t="s">
        <v>33</v>
      </c>
      <c r="N835" s="2">
        <v>91.3</v>
      </c>
      <c r="O835" s="2">
        <v>4.7619047620000003</v>
      </c>
      <c r="P835" s="2">
        <v>4.5650000000000004</v>
      </c>
      <c r="Q835" s="2">
        <v>9.1999999999999993</v>
      </c>
      <c r="R835" s="3" t="str">
        <f t="shared" ref="R835:R898" si="28">TEXT(K835,"mmmm")</f>
        <v>February</v>
      </c>
      <c r="S835" s="3">
        <f t="shared" si="27"/>
        <v>2</v>
      </c>
      <c r="T835" s="3" t="str">
        <f>IF(tbl_sales[[#This Row],[Sales]]&gt;=500,"High Value","Standard")</f>
        <v>Standard</v>
      </c>
      <c r="U835" s="1" t="str">
        <f>IF(tbl_sales[[#This Row],[Order Size]]="High Value","High Value Order","Standard Order")</f>
        <v>Standard Order</v>
      </c>
      <c r="V835" s="1"/>
      <c r="W835" s="17" t="s">
        <v>37</v>
      </c>
      <c r="X835" s="17"/>
      <c r="Y835" s="6"/>
      <c r="Z835" s="1"/>
    </row>
    <row r="836" spans="1:26">
      <c r="A836" s="3" t="s">
        <v>4659</v>
      </c>
      <c r="B836" s="3" t="s">
        <v>115</v>
      </c>
      <c r="C836" s="3" t="s">
        <v>116</v>
      </c>
      <c r="D836" s="3" t="s">
        <v>24</v>
      </c>
      <c r="E836" s="3" t="s">
        <v>25</v>
      </c>
      <c r="F836" s="3" t="s">
        <v>53</v>
      </c>
      <c r="G836" s="2">
        <v>40.729999999999997</v>
      </c>
      <c r="H836" s="2">
        <v>7</v>
      </c>
      <c r="I836" s="2">
        <v>14.2555</v>
      </c>
      <c r="J836" s="2">
        <v>299.3655</v>
      </c>
      <c r="K836" s="5">
        <v>43536</v>
      </c>
      <c r="L836" s="4">
        <v>0.45902777777777776</v>
      </c>
      <c r="M836" s="3" t="s">
        <v>33</v>
      </c>
      <c r="N836" s="2">
        <v>285.11</v>
      </c>
      <c r="O836" s="2">
        <v>4.7619047620000003</v>
      </c>
      <c r="P836" s="2">
        <v>14.2555</v>
      </c>
      <c r="Q836" s="2">
        <v>5.4</v>
      </c>
      <c r="R836" s="3" t="str">
        <f t="shared" si="28"/>
        <v>March</v>
      </c>
      <c r="S836" s="3">
        <f t="shared" si="27"/>
        <v>3</v>
      </c>
      <c r="T836" s="3" t="str">
        <f>IF(tbl_sales[[#This Row],[Sales]]&gt;=500,"High Value","Standard")</f>
        <v>Standard</v>
      </c>
      <c r="U836" s="1" t="str">
        <f>IF(tbl_sales[[#This Row],[Order Size]]="High Value","High Value Order","Standard Order")</f>
        <v>Standard Order</v>
      </c>
      <c r="V836" s="1"/>
      <c r="W836" s="17" t="s">
        <v>37</v>
      </c>
      <c r="X836" s="17"/>
      <c r="Y836" s="6"/>
      <c r="Z836" s="1"/>
    </row>
    <row r="837" spans="1:26">
      <c r="A837" s="3" t="s">
        <v>4665</v>
      </c>
      <c r="B837" s="3" t="s">
        <v>22</v>
      </c>
      <c r="C837" s="3" t="s">
        <v>23</v>
      </c>
      <c r="D837" s="3" t="s">
        <v>41</v>
      </c>
      <c r="E837" s="3" t="s">
        <v>992</v>
      </c>
      <c r="F837" s="3" t="s">
        <v>127</v>
      </c>
      <c r="G837" s="2">
        <v>52.38</v>
      </c>
      <c r="H837" s="2">
        <v>1</v>
      </c>
      <c r="I837" s="2">
        <v>2.6190000000000002</v>
      </c>
      <c r="J837" s="2">
        <v>54.999000000000002</v>
      </c>
      <c r="K837" s="5">
        <v>43550</v>
      </c>
      <c r="L837" s="4">
        <v>0.82222222222222219</v>
      </c>
      <c r="M837" s="3" t="s">
        <v>49</v>
      </c>
      <c r="N837" s="2">
        <v>52.38</v>
      </c>
      <c r="O837" s="2">
        <v>4.7619047620000003</v>
      </c>
      <c r="P837" s="2">
        <v>2.6190000000000002</v>
      </c>
      <c r="Q837" s="2">
        <v>5.8</v>
      </c>
      <c r="R837" s="3" t="str">
        <f t="shared" si="28"/>
        <v>March</v>
      </c>
      <c r="S837" s="3">
        <f t="shared" si="27"/>
        <v>3</v>
      </c>
      <c r="T837" s="3" t="str">
        <f>IF(tbl_sales[[#This Row],[Sales]]&gt;=500,"High Value","Standard")</f>
        <v>Standard</v>
      </c>
      <c r="U837" s="1" t="str">
        <f>IF(tbl_sales[[#This Row],[Order Size]]="High Value","High Value Order","Standard Order")</f>
        <v>Standard Order</v>
      </c>
      <c r="V837" s="1"/>
      <c r="W837" s="17" t="s">
        <v>37</v>
      </c>
      <c r="X837" s="17"/>
      <c r="Y837" s="6"/>
      <c r="Z837" s="1"/>
    </row>
    <row r="838" spans="1:26">
      <c r="A838" s="3" t="s">
        <v>4669</v>
      </c>
      <c r="B838" s="3" t="s">
        <v>22</v>
      </c>
      <c r="C838" s="3" t="s">
        <v>23</v>
      </c>
      <c r="D838" s="3" t="s">
        <v>24</v>
      </c>
      <c r="E838" s="3" t="s">
        <v>992</v>
      </c>
      <c r="F838" s="3" t="s">
        <v>127</v>
      </c>
      <c r="G838" s="2">
        <v>38.54</v>
      </c>
      <c r="H838" s="2">
        <v>5</v>
      </c>
      <c r="I838" s="2">
        <v>9.6349999999999998</v>
      </c>
      <c r="J838" s="2">
        <v>202.33500000000001</v>
      </c>
      <c r="K838" s="5">
        <v>43474</v>
      </c>
      <c r="L838" s="4">
        <v>0.56527777777777777</v>
      </c>
      <c r="M838" s="3" t="s">
        <v>33</v>
      </c>
      <c r="N838" s="2">
        <v>192.7</v>
      </c>
      <c r="O838" s="2">
        <v>4.7619047620000003</v>
      </c>
      <c r="P838" s="2">
        <v>9.6349999999999998</v>
      </c>
      <c r="Q838" s="2">
        <v>5.6</v>
      </c>
      <c r="R838" s="3" t="str">
        <f t="shared" si="28"/>
        <v>January</v>
      </c>
      <c r="S838" s="3">
        <f t="shared" si="27"/>
        <v>1</v>
      </c>
      <c r="T838" s="3" t="str">
        <f>IF(tbl_sales[[#This Row],[Sales]]&gt;=500,"High Value","Standard")</f>
        <v>Standard</v>
      </c>
      <c r="U838" s="1" t="str">
        <f>IF(tbl_sales[[#This Row],[Order Size]]="High Value","High Value Order","Standard Order")</f>
        <v>Standard Order</v>
      </c>
      <c r="V838" s="1"/>
      <c r="W838" s="17" t="s">
        <v>37</v>
      </c>
      <c r="X838" s="17"/>
      <c r="Y838" s="6"/>
      <c r="Z838" s="1"/>
    </row>
    <row r="839" spans="1:26">
      <c r="A839" s="3" t="s">
        <v>4674</v>
      </c>
      <c r="B839" s="3" t="s">
        <v>115</v>
      </c>
      <c r="C839" s="3" t="s">
        <v>116</v>
      </c>
      <c r="D839" s="3" t="s">
        <v>41</v>
      </c>
      <c r="E839" s="3" t="s">
        <v>992</v>
      </c>
      <c r="F839" s="3" t="s">
        <v>72</v>
      </c>
      <c r="G839" s="2">
        <v>44.63</v>
      </c>
      <c r="H839" s="2">
        <v>6</v>
      </c>
      <c r="I839" s="2">
        <v>13.388999999999999</v>
      </c>
      <c r="J839" s="2">
        <v>281.16899999999998</v>
      </c>
      <c r="K839" s="5">
        <v>43467</v>
      </c>
      <c r="L839" s="4">
        <v>0.83888888888888891</v>
      </c>
      <c r="M839" s="3" t="s">
        <v>59</v>
      </c>
      <c r="N839" s="2">
        <v>267.77999999999997</v>
      </c>
      <c r="O839" s="2">
        <v>4.7619047620000003</v>
      </c>
      <c r="P839" s="2">
        <v>13.388999999999999</v>
      </c>
      <c r="Q839" s="2">
        <v>5.0999999999999996</v>
      </c>
      <c r="R839" s="3" t="str">
        <f t="shared" si="28"/>
        <v>January</v>
      </c>
      <c r="S839" s="3">
        <f t="shared" si="27"/>
        <v>1</v>
      </c>
      <c r="T839" s="3" t="str">
        <f>IF(tbl_sales[[#This Row],[Sales]]&gt;=500,"High Value","Standard")</f>
        <v>Standard</v>
      </c>
      <c r="U839" s="1" t="str">
        <f>IF(tbl_sales[[#This Row],[Order Size]]="High Value","High Value Order","Standard Order")</f>
        <v>Standard Order</v>
      </c>
      <c r="V839" s="1"/>
      <c r="W839" s="17" t="s">
        <v>37</v>
      </c>
      <c r="X839" s="17"/>
      <c r="Y839" s="6"/>
      <c r="Z839" s="1"/>
    </row>
    <row r="840" spans="1:26">
      <c r="A840" s="3" t="s">
        <v>4679</v>
      </c>
      <c r="B840" s="3" t="s">
        <v>39</v>
      </c>
      <c r="C840" s="3" t="s">
        <v>40</v>
      </c>
      <c r="D840" s="3" t="s">
        <v>41</v>
      </c>
      <c r="E840" s="3" t="s">
        <v>992</v>
      </c>
      <c r="F840" s="3" t="s">
        <v>42</v>
      </c>
      <c r="G840" s="2">
        <v>55.87</v>
      </c>
      <c r="H840" s="2">
        <v>10</v>
      </c>
      <c r="I840" s="2">
        <v>27.934999999999999</v>
      </c>
      <c r="J840" s="2">
        <v>586.63499999999999</v>
      </c>
      <c r="K840" s="5">
        <v>43480</v>
      </c>
      <c r="L840" s="4">
        <v>0.62569444444444444</v>
      </c>
      <c r="M840" s="3" t="s">
        <v>49</v>
      </c>
      <c r="N840" s="2">
        <v>558.70000000000005</v>
      </c>
      <c r="O840" s="2">
        <v>4.7619047620000003</v>
      </c>
      <c r="P840" s="2">
        <v>27.934999999999999</v>
      </c>
      <c r="Q840" s="2">
        <v>5.8</v>
      </c>
      <c r="R840" s="3" t="str">
        <f t="shared" si="28"/>
        <v>January</v>
      </c>
      <c r="S840" s="3">
        <f t="shared" si="27"/>
        <v>1</v>
      </c>
      <c r="T840" s="3" t="str">
        <f>IF(tbl_sales[[#This Row],[Sales]]&gt;=500,"High Value","Standard")</f>
        <v>High Value</v>
      </c>
      <c r="U840" s="1" t="str">
        <f>IF(tbl_sales[[#This Row],[Order Size]]="High Value","High Value Order","Standard Order")</f>
        <v>High Value Order</v>
      </c>
      <c r="V840" s="1"/>
      <c r="W840" s="17" t="s">
        <v>37</v>
      </c>
      <c r="X840" s="17"/>
      <c r="Y840" s="6"/>
      <c r="Z840" s="1"/>
    </row>
    <row r="841" spans="1:26">
      <c r="A841" s="3" t="s">
        <v>4684</v>
      </c>
      <c r="B841" s="3" t="s">
        <v>39</v>
      </c>
      <c r="C841" s="3" t="s">
        <v>40</v>
      </c>
      <c r="D841" s="3" t="s">
        <v>24</v>
      </c>
      <c r="E841" s="3" t="s">
        <v>25</v>
      </c>
      <c r="F841" s="3" t="s">
        <v>72</v>
      </c>
      <c r="G841" s="2">
        <v>29.22</v>
      </c>
      <c r="H841" s="2">
        <v>6</v>
      </c>
      <c r="I841" s="2">
        <v>8.766</v>
      </c>
      <c r="J841" s="2">
        <v>184.08600000000001</v>
      </c>
      <c r="K841" s="5">
        <v>43466</v>
      </c>
      <c r="L841" s="4">
        <v>0.4861111111111111</v>
      </c>
      <c r="M841" s="3" t="s">
        <v>33</v>
      </c>
      <c r="N841" s="2">
        <v>175.32</v>
      </c>
      <c r="O841" s="2">
        <v>4.7619047620000003</v>
      </c>
      <c r="P841" s="2">
        <v>8.766</v>
      </c>
      <c r="Q841" s="2">
        <v>5</v>
      </c>
      <c r="R841" s="3" t="str">
        <f t="shared" si="28"/>
        <v>January</v>
      </c>
      <c r="S841" s="3">
        <f t="shared" si="27"/>
        <v>1</v>
      </c>
      <c r="T841" s="3" t="str">
        <f>IF(tbl_sales[[#This Row],[Sales]]&gt;=500,"High Value","Standard")</f>
        <v>Standard</v>
      </c>
      <c r="U841" s="1" t="str">
        <f>IF(tbl_sales[[#This Row],[Order Size]]="High Value","High Value Order","Standard Order")</f>
        <v>Standard Order</v>
      </c>
      <c r="V841" s="1"/>
      <c r="W841" s="17" t="s">
        <v>37</v>
      </c>
      <c r="X841" s="17"/>
      <c r="Y841" s="6"/>
      <c r="Z841" s="1"/>
    </row>
    <row r="842" spans="1:26">
      <c r="A842" s="3" t="s">
        <v>4689</v>
      </c>
      <c r="B842" s="3" t="s">
        <v>22</v>
      </c>
      <c r="C842" s="3" t="s">
        <v>23</v>
      </c>
      <c r="D842" s="3" t="s">
        <v>41</v>
      </c>
      <c r="E842" s="3" t="s">
        <v>992</v>
      </c>
      <c r="F842" s="3" t="s">
        <v>127</v>
      </c>
      <c r="G842" s="2">
        <v>51.94</v>
      </c>
      <c r="H842" s="2">
        <v>3</v>
      </c>
      <c r="I842" s="2">
        <v>7.7910000000000004</v>
      </c>
      <c r="J842" s="2">
        <v>163.61099999999999</v>
      </c>
      <c r="K842" s="5">
        <v>43511</v>
      </c>
      <c r="L842" s="4">
        <v>0.63958333333333328</v>
      </c>
      <c r="M842" s="3" t="s">
        <v>49</v>
      </c>
      <c r="N842" s="2">
        <v>155.82</v>
      </c>
      <c r="O842" s="2">
        <v>4.7619047620000003</v>
      </c>
      <c r="P842" s="2">
        <v>7.7910000000000004</v>
      </c>
      <c r="Q842" s="2">
        <v>7.9</v>
      </c>
      <c r="R842" s="3" t="str">
        <f t="shared" si="28"/>
        <v>February</v>
      </c>
      <c r="S842" s="3">
        <f t="shared" si="27"/>
        <v>2</v>
      </c>
      <c r="T842" s="3" t="str">
        <f>IF(tbl_sales[[#This Row],[Sales]]&gt;=500,"High Value","Standard")</f>
        <v>Standard</v>
      </c>
      <c r="U842" s="1" t="str">
        <f>IF(tbl_sales[[#This Row],[Order Size]]="High Value","High Value Order","Standard Order")</f>
        <v>Standard Order</v>
      </c>
      <c r="V842" s="1"/>
      <c r="W842" s="17" t="s">
        <v>37</v>
      </c>
      <c r="X842" s="17"/>
      <c r="Y842" s="6"/>
      <c r="Z842" s="1"/>
    </row>
    <row r="843" spans="1:26">
      <c r="A843" s="3" t="s">
        <v>4694</v>
      </c>
      <c r="B843" s="3" t="s">
        <v>115</v>
      </c>
      <c r="C843" s="3" t="s">
        <v>116</v>
      </c>
      <c r="D843" s="3" t="s">
        <v>41</v>
      </c>
      <c r="E843" s="3" t="s">
        <v>992</v>
      </c>
      <c r="F843" s="3" t="s">
        <v>42</v>
      </c>
      <c r="G843" s="2">
        <v>60.3</v>
      </c>
      <c r="H843" s="2">
        <v>1</v>
      </c>
      <c r="I843" s="2">
        <v>3.0150000000000001</v>
      </c>
      <c r="J843" s="2">
        <v>63.314999999999998</v>
      </c>
      <c r="K843" s="5">
        <v>43524</v>
      </c>
      <c r="L843" s="4">
        <v>0.73472222222222228</v>
      </c>
      <c r="M843" s="3" t="s">
        <v>49</v>
      </c>
      <c r="N843" s="2">
        <v>60.3</v>
      </c>
      <c r="O843" s="2">
        <v>4.7619047620000003</v>
      </c>
      <c r="P843" s="2">
        <v>3.0150000000000001</v>
      </c>
      <c r="Q843" s="2">
        <v>6</v>
      </c>
      <c r="R843" s="3" t="str">
        <f t="shared" si="28"/>
        <v>February</v>
      </c>
      <c r="S843" s="3">
        <f t="shared" si="27"/>
        <v>2</v>
      </c>
      <c r="T843" s="3" t="str">
        <f>IF(tbl_sales[[#This Row],[Sales]]&gt;=500,"High Value","Standard")</f>
        <v>Standard</v>
      </c>
      <c r="U843" s="1" t="str">
        <f>IF(tbl_sales[[#This Row],[Order Size]]="High Value","High Value Order","Standard Order")</f>
        <v>Standard Order</v>
      </c>
      <c r="V843" s="1"/>
      <c r="W843" s="17" t="s">
        <v>37</v>
      </c>
      <c r="X843" s="17"/>
      <c r="Y843" s="6"/>
      <c r="Z843" s="1"/>
    </row>
    <row r="844" spans="1:26">
      <c r="A844" s="3" t="s">
        <v>4697</v>
      </c>
      <c r="B844" s="3" t="s">
        <v>22</v>
      </c>
      <c r="C844" s="3" t="s">
        <v>23</v>
      </c>
      <c r="D844" s="3" t="s">
        <v>24</v>
      </c>
      <c r="E844" s="3" t="s">
        <v>25</v>
      </c>
      <c r="F844" s="3" t="s">
        <v>72</v>
      </c>
      <c r="G844" s="2">
        <v>39.47</v>
      </c>
      <c r="H844" s="2">
        <v>2</v>
      </c>
      <c r="I844" s="2">
        <v>3.9470000000000001</v>
      </c>
      <c r="J844" s="2">
        <v>82.887</v>
      </c>
      <c r="K844" s="5">
        <v>43526</v>
      </c>
      <c r="L844" s="4">
        <v>0.67777777777777781</v>
      </c>
      <c r="M844" s="3" t="s">
        <v>59</v>
      </c>
      <c r="N844" s="2">
        <v>78.94</v>
      </c>
      <c r="O844" s="2">
        <v>4.7619047620000003</v>
      </c>
      <c r="P844" s="2">
        <v>3.9470000000000001</v>
      </c>
      <c r="Q844" s="2">
        <v>5</v>
      </c>
      <c r="R844" s="3" t="str">
        <f t="shared" si="28"/>
        <v>March</v>
      </c>
      <c r="S844" s="3">
        <f t="shared" si="27"/>
        <v>3</v>
      </c>
      <c r="T844" s="3" t="str">
        <f>IF(tbl_sales[[#This Row],[Sales]]&gt;=500,"High Value","Standard")</f>
        <v>Standard</v>
      </c>
      <c r="U844" s="1" t="str">
        <f>IF(tbl_sales[[#This Row],[Order Size]]="High Value","High Value Order","Standard Order")</f>
        <v>Standard Order</v>
      </c>
      <c r="V844" s="1"/>
      <c r="W844" s="17" t="s">
        <v>37</v>
      </c>
      <c r="X844" s="17"/>
      <c r="Y844" s="6"/>
      <c r="Z844" s="1"/>
    </row>
    <row r="845" spans="1:26">
      <c r="A845" s="3" t="s">
        <v>4703</v>
      </c>
      <c r="B845" s="3" t="s">
        <v>39</v>
      </c>
      <c r="C845" s="3" t="s">
        <v>40</v>
      </c>
      <c r="D845" s="3" t="s">
        <v>24</v>
      </c>
      <c r="E845" s="3" t="s">
        <v>25</v>
      </c>
      <c r="F845" s="3" t="s">
        <v>117</v>
      </c>
      <c r="G845" s="2">
        <v>14.87</v>
      </c>
      <c r="H845" s="2">
        <v>2</v>
      </c>
      <c r="I845" s="2">
        <v>1.4870000000000001</v>
      </c>
      <c r="J845" s="2">
        <v>31.227</v>
      </c>
      <c r="K845" s="5">
        <v>43509</v>
      </c>
      <c r="L845" s="4">
        <v>0.76041666666666663</v>
      </c>
      <c r="M845" s="3" t="s">
        <v>59</v>
      </c>
      <c r="N845" s="2">
        <v>29.74</v>
      </c>
      <c r="O845" s="2">
        <v>4.7619047620000003</v>
      </c>
      <c r="P845" s="2">
        <v>1.4870000000000001</v>
      </c>
      <c r="Q845" s="2">
        <v>8.9</v>
      </c>
      <c r="R845" s="3" t="str">
        <f t="shared" si="28"/>
        <v>February</v>
      </c>
      <c r="S845" s="3">
        <f t="shared" si="27"/>
        <v>2</v>
      </c>
      <c r="T845" s="3" t="str">
        <f>IF(tbl_sales[[#This Row],[Sales]]&gt;=500,"High Value","Standard")</f>
        <v>Standard</v>
      </c>
      <c r="U845" s="1" t="str">
        <f>IF(tbl_sales[[#This Row],[Order Size]]="High Value","High Value Order","Standard Order")</f>
        <v>Standard Order</v>
      </c>
      <c r="V845" s="1"/>
      <c r="W845" s="17" t="s">
        <v>37</v>
      </c>
      <c r="X845" s="17"/>
      <c r="Y845" s="6"/>
      <c r="Z845" s="1"/>
    </row>
    <row r="846" spans="1:26">
      <c r="A846" s="3" t="s">
        <v>4708</v>
      </c>
      <c r="B846" s="3" t="s">
        <v>22</v>
      </c>
      <c r="C846" s="3" t="s">
        <v>23</v>
      </c>
      <c r="D846" s="3" t="s">
        <v>41</v>
      </c>
      <c r="E846" s="3" t="s">
        <v>992</v>
      </c>
      <c r="F846" s="3" t="s">
        <v>127</v>
      </c>
      <c r="G846" s="2">
        <v>21.32</v>
      </c>
      <c r="H846" s="2">
        <v>1</v>
      </c>
      <c r="I846" s="2">
        <v>1.0660000000000001</v>
      </c>
      <c r="J846" s="2">
        <v>22.385999999999999</v>
      </c>
      <c r="K846" s="5">
        <v>43491</v>
      </c>
      <c r="L846" s="4">
        <v>0.52986111111111112</v>
      </c>
      <c r="M846" s="3" t="s">
        <v>49</v>
      </c>
      <c r="N846" s="2">
        <v>21.32</v>
      </c>
      <c r="O846" s="2">
        <v>4.7619047620000003</v>
      </c>
      <c r="P846" s="2">
        <v>1.0660000000000001</v>
      </c>
      <c r="Q846" s="2">
        <v>5.9</v>
      </c>
      <c r="R846" s="3" t="str">
        <f t="shared" si="28"/>
        <v>January</v>
      </c>
      <c r="S846" s="3">
        <f t="shared" si="27"/>
        <v>1</v>
      </c>
      <c r="T846" s="3" t="str">
        <f>IF(tbl_sales[[#This Row],[Sales]]&gt;=500,"High Value","Standard")</f>
        <v>Standard</v>
      </c>
      <c r="U846" s="1" t="str">
        <f>IF(tbl_sales[[#This Row],[Order Size]]="High Value","High Value Order","Standard Order")</f>
        <v>Standard Order</v>
      </c>
      <c r="V846" s="1"/>
      <c r="W846" s="17" t="s">
        <v>37</v>
      </c>
      <c r="X846" s="17"/>
      <c r="Y846" s="6"/>
      <c r="Z846" s="1"/>
    </row>
    <row r="847" spans="1:26">
      <c r="A847" s="3" t="s">
        <v>4712</v>
      </c>
      <c r="B847" s="3" t="s">
        <v>22</v>
      </c>
      <c r="C847" s="3" t="s">
        <v>23</v>
      </c>
      <c r="D847" s="3" t="s">
        <v>24</v>
      </c>
      <c r="E847" s="3" t="s">
        <v>992</v>
      </c>
      <c r="F847" s="3" t="s">
        <v>42</v>
      </c>
      <c r="G847" s="2">
        <v>93.78</v>
      </c>
      <c r="H847" s="2">
        <v>3</v>
      </c>
      <c r="I847" s="2">
        <v>14.067</v>
      </c>
      <c r="J847" s="2">
        <v>295.40699999999998</v>
      </c>
      <c r="K847" s="5">
        <v>43495</v>
      </c>
      <c r="L847" s="4">
        <v>0.48055555555555557</v>
      </c>
      <c r="M847" s="3" t="s">
        <v>59</v>
      </c>
      <c r="N847" s="2">
        <v>281.33999999999997</v>
      </c>
      <c r="O847" s="2">
        <v>4.7619047620000003</v>
      </c>
      <c r="P847" s="2">
        <v>14.067</v>
      </c>
      <c r="Q847" s="2">
        <v>5.9</v>
      </c>
      <c r="R847" s="3" t="str">
        <f t="shared" si="28"/>
        <v>January</v>
      </c>
      <c r="S847" s="3">
        <f t="shared" si="27"/>
        <v>1</v>
      </c>
      <c r="T847" s="3" t="str">
        <f>IF(tbl_sales[[#This Row],[Sales]]&gt;=500,"High Value","Standard")</f>
        <v>Standard</v>
      </c>
      <c r="U847" s="1" t="str">
        <f>IF(tbl_sales[[#This Row],[Order Size]]="High Value","High Value Order","Standard Order")</f>
        <v>Standard Order</v>
      </c>
      <c r="V847" s="1"/>
      <c r="W847" s="17" t="s">
        <v>37</v>
      </c>
      <c r="X847" s="17"/>
      <c r="Y847" s="6"/>
      <c r="Z847" s="1"/>
    </row>
    <row r="848" spans="1:26">
      <c r="A848" s="3" t="s">
        <v>4717</v>
      </c>
      <c r="B848" s="3" t="s">
        <v>22</v>
      </c>
      <c r="C848" s="3" t="s">
        <v>23</v>
      </c>
      <c r="D848" s="3" t="s">
        <v>24</v>
      </c>
      <c r="E848" s="3" t="s">
        <v>992</v>
      </c>
      <c r="F848" s="3" t="s">
        <v>42</v>
      </c>
      <c r="G848" s="2">
        <v>73.260000000000005</v>
      </c>
      <c r="H848" s="2">
        <v>1</v>
      </c>
      <c r="I848" s="2">
        <v>3.6629999999999998</v>
      </c>
      <c r="J848" s="2">
        <v>76.923000000000002</v>
      </c>
      <c r="K848" s="5">
        <v>43492</v>
      </c>
      <c r="L848" s="4">
        <v>0.75555555555555554</v>
      </c>
      <c r="M848" s="3" t="s">
        <v>33</v>
      </c>
      <c r="N848" s="2">
        <v>73.260000000000005</v>
      </c>
      <c r="O848" s="2">
        <v>4.7619047620000003</v>
      </c>
      <c r="P848" s="2">
        <v>3.6629999999999998</v>
      </c>
      <c r="Q848" s="2">
        <v>9.6999999999999993</v>
      </c>
      <c r="R848" s="3" t="str">
        <f t="shared" si="28"/>
        <v>January</v>
      </c>
      <c r="S848" s="3">
        <f t="shared" si="27"/>
        <v>1</v>
      </c>
      <c r="T848" s="3" t="str">
        <f>IF(tbl_sales[[#This Row],[Sales]]&gt;=500,"High Value","Standard")</f>
        <v>Standard</v>
      </c>
      <c r="U848" s="1" t="str">
        <f>IF(tbl_sales[[#This Row],[Order Size]]="High Value","High Value Order","Standard Order")</f>
        <v>Standard Order</v>
      </c>
      <c r="V848" s="1"/>
      <c r="W848" s="17" t="s">
        <v>37</v>
      </c>
      <c r="X848" s="17"/>
      <c r="Y848" s="6"/>
      <c r="Z848" s="1"/>
    </row>
    <row r="849" spans="1:26">
      <c r="A849" s="3" t="s">
        <v>4721</v>
      </c>
      <c r="B849" s="3" t="s">
        <v>39</v>
      </c>
      <c r="C849" s="3" t="s">
        <v>40</v>
      </c>
      <c r="D849" s="3" t="s">
        <v>41</v>
      </c>
      <c r="E849" s="3" t="s">
        <v>25</v>
      </c>
      <c r="F849" s="3" t="s">
        <v>72</v>
      </c>
      <c r="G849" s="2">
        <v>22.38</v>
      </c>
      <c r="H849" s="2">
        <v>1</v>
      </c>
      <c r="I849" s="2">
        <v>1.119</v>
      </c>
      <c r="J849" s="2">
        <v>23.498999999999999</v>
      </c>
      <c r="K849" s="5">
        <v>43495</v>
      </c>
      <c r="L849" s="4">
        <v>0.71388888888888891</v>
      </c>
      <c r="M849" s="3" t="s">
        <v>59</v>
      </c>
      <c r="N849" s="2">
        <v>22.38</v>
      </c>
      <c r="O849" s="2">
        <v>4.7619047620000003</v>
      </c>
      <c r="P849" s="2">
        <v>1.119</v>
      </c>
      <c r="Q849" s="2">
        <v>8.6</v>
      </c>
      <c r="R849" s="3" t="str">
        <f t="shared" si="28"/>
        <v>January</v>
      </c>
      <c r="S849" s="3">
        <f t="shared" si="27"/>
        <v>1</v>
      </c>
      <c r="T849" s="3" t="str">
        <f>IF(tbl_sales[[#This Row],[Sales]]&gt;=500,"High Value","Standard")</f>
        <v>Standard</v>
      </c>
      <c r="U849" s="1" t="str">
        <f>IF(tbl_sales[[#This Row],[Order Size]]="High Value","High Value Order","Standard Order")</f>
        <v>Standard Order</v>
      </c>
      <c r="V849" s="1"/>
      <c r="W849" s="17" t="s">
        <v>37</v>
      </c>
      <c r="X849" s="17"/>
      <c r="Y849" s="6"/>
      <c r="Z849" s="1"/>
    </row>
    <row r="850" spans="1:26">
      <c r="A850" s="3" t="s">
        <v>4725</v>
      </c>
      <c r="B850" s="3" t="s">
        <v>39</v>
      </c>
      <c r="C850" s="3" t="s">
        <v>40</v>
      </c>
      <c r="D850" s="3" t="s">
        <v>24</v>
      </c>
      <c r="E850" s="3" t="s">
        <v>25</v>
      </c>
      <c r="F850" s="3" t="s">
        <v>117</v>
      </c>
      <c r="G850" s="2">
        <v>72.88</v>
      </c>
      <c r="H850" s="2">
        <v>9</v>
      </c>
      <c r="I850" s="2">
        <v>32.795999999999999</v>
      </c>
      <c r="J850" s="2">
        <v>688.71600000000001</v>
      </c>
      <c r="K850" s="5">
        <v>43473</v>
      </c>
      <c r="L850" s="4">
        <v>0.81805555555555554</v>
      </c>
      <c r="M850" s="3" t="s">
        <v>49</v>
      </c>
      <c r="N850" s="2">
        <v>655.92</v>
      </c>
      <c r="O850" s="2">
        <v>4.7619047620000003</v>
      </c>
      <c r="P850" s="2">
        <v>32.795999999999999</v>
      </c>
      <c r="Q850" s="2">
        <v>4</v>
      </c>
      <c r="R850" s="3" t="str">
        <f t="shared" si="28"/>
        <v>January</v>
      </c>
      <c r="S850" s="3">
        <f t="shared" si="27"/>
        <v>1</v>
      </c>
      <c r="T850" s="3" t="str">
        <f>IF(tbl_sales[[#This Row],[Sales]]&gt;=500,"High Value","Standard")</f>
        <v>High Value</v>
      </c>
      <c r="U850" s="1" t="str">
        <f>IF(tbl_sales[[#This Row],[Order Size]]="High Value","High Value Order","Standard Order")</f>
        <v>High Value Order</v>
      </c>
      <c r="V850" s="1"/>
      <c r="W850" s="17" t="s">
        <v>37</v>
      </c>
      <c r="X850" s="17"/>
      <c r="Y850" s="6"/>
      <c r="Z850" s="1"/>
    </row>
    <row r="851" spans="1:26">
      <c r="A851" s="3" t="s">
        <v>4729</v>
      </c>
      <c r="B851" s="3" t="s">
        <v>22</v>
      </c>
      <c r="C851" s="3" t="s">
        <v>23</v>
      </c>
      <c r="D851" s="3" t="s">
        <v>41</v>
      </c>
      <c r="E851" s="3" t="s">
        <v>25</v>
      </c>
      <c r="F851" s="3" t="s">
        <v>127</v>
      </c>
      <c r="G851" s="2">
        <v>99.1</v>
      </c>
      <c r="H851" s="2">
        <v>6</v>
      </c>
      <c r="I851" s="2">
        <v>29.73</v>
      </c>
      <c r="J851" s="2">
        <v>624.33000000000004</v>
      </c>
      <c r="K851" s="5">
        <v>43484</v>
      </c>
      <c r="L851" s="4">
        <v>0.5493055555555556</v>
      </c>
      <c r="M851" s="3" t="s">
        <v>49</v>
      </c>
      <c r="N851" s="2">
        <v>594.6</v>
      </c>
      <c r="O851" s="2">
        <v>4.7619047620000003</v>
      </c>
      <c r="P851" s="2">
        <v>29.73</v>
      </c>
      <c r="Q851" s="2">
        <v>4.2</v>
      </c>
      <c r="R851" s="3" t="str">
        <f t="shared" si="28"/>
        <v>January</v>
      </c>
      <c r="S851" s="3">
        <f t="shared" si="27"/>
        <v>1</v>
      </c>
      <c r="T851" s="3" t="str">
        <f>IF(tbl_sales[[#This Row],[Sales]]&gt;=500,"High Value","Standard")</f>
        <v>High Value</v>
      </c>
      <c r="U851" s="1" t="str">
        <f>IF(tbl_sales[[#This Row],[Order Size]]="High Value","High Value Order","Standard Order")</f>
        <v>High Value Order</v>
      </c>
      <c r="V851" s="1"/>
      <c r="W851" s="17" t="s">
        <v>37</v>
      </c>
      <c r="X851" s="17"/>
      <c r="Y851" s="6"/>
      <c r="Z851" s="1"/>
    </row>
    <row r="852" spans="1:26">
      <c r="A852" s="3" t="s">
        <v>4733</v>
      </c>
      <c r="B852" s="3" t="s">
        <v>22</v>
      </c>
      <c r="C852" s="3" t="s">
        <v>23</v>
      </c>
      <c r="D852" s="3" t="s">
        <v>41</v>
      </c>
      <c r="E852" s="3" t="s">
        <v>992</v>
      </c>
      <c r="F852" s="3" t="s">
        <v>127</v>
      </c>
      <c r="G852" s="2">
        <v>74.099999999999994</v>
      </c>
      <c r="H852" s="2">
        <v>1</v>
      </c>
      <c r="I852" s="2">
        <v>3.7050000000000001</v>
      </c>
      <c r="J852" s="2">
        <v>77.805000000000007</v>
      </c>
      <c r="K852" s="5">
        <v>43490</v>
      </c>
      <c r="L852" s="4">
        <v>0.46180555555555558</v>
      </c>
      <c r="M852" s="3" t="s">
        <v>49</v>
      </c>
      <c r="N852" s="2">
        <v>74.099999999999994</v>
      </c>
      <c r="O852" s="2">
        <v>4.7619047620000003</v>
      </c>
      <c r="P852" s="2">
        <v>3.7050000000000001</v>
      </c>
      <c r="Q852" s="2">
        <v>9.1999999999999993</v>
      </c>
      <c r="R852" s="3" t="str">
        <f t="shared" si="28"/>
        <v>January</v>
      </c>
      <c r="S852" s="3">
        <f t="shared" si="27"/>
        <v>1</v>
      </c>
      <c r="T852" s="3" t="str">
        <f>IF(tbl_sales[[#This Row],[Sales]]&gt;=500,"High Value","Standard")</f>
        <v>Standard</v>
      </c>
      <c r="U852" s="1" t="str">
        <f>IF(tbl_sales[[#This Row],[Order Size]]="High Value","High Value Order","Standard Order")</f>
        <v>Standard Order</v>
      </c>
      <c r="V852" s="1"/>
      <c r="W852" s="17" t="s">
        <v>37</v>
      </c>
      <c r="X852" s="17"/>
      <c r="Y852" s="6"/>
      <c r="Z852" s="1"/>
    </row>
    <row r="853" spans="1:26">
      <c r="A853" s="3" t="s">
        <v>4738</v>
      </c>
      <c r="B853" s="3" t="s">
        <v>22</v>
      </c>
      <c r="C853" s="3" t="s">
        <v>23</v>
      </c>
      <c r="D853" s="3" t="s">
        <v>41</v>
      </c>
      <c r="E853" s="3" t="s">
        <v>25</v>
      </c>
      <c r="F853" s="3" t="s">
        <v>127</v>
      </c>
      <c r="G853" s="2">
        <v>98.48</v>
      </c>
      <c r="H853" s="2">
        <v>2</v>
      </c>
      <c r="I853" s="2">
        <v>9.8480000000000008</v>
      </c>
      <c r="J853" s="2">
        <v>206.80799999999999</v>
      </c>
      <c r="K853" s="5">
        <v>43515</v>
      </c>
      <c r="L853" s="4">
        <v>0.42499999999999999</v>
      </c>
      <c r="M853" s="3" t="s">
        <v>33</v>
      </c>
      <c r="N853" s="2">
        <v>196.96</v>
      </c>
      <c r="O853" s="2">
        <v>4.7619047620000003</v>
      </c>
      <c r="P853" s="2">
        <v>9.8480000000000008</v>
      </c>
      <c r="Q853" s="2">
        <v>9.1999999999999993</v>
      </c>
      <c r="R853" s="3" t="str">
        <f t="shared" si="28"/>
        <v>February</v>
      </c>
      <c r="S853" s="3">
        <f t="shared" si="27"/>
        <v>2</v>
      </c>
      <c r="T853" s="3" t="str">
        <f>IF(tbl_sales[[#This Row],[Sales]]&gt;=500,"High Value","Standard")</f>
        <v>Standard</v>
      </c>
      <c r="U853" s="1" t="str">
        <f>IF(tbl_sales[[#This Row],[Order Size]]="High Value","High Value Order","Standard Order")</f>
        <v>Standard Order</v>
      </c>
      <c r="V853" s="1"/>
      <c r="W853" s="17" t="s">
        <v>37</v>
      </c>
      <c r="X853" s="17"/>
      <c r="Y853" s="6"/>
      <c r="Z853" s="1"/>
    </row>
    <row r="854" spans="1:26">
      <c r="A854" s="3" t="s">
        <v>4743</v>
      </c>
      <c r="B854" s="3" t="s">
        <v>39</v>
      </c>
      <c r="C854" s="3" t="s">
        <v>40</v>
      </c>
      <c r="D854" s="3" t="s">
        <v>41</v>
      </c>
      <c r="E854" s="3" t="s">
        <v>992</v>
      </c>
      <c r="F854" s="3" t="s">
        <v>26</v>
      </c>
      <c r="G854" s="2">
        <v>53.19</v>
      </c>
      <c r="H854" s="2">
        <v>7</v>
      </c>
      <c r="I854" s="2">
        <v>18.616499999999998</v>
      </c>
      <c r="J854" s="2">
        <v>390.94650000000001</v>
      </c>
      <c r="K854" s="5">
        <v>43479</v>
      </c>
      <c r="L854" s="4">
        <v>0.65416666666666667</v>
      </c>
      <c r="M854" s="3" t="s">
        <v>33</v>
      </c>
      <c r="N854" s="2">
        <v>372.33</v>
      </c>
      <c r="O854" s="2">
        <v>4.7619047620000003</v>
      </c>
      <c r="P854" s="2">
        <v>18.616499999999998</v>
      </c>
      <c r="Q854" s="2">
        <v>5</v>
      </c>
      <c r="R854" s="3" t="str">
        <f t="shared" si="28"/>
        <v>January</v>
      </c>
      <c r="S854" s="3">
        <f t="shared" si="27"/>
        <v>1</v>
      </c>
      <c r="T854" s="3" t="str">
        <f>IF(tbl_sales[[#This Row],[Sales]]&gt;=500,"High Value","Standard")</f>
        <v>Standard</v>
      </c>
      <c r="U854" s="1" t="str">
        <f>IF(tbl_sales[[#This Row],[Order Size]]="High Value","High Value Order","Standard Order")</f>
        <v>Standard Order</v>
      </c>
      <c r="V854" s="1"/>
      <c r="W854" s="17" t="s">
        <v>37</v>
      </c>
      <c r="X854" s="17"/>
      <c r="Y854" s="6"/>
      <c r="Z854" s="1"/>
    </row>
    <row r="855" spans="1:26">
      <c r="A855" s="3" t="s">
        <v>4748</v>
      </c>
      <c r="B855" s="3" t="s">
        <v>115</v>
      </c>
      <c r="C855" s="3" t="s">
        <v>116</v>
      </c>
      <c r="D855" s="3" t="s">
        <v>41</v>
      </c>
      <c r="E855" s="3" t="s">
        <v>25</v>
      </c>
      <c r="F855" s="3" t="s">
        <v>42</v>
      </c>
      <c r="G855" s="2">
        <v>52.79</v>
      </c>
      <c r="H855" s="2">
        <v>10</v>
      </c>
      <c r="I855" s="2">
        <v>26.395</v>
      </c>
      <c r="J855" s="2">
        <v>554.29499999999996</v>
      </c>
      <c r="K855" s="5">
        <v>43521</v>
      </c>
      <c r="L855" s="4">
        <v>0.49861111111111112</v>
      </c>
      <c r="M855" s="3" t="s">
        <v>33</v>
      </c>
      <c r="N855" s="2">
        <v>527.9</v>
      </c>
      <c r="O855" s="2">
        <v>4.7619047620000003</v>
      </c>
      <c r="P855" s="2">
        <v>26.395</v>
      </c>
      <c r="Q855" s="2">
        <v>10</v>
      </c>
      <c r="R855" s="3" t="str">
        <f t="shared" si="28"/>
        <v>February</v>
      </c>
      <c r="S855" s="3">
        <f t="shared" si="27"/>
        <v>2</v>
      </c>
      <c r="T855" s="3" t="str">
        <f>IF(tbl_sales[[#This Row],[Sales]]&gt;=500,"High Value","Standard")</f>
        <v>High Value</v>
      </c>
      <c r="U855" s="1" t="str">
        <f>IF(tbl_sales[[#This Row],[Order Size]]="High Value","High Value Order","Standard Order")</f>
        <v>High Value Order</v>
      </c>
      <c r="V855" s="1"/>
      <c r="W855" s="17" t="s">
        <v>37</v>
      </c>
      <c r="X855" s="17"/>
      <c r="Y855" s="6"/>
      <c r="Z855" s="1"/>
    </row>
    <row r="856" spans="1:26">
      <c r="A856" s="3" t="s">
        <v>4753</v>
      </c>
      <c r="B856" s="3" t="s">
        <v>22</v>
      </c>
      <c r="C856" s="3" t="s">
        <v>23</v>
      </c>
      <c r="D856" s="3" t="s">
        <v>24</v>
      </c>
      <c r="E856" s="3" t="s">
        <v>25</v>
      </c>
      <c r="F856" s="3" t="s">
        <v>26</v>
      </c>
      <c r="G856" s="2">
        <v>95.95</v>
      </c>
      <c r="H856" s="2">
        <v>5</v>
      </c>
      <c r="I856" s="2">
        <v>23.987500000000001</v>
      </c>
      <c r="J856" s="2">
        <v>503.73750000000001</v>
      </c>
      <c r="K856" s="5">
        <v>43488</v>
      </c>
      <c r="L856" s="4">
        <v>0.59791666666666665</v>
      </c>
      <c r="M856" s="3" t="s">
        <v>33</v>
      </c>
      <c r="N856" s="2">
        <v>479.75</v>
      </c>
      <c r="O856" s="2">
        <v>4.7619047620000003</v>
      </c>
      <c r="P856" s="2">
        <v>23.987500000000001</v>
      </c>
      <c r="Q856" s="2">
        <v>8.8000000000000007</v>
      </c>
      <c r="R856" s="3" t="str">
        <f t="shared" si="28"/>
        <v>January</v>
      </c>
      <c r="S856" s="3">
        <f t="shared" si="27"/>
        <v>1</v>
      </c>
      <c r="T856" s="3" t="str">
        <f>IF(tbl_sales[[#This Row],[Sales]]&gt;=500,"High Value","Standard")</f>
        <v>High Value</v>
      </c>
      <c r="U856" s="1" t="str">
        <f>IF(tbl_sales[[#This Row],[Order Size]]="High Value","High Value Order","Standard Order")</f>
        <v>High Value Order</v>
      </c>
      <c r="V856" s="1"/>
      <c r="W856" s="17" t="s">
        <v>37</v>
      </c>
      <c r="X856" s="17"/>
      <c r="Y856" s="6"/>
      <c r="Z856" s="1"/>
    </row>
    <row r="857" spans="1:26">
      <c r="A857" s="3" t="s">
        <v>4758</v>
      </c>
      <c r="B857" s="3" t="s">
        <v>115</v>
      </c>
      <c r="C857" s="3" t="s">
        <v>116</v>
      </c>
      <c r="D857" s="3" t="s">
        <v>41</v>
      </c>
      <c r="E857" s="3" t="s">
        <v>25</v>
      </c>
      <c r="F857" s="3" t="s">
        <v>127</v>
      </c>
      <c r="G857" s="2">
        <v>36.51</v>
      </c>
      <c r="H857" s="2">
        <v>9</v>
      </c>
      <c r="I857" s="2">
        <v>16.429500000000001</v>
      </c>
      <c r="J857" s="2">
        <v>345.01949999999999</v>
      </c>
      <c r="K857" s="5">
        <v>43512</v>
      </c>
      <c r="L857" s="4">
        <v>0.45277777777777778</v>
      </c>
      <c r="M857" s="3" t="s">
        <v>49</v>
      </c>
      <c r="N857" s="2">
        <v>328.59</v>
      </c>
      <c r="O857" s="2">
        <v>4.7619047620000003</v>
      </c>
      <c r="P857" s="2">
        <v>16.429500000000001</v>
      </c>
      <c r="Q857" s="2">
        <v>4.2</v>
      </c>
      <c r="R857" s="3" t="str">
        <f t="shared" si="28"/>
        <v>February</v>
      </c>
      <c r="S857" s="3">
        <f t="shared" si="27"/>
        <v>2</v>
      </c>
      <c r="T857" s="3" t="str">
        <f>IF(tbl_sales[[#This Row],[Sales]]&gt;=500,"High Value","Standard")</f>
        <v>Standard</v>
      </c>
      <c r="U857" s="1" t="str">
        <f>IF(tbl_sales[[#This Row],[Order Size]]="High Value","High Value Order","Standard Order")</f>
        <v>Standard Order</v>
      </c>
      <c r="V857" s="1"/>
      <c r="W857" s="17" t="s">
        <v>37</v>
      </c>
      <c r="X857" s="17"/>
      <c r="Y857" s="6"/>
      <c r="Z857" s="1"/>
    </row>
    <row r="858" spans="1:26">
      <c r="A858" s="3" t="s">
        <v>4763</v>
      </c>
      <c r="B858" s="3" t="s">
        <v>115</v>
      </c>
      <c r="C858" s="3" t="s">
        <v>116</v>
      </c>
      <c r="D858" s="3" t="s">
        <v>41</v>
      </c>
      <c r="E858" s="3" t="s">
        <v>992</v>
      </c>
      <c r="F858" s="3" t="s">
        <v>117</v>
      </c>
      <c r="G858" s="2">
        <v>21.12</v>
      </c>
      <c r="H858" s="2">
        <v>8</v>
      </c>
      <c r="I858" s="2">
        <v>8.4480000000000004</v>
      </c>
      <c r="J858" s="2">
        <v>177.40799999999999</v>
      </c>
      <c r="K858" s="5">
        <v>43466</v>
      </c>
      <c r="L858" s="4">
        <v>0.81319444444444444</v>
      </c>
      <c r="M858" s="3" t="s">
        <v>49</v>
      </c>
      <c r="N858" s="2">
        <v>168.96</v>
      </c>
      <c r="O858" s="2">
        <v>4.7619047620000003</v>
      </c>
      <c r="P858" s="2">
        <v>8.4480000000000004</v>
      </c>
      <c r="Q858" s="2">
        <v>6.3</v>
      </c>
      <c r="R858" s="3" t="str">
        <f t="shared" si="28"/>
        <v>January</v>
      </c>
      <c r="S858" s="3">
        <f t="shared" si="27"/>
        <v>1</v>
      </c>
      <c r="T858" s="3" t="str">
        <f>IF(tbl_sales[[#This Row],[Sales]]&gt;=500,"High Value","Standard")</f>
        <v>Standard</v>
      </c>
      <c r="U858" s="1" t="str">
        <f>IF(tbl_sales[[#This Row],[Order Size]]="High Value","High Value Order","Standard Order")</f>
        <v>Standard Order</v>
      </c>
      <c r="V858" s="1"/>
      <c r="W858" s="17" t="s">
        <v>37</v>
      </c>
      <c r="X858" s="17"/>
      <c r="Y858" s="6"/>
      <c r="Z858" s="1"/>
    </row>
    <row r="859" spans="1:26">
      <c r="A859" s="3" t="s">
        <v>4768</v>
      </c>
      <c r="B859" s="3" t="s">
        <v>22</v>
      </c>
      <c r="C859" s="3" t="s">
        <v>23</v>
      </c>
      <c r="D859" s="3" t="s">
        <v>24</v>
      </c>
      <c r="E859" s="3" t="s">
        <v>25</v>
      </c>
      <c r="F859" s="3" t="s">
        <v>53</v>
      </c>
      <c r="G859" s="2">
        <v>28.31</v>
      </c>
      <c r="H859" s="2">
        <v>4</v>
      </c>
      <c r="I859" s="2">
        <v>5.6619999999999999</v>
      </c>
      <c r="J859" s="2">
        <v>118.902</v>
      </c>
      <c r="K859" s="5">
        <v>43531</v>
      </c>
      <c r="L859" s="4">
        <v>0.77430555555555558</v>
      </c>
      <c r="M859" s="3" t="s">
        <v>49</v>
      </c>
      <c r="N859" s="2">
        <v>113.24</v>
      </c>
      <c r="O859" s="2">
        <v>4.7619047620000003</v>
      </c>
      <c r="P859" s="2">
        <v>5.6619999999999999</v>
      </c>
      <c r="Q859" s="2">
        <v>8.1999999999999993</v>
      </c>
      <c r="R859" s="3" t="str">
        <f t="shared" si="28"/>
        <v>March</v>
      </c>
      <c r="S859" s="3">
        <f t="shared" si="27"/>
        <v>3</v>
      </c>
      <c r="T859" s="3" t="str">
        <f>IF(tbl_sales[[#This Row],[Sales]]&gt;=500,"High Value","Standard")</f>
        <v>Standard</v>
      </c>
      <c r="U859" s="1" t="str">
        <f>IF(tbl_sales[[#This Row],[Order Size]]="High Value","High Value Order","Standard Order")</f>
        <v>Standard Order</v>
      </c>
      <c r="V859" s="1"/>
      <c r="W859" s="17" t="s">
        <v>37</v>
      </c>
      <c r="X859" s="17"/>
      <c r="Y859" s="6"/>
      <c r="Z859" s="1"/>
    </row>
    <row r="860" spans="1:26">
      <c r="A860" s="3" t="s">
        <v>4774</v>
      </c>
      <c r="B860" s="3" t="s">
        <v>115</v>
      </c>
      <c r="C860" s="3" t="s">
        <v>116</v>
      </c>
      <c r="D860" s="3" t="s">
        <v>41</v>
      </c>
      <c r="E860" s="3" t="s">
        <v>992</v>
      </c>
      <c r="F860" s="3" t="s">
        <v>26</v>
      </c>
      <c r="G860" s="2">
        <v>57.59</v>
      </c>
      <c r="H860" s="2">
        <v>6</v>
      </c>
      <c r="I860" s="2">
        <v>17.277000000000001</v>
      </c>
      <c r="J860" s="2">
        <v>362.81700000000001</v>
      </c>
      <c r="K860" s="5">
        <v>43511</v>
      </c>
      <c r="L860" s="4">
        <v>0.57708333333333328</v>
      </c>
      <c r="M860" s="3" t="s">
        <v>49</v>
      </c>
      <c r="N860" s="2">
        <v>345.54</v>
      </c>
      <c r="O860" s="2">
        <v>4.7619047620000003</v>
      </c>
      <c r="P860" s="2">
        <v>17.277000000000001</v>
      </c>
      <c r="Q860" s="2">
        <v>5.0999999999999996</v>
      </c>
      <c r="R860" s="3" t="str">
        <f t="shared" si="28"/>
        <v>February</v>
      </c>
      <c r="S860" s="3">
        <f t="shared" si="27"/>
        <v>2</v>
      </c>
      <c r="T860" s="3" t="str">
        <f>IF(tbl_sales[[#This Row],[Sales]]&gt;=500,"High Value","Standard")</f>
        <v>Standard</v>
      </c>
      <c r="U860" s="1" t="str">
        <f>IF(tbl_sales[[#This Row],[Order Size]]="High Value","High Value Order","Standard Order")</f>
        <v>Standard Order</v>
      </c>
      <c r="V860" s="1"/>
      <c r="W860" s="17" t="s">
        <v>37</v>
      </c>
      <c r="X860" s="17"/>
      <c r="Y860" s="6"/>
      <c r="Z860" s="1"/>
    </row>
    <row r="861" spans="1:26">
      <c r="A861" s="3" t="s">
        <v>4780</v>
      </c>
      <c r="B861" s="3" t="s">
        <v>22</v>
      </c>
      <c r="C861" s="3" t="s">
        <v>23</v>
      </c>
      <c r="D861" s="3" t="s">
        <v>24</v>
      </c>
      <c r="E861" s="3" t="s">
        <v>25</v>
      </c>
      <c r="F861" s="3" t="s">
        <v>117</v>
      </c>
      <c r="G861" s="2">
        <v>47.63</v>
      </c>
      <c r="H861" s="2">
        <v>9</v>
      </c>
      <c r="I861" s="2">
        <v>21.433499999999999</v>
      </c>
      <c r="J861" s="2">
        <v>450.1035</v>
      </c>
      <c r="K861" s="5">
        <v>43488</v>
      </c>
      <c r="L861" s="4">
        <v>0.52430555555555558</v>
      </c>
      <c r="M861" s="3" t="s">
        <v>49</v>
      </c>
      <c r="N861" s="2">
        <v>428.67</v>
      </c>
      <c r="O861" s="2">
        <v>4.7619047620000003</v>
      </c>
      <c r="P861" s="2">
        <v>21.433499999999999</v>
      </c>
      <c r="Q861" s="2">
        <v>5</v>
      </c>
      <c r="R861" s="3" t="str">
        <f t="shared" si="28"/>
        <v>January</v>
      </c>
      <c r="S861" s="3">
        <f t="shared" si="27"/>
        <v>1</v>
      </c>
      <c r="T861" s="3" t="str">
        <f>IF(tbl_sales[[#This Row],[Sales]]&gt;=500,"High Value","Standard")</f>
        <v>Standard</v>
      </c>
      <c r="U861" s="1" t="str">
        <f>IF(tbl_sales[[#This Row],[Order Size]]="High Value","High Value Order","Standard Order")</f>
        <v>Standard Order</v>
      </c>
      <c r="V861" s="1"/>
      <c r="W861" s="17" t="s">
        <v>37</v>
      </c>
      <c r="X861" s="17"/>
      <c r="Y861" s="6"/>
      <c r="Z861" s="1"/>
    </row>
    <row r="862" spans="1:26">
      <c r="A862" s="3" t="s">
        <v>4786</v>
      </c>
      <c r="B862" s="3" t="s">
        <v>39</v>
      </c>
      <c r="C862" s="3" t="s">
        <v>40</v>
      </c>
      <c r="D862" s="3" t="s">
        <v>24</v>
      </c>
      <c r="E862" s="3" t="s">
        <v>25</v>
      </c>
      <c r="F862" s="3" t="s">
        <v>53</v>
      </c>
      <c r="G862" s="2">
        <v>86.27</v>
      </c>
      <c r="H862" s="2">
        <v>1</v>
      </c>
      <c r="I862" s="2">
        <v>4.3135000000000003</v>
      </c>
      <c r="J862" s="2">
        <v>90.583500000000001</v>
      </c>
      <c r="K862" s="5">
        <v>43516</v>
      </c>
      <c r="L862" s="4">
        <v>0.55833333333333335</v>
      </c>
      <c r="M862" s="3" t="s">
        <v>33</v>
      </c>
      <c r="N862" s="2">
        <v>86.27</v>
      </c>
      <c r="O862" s="2">
        <v>4.7619047620000003</v>
      </c>
      <c r="P862" s="2">
        <v>4.3135000000000003</v>
      </c>
      <c r="Q862" s="2">
        <v>7</v>
      </c>
      <c r="R862" s="3" t="str">
        <f t="shared" si="28"/>
        <v>February</v>
      </c>
      <c r="S862" s="3">
        <f t="shared" si="27"/>
        <v>2</v>
      </c>
      <c r="T862" s="3" t="str">
        <f>IF(tbl_sales[[#This Row],[Sales]]&gt;=500,"High Value","Standard")</f>
        <v>Standard</v>
      </c>
      <c r="U862" s="1" t="str">
        <f>IF(tbl_sales[[#This Row],[Order Size]]="High Value","High Value Order","Standard Order")</f>
        <v>Standard Order</v>
      </c>
      <c r="V862" s="1"/>
      <c r="W862" s="17" t="s">
        <v>37</v>
      </c>
      <c r="X862" s="17"/>
      <c r="Y862" s="6"/>
      <c r="Z862" s="1"/>
    </row>
    <row r="863" spans="1:26">
      <c r="A863" s="3" t="s">
        <v>4790</v>
      </c>
      <c r="B863" s="3" t="s">
        <v>22</v>
      </c>
      <c r="C863" s="3" t="s">
        <v>23</v>
      </c>
      <c r="D863" s="3" t="s">
        <v>24</v>
      </c>
      <c r="E863" s="3" t="s">
        <v>992</v>
      </c>
      <c r="F863" s="3" t="s">
        <v>72</v>
      </c>
      <c r="G863" s="2">
        <v>12.76</v>
      </c>
      <c r="H863" s="2">
        <v>2</v>
      </c>
      <c r="I863" s="2">
        <v>1.276</v>
      </c>
      <c r="J863" s="2">
        <v>26.795999999999999</v>
      </c>
      <c r="K863" s="5">
        <v>43473</v>
      </c>
      <c r="L863" s="4">
        <v>0.75416666666666665</v>
      </c>
      <c r="M863" s="3" t="s">
        <v>33</v>
      </c>
      <c r="N863" s="2">
        <v>25.52</v>
      </c>
      <c r="O863" s="2">
        <v>4.7619047620000003</v>
      </c>
      <c r="P863" s="2">
        <v>1.276</v>
      </c>
      <c r="Q863" s="2">
        <v>7.8</v>
      </c>
      <c r="R863" s="3" t="str">
        <f t="shared" si="28"/>
        <v>January</v>
      </c>
      <c r="S863" s="3">
        <f t="shared" si="27"/>
        <v>1</v>
      </c>
      <c r="T863" s="3" t="str">
        <f>IF(tbl_sales[[#This Row],[Sales]]&gt;=500,"High Value","Standard")</f>
        <v>Standard</v>
      </c>
      <c r="U863" s="1" t="str">
        <f>IF(tbl_sales[[#This Row],[Order Size]]="High Value","High Value Order","Standard Order")</f>
        <v>Standard Order</v>
      </c>
      <c r="V863" s="1"/>
      <c r="W863" s="17" t="s">
        <v>37</v>
      </c>
      <c r="X863" s="17"/>
      <c r="Y863" s="6"/>
      <c r="Z863" s="1"/>
    </row>
    <row r="864" spans="1:26">
      <c r="A864" s="3" t="s">
        <v>4795</v>
      </c>
      <c r="B864" s="3" t="s">
        <v>115</v>
      </c>
      <c r="C864" s="3" t="s">
        <v>116</v>
      </c>
      <c r="D864" s="3" t="s">
        <v>41</v>
      </c>
      <c r="E864" s="3" t="s">
        <v>25</v>
      </c>
      <c r="F864" s="3" t="s">
        <v>53</v>
      </c>
      <c r="G864" s="2">
        <v>11.28</v>
      </c>
      <c r="H864" s="2">
        <v>9</v>
      </c>
      <c r="I864" s="2">
        <v>5.0759999999999996</v>
      </c>
      <c r="J864" s="2">
        <v>106.596</v>
      </c>
      <c r="K864" s="5">
        <v>43541</v>
      </c>
      <c r="L864" s="4">
        <v>0.49652777777777779</v>
      </c>
      <c r="M864" s="3" t="s">
        <v>59</v>
      </c>
      <c r="N864" s="2">
        <v>101.52</v>
      </c>
      <c r="O864" s="2">
        <v>4.7619047620000003</v>
      </c>
      <c r="P864" s="2">
        <v>5.0759999999999996</v>
      </c>
      <c r="Q864" s="2">
        <v>4.3</v>
      </c>
      <c r="R864" s="3" t="str">
        <f t="shared" si="28"/>
        <v>March</v>
      </c>
      <c r="S864" s="3">
        <f t="shared" si="27"/>
        <v>3</v>
      </c>
      <c r="T864" s="3" t="str">
        <f>IF(tbl_sales[[#This Row],[Sales]]&gt;=500,"High Value","Standard")</f>
        <v>Standard</v>
      </c>
      <c r="U864" s="1" t="str">
        <f>IF(tbl_sales[[#This Row],[Order Size]]="High Value","High Value Order","Standard Order")</f>
        <v>Standard Order</v>
      </c>
      <c r="V864" s="1"/>
      <c r="W864" s="17" t="s">
        <v>37</v>
      </c>
      <c r="X864" s="17"/>
      <c r="Y864" s="6"/>
      <c r="Z864" s="1"/>
    </row>
    <row r="865" spans="1:26">
      <c r="A865" s="3" t="s">
        <v>4800</v>
      </c>
      <c r="B865" s="3" t="s">
        <v>115</v>
      </c>
      <c r="C865" s="3" t="s">
        <v>116</v>
      </c>
      <c r="D865" s="3" t="s">
        <v>41</v>
      </c>
      <c r="E865" s="3" t="s">
        <v>25</v>
      </c>
      <c r="F865" s="3" t="s">
        <v>53</v>
      </c>
      <c r="G865" s="2">
        <v>51.07</v>
      </c>
      <c r="H865" s="2">
        <v>7</v>
      </c>
      <c r="I865" s="2">
        <v>17.874500000000001</v>
      </c>
      <c r="J865" s="2">
        <v>375.36450000000002</v>
      </c>
      <c r="K865" s="5">
        <v>43477</v>
      </c>
      <c r="L865" s="4">
        <v>0.48749999999999999</v>
      </c>
      <c r="M865" s="3" t="s">
        <v>49</v>
      </c>
      <c r="N865" s="2">
        <v>357.49</v>
      </c>
      <c r="O865" s="2">
        <v>4.7619047620000003</v>
      </c>
      <c r="P865" s="2">
        <v>17.874500000000001</v>
      </c>
      <c r="Q865" s="2">
        <v>7</v>
      </c>
      <c r="R865" s="3" t="str">
        <f t="shared" si="28"/>
        <v>January</v>
      </c>
      <c r="S865" s="3">
        <f t="shared" si="27"/>
        <v>1</v>
      </c>
      <c r="T865" s="3" t="str">
        <f>IF(tbl_sales[[#This Row],[Sales]]&gt;=500,"High Value","Standard")</f>
        <v>Standard</v>
      </c>
      <c r="U865" s="1" t="str">
        <f>IF(tbl_sales[[#This Row],[Order Size]]="High Value","High Value Order","Standard Order")</f>
        <v>Standard Order</v>
      </c>
      <c r="V865" s="1"/>
      <c r="W865" s="17" t="s">
        <v>37</v>
      </c>
      <c r="X865" s="17"/>
      <c r="Y865" s="6"/>
      <c r="Z865" s="1"/>
    </row>
    <row r="866" spans="1:26">
      <c r="A866" s="3" t="s">
        <v>4805</v>
      </c>
      <c r="B866" s="3" t="s">
        <v>22</v>
      </c>
      <c r="C866" s="3" t="s">
        <v>23</v>
      </c>
      <c r="D866" s="3" t="s">
        <v>24</v>
      </c>
      <c r="E866" s="3" t="s">
        <v>25</v>
      </c>
      <c r="F866" s="3" t="s">
        <v>42</v>
      </c>
      <c r="G866" s="2">
        <v>79.59</v>
      </c>
      <c r="H866" s="2">
        <v>3</v>
      </c>
      <c r="I866" s="2">
        <v>11.938499999999999</v>
      </c>
      <c r="J866" s="2">
        <v>250.70849999999999</v>
      </c>
      <c r="K866" s="5">
        <v>43473</v>
      </c>
      <c r="L866" s="4">
        <v>0.60416666666666663</v>
      </c>
      <c r="M866" s="3" t="s">
        <v>49</v>
      </c>
      <c r="N866" s="2">
        <v>238.77</v>
      </c>
      <c r="O866" s="2">
        <v>4.7619047620000003</v>
      </c>
      <c r="P866" s="2">
        <v>11.938499999999999</v>
      </c>
      <c r="Q866" s="2">
        <v>6.6</v>
      </c>
      <c r="R866" s="3" t="str">
        <f t="shared" si="28"/>
        <v>January</v>
      </c>
      <c r="S866" s="3">
        <f t="shared" si="27"/>
        <v>1</v>
      </c>
      <c r="T866" s="3" t="str">
        <f>IF(tbl_sales[[#This Row],[Sales]]&gt;=500,"High Value","Standard")</f>
        <v>Standard</v>
      </c>
      <c r="U866" s="1" t="str">
        <f>IF(tbl_sales[[#This Row],[Order Size]]="High Value","High Value Order","Standard Order")</f>
        <v>Standard Order</v>
      </c>
      <c r="V866" s="1"/>
      <c r="W866" s="17" t="s">
        <v>37</v>
      </c>
      <c r="X866" s="17"/>
      <c r="Y866" s="6"/>
      <c r="Z866" s="1"/>
    </row>
    <row r="867" spans="1:26">
      <c r="A867" s="3" t="s">
        <v>4810</v>
      </c>
      <c r="B867" s="3" t="s">
        <v>39</v>
      </c>
      <c r="C867" s="3" t="s">
        <v>40</v>
      </c>
      <c r="D867" s="3" t="s">
        <v>24</v>
      </c>
      <c r="E867" s="3" t="s">
        <v>992</v>
      </c>
      <c r="F867" s="3" t="s">
        <v>26</v>
      </c>
      <c r="G867" s="2">
        <v>33.81</v>
      </c>
      <c r="H867" s="2">
        <v>3</v>
      </c>
      <c r="I867" s="2">
        <v>5.0715000000000003</v>
      </c>
      <c r="J867" s="2">
        <v>106.50149999999999</v>
      </c>
      <c r="K867" s="5">
        <v>43491</v>
      </c>
      <c r="L867" s="4">
        <v>0.63263888888888886</v>
      </c>
      <c r="M867" s="3" t="s">
        <v>33</v>
      </c>
      <c r="N867" s="2">
        <v>101.43</v>
      </c>
      <c r="O867" s="2">
        <v>4.7619047620000003</v>
      </c>
      <c r="P867" s="2">
        <v>5.0715000000000003</v>
      </c>
      <c r="Q867" s="2">
        <v>7.3</v>
      </c>
      <c r="R867" s="3" t="str">
        <f t="shared" si="28"/>
        <v>January</v>
      </c>
      <c r="S867" s="3">
        <f t="shared" si="27"/>
        <v>1</v>
      </c>
      <c r="T867" s="3" t="str">
        <f>IF(tbl_sales[[#This Row],[Sales]]&gt;=500,"High Value","Standard")</f>
        <v>Standard</v>
      </c>
      <c r="U867" s="1" t="str">
        <f>IF(tbl_sales[[#This Row],[Order Size]]="High Value","High Value Order","Standard Order")</f>
        <v>Standard Order</v>
      </c>
      <c r="V867" s="1"/>
      <c r="W867" s="17" t="s">
        <v>37</v>
      </c>
      <c r="X867" s="17"/>
      <c r="Y867" s="6"/>
      <c r="Z867" s="1"/>
    </row>
    <row r="868" spans="1:26">
      <c r="A868" s="3" t="s">
        <v>4816</v>
      </c>
      <c r="B868" s="3" t="s">
        <v>115</v>
      </c>
      <c r="C868" s="3" t="s">
        <v>116</v>
      </c>
      <c r="D868" s="3" t="s">
        <v>24</v>
      </c>
      <c r="E868" s="3" t="s">
        <v>992</v>
      </c>
      <c r="F868" s="3" t="s">
        <v>72</v>
      </c>
      <c r="G868" s="2">
        <v>90.53</v>
      </c>
      <c r="H868" s="2">
        <v>8</v>
      </c>
      <c r="I868" s="2">
        <v>36.212000000000003</v>
      </c>
      <c r="J868" s="2">
        <v>760.452</v>
      </c>
      <c r="K868" s="5">
        <v>43539</v>
      </c>
      <c r="L868" s="4">
        <v>0.6166666666666667</v>
      </c>
      <c r="M868" s="3" t="s">
        <v>59</v>
      </c>
      <c r="N868" s="2">
        <v>724.24</v>
      </c>
      <c r="O868" s="2">
        <v>4.7619047620000003</v>
      </c>
      <c r="P868" s="2">
        <v>36.212000000000003</v>
      </c>
      <c r="Q868" s="2">
        <v>6.5</v>
      </c>
      <c r="R868" s="3" t="str">
        <f t="shared" si="28"/>
        <v>March</v>
      </c>
      <c r="S868" s="3">
        <f t="shared" si="27"/>
        <v>3</v>
      </c>
      <c r="T868" s="3" t="str">
        <f>IF(tbl_sales[[#This Row],[Sales]]&gt;=500,"High Value","Standard")</f>
        <v>High Value</v>
      </c>
      <c r="U868" s="1" t="str">
        <f>IF(tbl_sales[[#This Row],[Order Size]]="High Value","High Value Order","Standard Order")</f>
        <v>High Value Order</v>
      </c>
      <c r="V868" s="1"/>
      <c r="W868" s="17" t="s">
        <v>37</v>
      </c>
      <c r="X868" s="17"/>
      <c r="Y868" s="6"/>
      <c r="Z868" s="1"/>
    </row>
    <row r="869" spans="1:26">
      <c r="A869" s="3" t="s">
        <v>4822</v>
      </c>
      <c r="B869" s="3" t="s">
        <v>39</v>
      </c>
      <c r="C869" s="3" t="s">
        <v>40</v>
      </c>
      <c r="D869" s="3" t="s">
        <v>24</v>
      </c>
      <c r="E869" s="3" t="s">
        <v>25</v>
      </c>
      <c r="F869" s="3" t="s">
        <v>26</v>
      </c>
      <c r="G869" s="2">
        <v>62.82</v>
      </c>
      <c r="H869" s="2">
        <v>2</v>
      </c>
      <c r="I869" s="2">
        <v>6.282</v>
      </c>
      <c r="J869" s="2">
        <v>131.922</v>
      </c>
      <c r="K869" s="5">
        <v>43482</v>
      </c>
      <c r="L869" s="4">
        <v>0.52500000000000002</v>
      </c>
      <c r="M869" s="3" t="s">
        <v>33</v>
      </c>
      <c r="N869" s="2">
        <v>125.64</v>
      </c>
      <c r="O869" s="2">
        <v>4.7619047620000003</v>
      </c>
      <c r="P869" s="2">
        <v>6.282</v>
      </c>
      <c r="Q869" s="2">
        <v>4.9000000000000004</v>
      </c>
      <c r="R869" s="3" t="str">
        <f t="shared" si="28"/>
        <v>January</v>
      </c>
      <c r="S869" s="3">
        <f t="shared" si="27"/>
        <v>1</v>
      </c>
      <c r="T869" s="3" t="str">
        <f>IF(tbl_sales[[#This Row],[Sales]]&gt;=500,"High Value","Standard")</f>
        <v>Standard</v>
      </c>
      <c r="U869" s="1" t="str">
        <f>IF(tbl_sales[[#This Row],[Order Size]]="High Value","High Value Order","Standard Order")</f>
        <v>Standard Order</v>
      </c>
      <c r="V869" s="1"/>
      <c r="W869" s="17" t="s">
        <v>37</v>
      </c>
      <c r="X869" s="17"/>
      <c r="Y869" s="6"/>
      <c r="Z869" s="1"/>
    </row>
    <row r="870" spans="1:26">
      <c r="A870" s="3" t="s">
        <v>4828</v>
      </c>
      <c r="B870" s="3" t="s">
        <v>39</v>
      </c>
      <c r="C870" s="3" t="s">
        <v>40</v>
      </c>
      <c r="D870" s="3" t="s">
        <v>24</v>
      </c>
      <c r="E870" s="3" t="s">
        <v>992</v>
      </c>
      <c r="F870" s="3" t="s">
        <v>117</v>
      </c>
      <c r="G870" s="2">
        <v>24.31</v>
      </c>
      <c r="H870" s="2">
        <v>3</v>
      </c>
      <c r="I870" s="2">
        <v>3.6465000000000001</v>
      </c>
      <c r="J870" s="2">
        <v>76.576499999999996</v>
      </c>
      <c r="K870" s="5">
        <v>43473</v>
      </c>
      <c r="L870" s="4">
        <v>0.79791666666666672</v>
      </c>
      <c r="M870" s="3" t="s">
        <v>59</v>
      </c>
      <c r="N870" s="2">
        <v>72.930000000000007</v>
      </c>
      <c r="O870" s="2">
        <v>4.7619047620000003</v>
      </c>
      <c r="P870" s="2">
        <v>3.6465000000000001</v>
      </c>
      <c r="Q870" s="2">
        <v>4.3</v>
      </c>
      <c r="R870" s="3" t="str">
        <f t="shared" si="28"/>
        <v>January</v>
      </c>
      <c r="S870" s="3">
        <f t="shared" si="27"/>
        <v>1</v>
      </c>
      <c r="T870" s="3" t="str">
        <f>IF(tbl_sales[[#This Row],[Sales]]&gt;=500,"High Value","Standard")</f>
        <v>Standard</v>
      </c>
      <c r="U870" s="1" t="str">
        <f>IF(tbl_sales[[#This Row],[Order Size]]="High Value","High Value Order","Standard Order")</f>
        <v>Standard Order</v>
      </c>
      <c r="V870" s="1"/>
      <c r="W870" s="17" t="s">
        <v>37</v>
      </c>
      <c r="X870" s="17"/>
      <c r="Y870" s="6"/>
      <c r="Z870" s="1"/>
    </row>
    <row r="871" spans="1:26">
      <c r="A871" s="3" t="s">
        <v>4833</v>
      </c>
      <c r="B871" s="3" t="s">
        <v>22</v>
      </c>
      <c r="C871" s="3" t="s">
        <v>23</v>
      </c>
      <c r="D871" s="3" t="s">
        <v>41</v>
      </c>
      <c r="E871" s="3" t="s">
        <v>992</v>
      </c>
      <c r="F871" s="3" t="s">
        <v>72</v>
      </c>
      <c r="G871" s="2">
        <v>64.59</v>
      </c>
      <c r="H871" s="2">
        <v>4</v>
      </c>
      <c r="I871" s="2">
        <v>12.917999999999999</v>
      </c>
      <c r="J871" s="2">
        <v>271.27800000000002</v>
      </c>
      <c r="K871" s="5">
        <v>43471</v>
      </c>
      <c r="L871" s="4">
        <v>0.56597222222222221</v>
      </c>
      <c r="M871" s="3" t="s">
        <v>33</v>
      </c>
      <c r="N871" s="2">
        <v>258.36</v>
      </c>
      <c r="O871" s="2">
        <v>4.7619047620000003</v>
      </c>
      <c r="P871" s="2">
        <v>12.917999999999999</v>
      </c>
      <c r="Q871" s="2">
        <v>9.3000000000000007</v>
      </c>
      <c r="R871" s="3" t="str">
        <f t="shared" si="28"/>
        <v>January</v>
      </c>
      <c r="S871" s="3">
        <f t="shared" si="27"/>
        <v>1</v>
      </c>
      <c r="T871" s="3" t="str">
        <f>IF(tbl_sales[[#This Row],[Sales]]&gt;=500,"High Value","Standard")</f>
        <v>Standard</v>
      </c>
      <c r="U871" s="1" t="str">
        <f>IF(tbl_sales[[#This Row],[Order Size]]="High Value","High Value Order","Standard Order")</f>
        <v>Standard Order</v>
      </c>
      <c r="V871" s="1"/>
      <c r="W871" s="17" t="s">
        <v>37</v>
      </c>
      <c r="X871" s="17"/>
      <c r="Y871" s="6"/>
      <c r="Z871" s="1"/>
    </row>
    <row r="872" spans="1:26">
      <c r="A872" s="3" t="s">
        <v>4839</v>
      </c>
      <c r="B872" s="3" t="s">
        <v>22</v>
      </c>
      <c r="C872" s="3" t="s">
        <v>23</v>
      </c>
      <c r="D872" s="3" t="s">
        <v>24</v>
      </c>
      <c r="E872" s="3" t="s">
        <v>992</v>
      </c>
      <c r="F872" s="3" t="s">
        <v>117</v>
      </c>
      <c r="G872" s="2">
        <v>24.82</v>
      </c>
      <c r="H872" s="2">
        <v>7</v>
      </c>
      <c r="I872" s="2">
        <v>8.6869999999999994</v>
      </c>
      <c r="J872" s="2">
        <v>182.42699999999999</v>
      </c>
      <c r="K872" s="5">
        <v>43512</v>
      </c>
      <c r="L872" s="4">
        <v>0.43958333333333333</v>
      </c>
      <c r="M872" s="3" t="s">
        <v>59</v>
      </c>
      <c r="N872" s="2">
        <v>173.74</v>
      </c>
      <c r="O872" s="2">
        <v>4.7619047620000003</v>
      </c>
      <c r="P872" s="2">
        <v>8.6869999999999994</v>
      </c>
      <c r="Q872" s="2">
        <v>7.1</v>
      </c>
      <c r="R872" s="3" t="str">
        <f t="shared" si="28"/>
        <v>February</v>
      </c>
      <c r="S872" s="3">
        <f t="shared" si="27"/>
        <v>2</v>
      </c>
      <c r="T872" s="3" t="str">
        <f>IF(tbl_sales[[#This Row],[Sales]]&gt;=500,"High Value","Standard")</f>
        <v>Standard</v>
      </c>
      <c r="U872" s="1" t="str">
        <f>IF(tbl_sales[[#This Row],[Order Size]]="High Value","High Value Order","Standard Order")</f>
        <v>Standard Order</v>
      </c>
      <c r="V872" s="1"/>
      <c r="W872" s="17" t="s">
        <v>37</v>
      </c>
      <c r="X872" s="17"/>
      <c r="Y872" s="6"/>
      <c r="Z872" s="1"/>
    </row>
    <row r="873" spans="1:26">
      <c r="A873" s="3" t="s">
        <v>4844</v>
      </c>
      <c r="B873" s="3" t="s">
        <v>39</v>
      </c>
      <c r="C873" s="3" t="s">
        <v>40</v>
      </c>
      <c r="D873" s="3" t="s">
        <v>41</v>
      </c>
      <c r="E873" s="3" t="s">
        <v>992</v>
      </c>
      <c r="F873" s="3" t="s">
        <v>127</v>
      </c>
      <c r="G873" s="2">
        <v>56.5</v>
      </c>
      <c r="H873" s="2">
        <v>1</v>
      </c>
      <c r="I873" s="2">
        <v>2.8250000000000002</v>
      </c>
      <c r="J873" s="2">
        <v>59.325000000000003</v>
      </c>
      <c r="K873" s="5">
        <v>43537</v>
      </c>
      <c r="L873" s="4">
        <v>0.65625</v>
      </c>
      <c r="M873" s="3" t="s">
        <v>33</v>
      </c>
      <c r="N873" s="2">
        <v>56.5</v>
      </c>
      <c r="O873" s="2">
        <v>4.7619047620000003</v>
      </c>
      <c r="P873" s="2">
        <v>2.8250000000000002</v>
      </c>
      <c r="Q873" s="2">
        <v>9.6</v>
      </c>
      <c r="R873" s="3" t="str">
        <f t="shared" si="28"/>
        <v>March</v>
      </c>
      <c r="S873" s="3">
        <f t="shared" si="27"/>
        <v>3</v>
      </c>
      <c r="T873" s="3" t="str">
        <f>IF(tbl_sales[[#This Row],[Sales]]&gt;=500,"High Value","Standard")</f>
        <v>Standard</v>
      </c>
      <c r="U873" s="1" t="str">
        <f>IF(tbl_sales[[#This Row],[Order Size]]="High Value","High Value Order","Standard Order")</f>
        <v>Standard Order</v>
      </c>
      <c r="V873" s="1"/>
      <c r="W873" s="17" t="s">
        <v>37</v>
      </c>
      <c r="X873" s="17"/>
      <c r="Y873" s="6"/>
      <c r="Z873" s="1"/>
    </row>
    <row r="874" spans="1:26">
      <c r="A874" s="3" t="s">
        <v>4849</v>
      </c>
      <c r="B874" s="3" t="s">
        <v>115</v>
      </c>
      <c r="C874" s="3" t="s">
        <v>116</v>
      </c>
      <c r="D874" s="3" t="s">
        <v>24</v>
      </c>
      <c r="E874" s="3" t="s">
        <v>25</v>
      </c>
      <c r="F874" s="3" t="s">
        <v>42</v>
      </c>
      <c r="G874" s="2">
        <v>21.43</v>
      </c>
      <c r="H874" s="2">
        <v>10</v>
      </c>
      <c r="I874" s="2">
        <v>10.715</v>
      </c>
      <c r="J874" s="2">
        <v>225.01499999999999</v>
      </c>
      <c r="K874" s="5">
        <v>43493</v>
      </c>
      <c r="L874" s="4">
        <v>0.49375000000000002</v>
      </c>
      <c r="M874" s="3" t="s">
        <v>49</v>
      </c>
      <c r="N874" s="2">
        <v>214.3</v>
      </c>
      <c r="O874" s="2">
        <v>4.7619047620000003</v>
      </c>
      <c r="P874" s="2">
        <v>10.715</v>
      </c>
      <c r="Q874" s="2">
        <v>6.2</v>
      </c>
      <c r="R874" s="3" t="str">
        <f t="shared" si="28"/>
        <v>January</v>
      </c>
      <c r="S874" s="3">
        <f t="shared" si="27"/>
        <v>1</v>
      </c>
      <c r="T874" s="3" t="str">
        <f>IF(tbl_sales[[#This Row],[Sales]]&gt;=500,"High Value","Standard")</f>
        <v>Standard</v>
      </c>
      <c r="U874" s="1" t="str">
        <f>IF(tbl_sales[[#This Row],[Order Size]]="High Value","High Value Order","Standard Order")</f>
        <v>Standard Order</v>
      </c>
      <c r="V874" s="1"/>
      <c r="W874" s="17" t="s">
        <v>37</v>
      </c>
      <c r="X874" s="17"/>
      <c r="Y874" s="6"/>
      <c r="Z874" s="1"/>
    </row>
    <row r="875" spans="1:26">
      <c r="A875" s="3" t="s">
        <v>4854</v>
      </c>
      <c r="B875" s="3" t="s">
        <v>22</v>
      </c>
      <c r="C875" s="3" t="s">
        <v>23</v>
      </c>
      <c r="D875" s="3" t="s">
        <v>24</v>
      </c>
      <c r="E875" s="3" t="s">
        <v>992</v>
      </c>
      <c r="F875" s="3" t="s">
        <v>72</v>
      </c>
      <c r="G875" s="2">
        <v>89.06</v>
      </c>
      <c r="H875" s="2">
        <v>6</v>
      </c>
      <c r="I875" s="2">
        <v>26.718</v>
      </c>
      <c r="J875" s="2">
        <v>561.07799999999997</v>
      </c>
      <c r="K875" s="5">
        <v>43483</v>
      </c>
      <c r="L875" s="4">
        <v>0.72638888888888886</v>
      </c>
      <c r="M875" s="3" t="s">
        <v>49</v>
      </c>
      <c r="N875" s="2">
        <v>534.36</v>
      </c>
      <c r="O875" s="2">
        <v>4.7619047620000003</v>
      </c>
      <c r="P875" s="2">
        <v>26.718</v>
      </c>
      <c r="Q875" s="2">
        <v>9.9</v>
      </c>
      <c r="R875" s="3" t="str">
        <f t="shared" si="28"/>
        <v>January</v>
      </c>
      <c r="S875" s="3">
        <f t="shared" si="27"/>
        <v>1</v>
      </c>
      <c r="T875" s="3" t="str">
        <f>IF(tbl_sales[[#This Row],[Sales]]&gt;=500,"High Value","Standard")</f>
        <v>High Value</v>
      </c>
      <c r="U875" s="1" t="str">
        <f>IF(tbl_sales[[#This Row],[Order Size]]="High Value","High Value Order","Standard Order")</f>
        <v>High Value Order</v>
      </c>
      <c r="V875" s="1"/>
      <c r="W875" s="17" t="s">
        <v>37</v>
      </c>
      <c r="X875" s="17"/>
      <c r="Y875" s="6"/>
      <c r="Z875" s="1"/>
    </row>
    <row r="876" spans="1:26">
      <c r="A876" s="3" t="s">
        <v>4859</v>
      </c>
      <c r="B876" s="3" t="s">
        <v>22</v>
      </c>
      <c r="C876" s="3" t="s">
        <v>23</v>
      </c>
      <c r="D876" s="3" t="s">
        <v>24</v>
      </c>
      <c r="E876" s="3" t="s">
        <v>992</v>
      </c>
      <c r="F876" s="3" t="s">
        <v>53</v>
      </c>
      <c r="G876" s="2">
        <v>23.29</v>
      </c>
      <c r="H876" s="2">
        <v>4</v>
      </c>
      <c r="I876" s="2">
        <v>4.6580000000000004</v>
      </c>
      <c r="J876" s="2">
        <v>97.817999999999998</v>
      </c>
      <c r="K876" s="5">
        <v>43543</v>
      </c>
      <c r="L876" s="4">
        <v>0.49444444444444446</v>
      </c>
      <c r="M876" s="3" t="s">
        <v>59</v>
      </c>
      <c r="N876" s="2">
        <v>93.16</v>
      </c>
      <c r="O876" s="2">
        <v>4.7619047620000003</v>
      </c>
      <c r="P876" s="2">
        <v>4.6580000000000004</v>
      </c>
      <c r="Q876" s="2">
        <v>5.9</v>
      </c>
      <c r="R876" s="3" t="str">
        <f t="shared" si="28"/>
        <v>March</v>
      </c>
      <c r="S876" s="3">
        <f t="shared" si="27"/>
        <v>3</v>
      </c>
      <c r="T876" s="3" t="str">
        <f>IF(tbl_sales[[#This Row],[Sales]]&gt;=500,"High Value","Standard")</f>
        <v>Standard</v>
      </c>
      <c r="U876" s="1" t="str">
        <f>IF(tbl_sales[[#This Row],[Order Size]]="High Value","High Value Order","Standard Order")</f>
        <v>Standard Order</v>
      </c>
      <c r="V876" s="1"/>
      <c r="W876" s="17" t="s">
        <v>37</v>
      </c>
      <c r="X876" s="17"/>
      <c r="Y876" s="6"/>
      <c r="Z876" s="1"/>
    </row>
    <row r="877" spans="1:26">
      <c r="A877" s="3" t="s">
        <v>4864</v>
      </c>
      <c r="B877" s="3" t="s">
        <v>39</v>
      </c>
      <c r="C877" s="3" t="s">
        <v>40</v>
      </c>
      <c r="D877" s="3" t="s">
        <v>41</v>
      </c>
      <c r="E877" s="3" t="s">
        <v>992</v>
      </c>
      <c r="F877" s="3" t="s">
        <v>53</v>
      </c>
      <c r="G877" s="2">
        <v>65.260000000000005</v>
      </c>
      <c r="H877" s="2">
        <v>8</v>
      </c>
      <c r="I877" s="2">
        <v>26.103999999999999</v>
      </c>
      <c r="J877" s="2">
        <v>548.18399999999997</v>
      </c>
      <c r="K877" s="5">
        <v>43539</v>
      </c>
      <c r="L877" s="4">
        <v>0.58611111111111114</v>
      </c>
      <c r="M877" s="3" t="s">
        <v>33</v>
      </c>
      <c r="N877" s="2">
        <v>522.08000000000004</v>
      </c>
      <c r="O877" s="2">
        <v>4.7619047620000003</v>
      </c>
      <c r="P877" s="2">
        <v>26.103999999999999</v>
      </c>
      <c r="Q877" s="2">
        <v>6.3</v>
      </c>
      <c r="R877" s="3" t="str">
        <f t="shared" si="28"/>
        <v>March</v>
      </c>
      <c r="S877" s="3">
        <f t="shared" si="27"/>
        <v>3</v>
      </c>
      <c r="T877" s="3" t="str">
        <f>IF(tbl_sales[[#This Row],[Sales]]&gt;=500,"High Value","Standard")</f>
        <v>High Value</v>
      </c>
      <c r="U877" s="1" t="str">
        <f>IF(tbl_sales[[#This Row],[Order Size]]="High Value","High Value Order","Standard Order")</f>
        <v>High Value Order</v>
      </c>
      <c r="V877" s="1"/>
      <c r="W877" s="17" t="s">
        <v>37</v>
      </c>
      <c r="X877" s="17"/>
      <c r="Y877" s="6"/>
      <c r="Z877" s="1"/>
    </row>
    <row r="878" spans="1:26">
      <c r="A878" s="3" t="s">
        <v>4869</v>
      </c>
      <c r="B878" s="3" t="s">
        <v>39</v>
      </c>
      <c r="C878" s="3" t="s">
        <v>40</v>
      </c>
      <c r="D878" s="3" t="s">
        <v>24</v>
      </c>
      <c r="E878" s="3" t="s">
        <v>992</v>
      </c>
      <c r="F878" s="3" t="s">
        <v>127</v>
      </c>
      <c r="G878" s="2">
        <v>52.35</v>
      </c>
      <c r="H878" s="2">
        <v>1</v>
      </c>
      <c r="I878" s="2">
        <v>2.6175000000000002</v>
      </c>
      <c r="J878" s="2">
        <v>54.967500000000001</v>
      </c>
      <c r="K878" s="5">
        <v>43508</v>
      </c>
      <c r="L878" s="4">
        <v>0.74236111111111114</v>
      </c>
      <c r="M878" s="3" t="s">
        <v>49</v>
      </c>
      <c r="N878" s="2">
        <v>52.35</v>
      </c>
      <c r="O878" s="2">
        <v>4.7619047620000003</v>
      </c>
      <c r="P878" s="2">
        <v>2.6175000000000002</v>
      </c>
      <c r="Q878" s="2">
        <v>4</v>
      </c>
      <c r="R878" s="3" t="str">
        <f t="shared" si="28"/>
        <v>February</v>
      </c>
      <c r="S878" s="3">
        <f t="shared" si="27"/>
        <v>2</v>
      </c>
      <c r="T878" s="3" t="str">
        <f>IF(tbl_sales[[#This Row],[Sales]]&gt;=500,"High Value","Standard")</f>
        <v>Standard</v>
      </c>
      <c r="U878" s="1" t="str">
        <f>IF(tbl_sales[[#This Row],[Order Size]]="High Value","High Value Order","Standard Order")</f>
        <v>Standard Order</v>
      </c>
      <c r="V878" s="1"/>
      <c r="W878" s="17" t="s">
        <v>37</v>
      </c>
      <c r="X878" s="17"/>
      <c r="Y878" s="6"/>
      <c r="Z878" s="1"/>
    </row>
    <row r="879" spans="1:26">
      <c r="A879" s="3" t="s">
        <v>4873</v>
      </c>
      <c r="B879" s="3" t="s">
        <v>115</v>
      </c>
      <c r="C879" s="3" t="s">
        <v>116</v>
      </c>
      <c r="D879" s="3" t="s">
        <v>24</v>
      </c>
      <c r="E879" s="3" t="s">
        <v>992</v>
      </c>
      <c r="F879" s="3" t="s">
        <v>42</v>
      </c>
      <c r="G879" s="2">
        <v>39.75</v>
      </c>
      <c r="H879" s="2">
        <v>1</v>
      </c>
      <c r="I879" s="2">
        <v>1.9875</v>
      </c>
      <c r="J879" s="2">
        <v>41.737499999999997</v>
      </c>
      <c r="K879" s="5">
        <v>43521</v>
      </c>
      <c r="L879" s="4">
        <v>0.84652777777777777</v>
      </c>
      <c r="M879" s="3" t="s">
        <v>49</v>
      </c>
      <c r="N879" s="2">
        <v>39.75</v>
      </c>
      <c r="O879" s="2">
        <v>4.7619047620000003</v>
      </c>
      <c r="P879" s="2">
        <v>1.9875</v>
      </c>
      <c r="Q879" s="2">
        <v>6.1</v>
      </c>
      <c r="R879" s="3" t="str">
        <f t="shared" si="28"/>
        <v>February</v>
      </c>
      <c r="S879" s="3">
        <f t="shared" si="27"/>
        <v>2</v>
      </c>
      <c r="T879" s="3" t="str">
        <f>IF(tbl_sales[[#This Row],[Sales]]&gt;=500,"High Value","Standard")</f>
        <v>Standard</v>
      </c>
      <c r="U879" s="1" t="str">
        <f>IF(tbl_sales[[#This Row],[Order Size]]="High Value","High Value Order","Standard Order")</f>
        <v>Standard Order</v>
      </c>
      <c r="V879" s="1"/>
      <c r="W879" s="17" t="s">
        <v>37</v>
      </c>
      <c r="X879" s="17"/>
      <c r="Y879" s="6"/>
      <c r="Z879" s="1"/>
    </row>
    <row r="880" spans="1:26">
      <c r="A880" s="3" t="s">
        <v>4876</v>
      </c>
      <c r="B880" s="3" t="s">
        <v>22</v>
      </c>
      <c r="C880" s="3" t="s">
        <v>23</v>
      </c>
      <c r="D880" s="3" t="s">
        <v>41</v>
      </c>
      <c r="E880" s="3" t="s">
        <v>25</v>
      </c>
      <c r="F880" s="3" t="s">
        <v>42</v>
      </c>
      <c r="G880" s="2">
        <v>90.02</v>
      </c>
      <c r="H880" s="2">
        <v>8</v>
      </c>
      <c r="I880" s="2">
        <v>36.008000000000003</v>
      </c>
      <c r="J880" s="2">
        <v>756.16800000000001</v>
      </c>
      <c r="K880" s="5">
        <v>43545</v>
      </c>
      <c r="L880" s="4">
        <v>0.67222222222222228</v>
      </c>
      <c r="M880" s="3" t="s">
        <v>59</v>
      </c>
      <c r="N880" s="2">
        <v>720.16</v>
      </c>
      <c r="O880" s="2">
        <v>4.7619047620000003</v>
      </c>
      <c r="P880" s="2">
        <v>36.008000000000003</v>
      </c>
      <c r="Q880" s="2">
        <v>4.5</v>
      </c>
      <c r="R880" s="3" t="str">
        <f t="shared" si="28"/>
        <v>March</v>
      </c>
      <c r="S880" s="3">
        <f t="shared" si="27"/>
        <v>3</v>
      </c>
      <c r="T880" s="3" t="str">
        <f>IF(tbl_sales[[#This Row],[Sales]]&gt;=500,"High Value","Standard")</f>
        <v>High Value</v>
      </c>
      <c r="U880" s="1" t="str">
        <f>IF(tbl_sales[[#This Row],[Order Size]]="High Value","High Value Order","Standard Order")</f>
        <v>High Value Order</v>
      </c>
      <c r="V880" s="1"/>
      <c r="W880" s="17" t="s">
        <v>37</v>
      </c>
      <c r="X880" s="17"/>
      <c r="Y880" s="6"/>
      <c r="Z880" s="1"/>
    </row>
    <row r="881" spans="1:26">
      <c r="A881" s="3" t="s">
        <v>4881</v>
      </c>
      <c r="B881" s="3" t="s">
        <v>115</v>
      </c>
      <c r="C881" s="3" t="s">
        <v>116</v>
      </c>
      <c r="D881" s="3" t="s">
        <v>24</v>
      </c>
      <c r="E881" s="3" t="s">
        <v>25</v>
      </c>
      <c r="F881" s="3" t="s">
        <v>42</v>
      </c>
      <c r="G881" s="2">
        <v>12.1</v>
      </c>
      <c r="H881" s="2">
        <v>8</v>
      </c>
      <c r="I881" s="2">
        <v>4.84</v>
      </c>
      <c r="J881" s="2">
        <v>101.64</v>
      </c>
      <c r="K881" s="5">
        <v>43484</v>
      </c>
      <c r="L881" s="4">
        <v>0.4284722222222222</v>
      </c>
      <c r="M881" s="3" t="s">
        <v>33</v>
      </c>
      <c r="N881" s="2">
        <v>96.8</v>
      </c>
      <c r="O881" s="2">
        <v>4.7619047620000003</v>
      </c>
      <c r="P881" s="2">
        <v>4.84</v>
      </c>
      <c r="Q881" s="2">
        <v>8.6</v>
      </c>
      <c r="R881" s="3" t="str">
        <f t="shared" si="28"/>
        <v>January</v>
      </c>
      <c r="S881" s="3">
        <f t="shared" si="27"/>
        <v>1</v>
      </c>
      <c r="T881" s="3" t="str">
        <f>IF(tbl_sales[[#This Row],[Sales]]&gt;=500,"High Value","Standard")</f>
        <v>Standard</v>
      </c>
      <c r="U881" s="1" t="str">
        <f>IF(tbl_sales[[#This Row],[Order Size]]="High Value","High Value Order","Standard Order")</f>
        <v>Standard Order</v>
      </c>
      <c r="V881" s="1"/>
      <c r="W881" s="17" t="s">
        <v>37</v>
      </c>
      <c r="X881" s="17"/>
      <c r="Y881" s="6"/>
      <c r="Z881" s="1"/>
    </row>
    <row r="882" spans="1:26">
      <c r="A882" s="3" t="s">
        <v>4885</v>
      </c>
      <c r="B882" s="3" t="s">
        <v>115</v>
      </c>
      <c r="C882" s="3" t="s">
        <v>116</v>
      </c>
      <c r="D882" s="3" t="s">
        <v>24</v>
      </c>
      <c r="E882" s="3" t="s">
        <v>25</v>
      </c>
      <c r="F882" s="3" t="s">
        <v>117</v>
      </c>
      <c r="G882" s="2">
        <v>33.21</v>
      </c>
      <c r="H882" s="2">
        <v>10</v>
      </c>
      <c r="I882" s="2">
        <v>16.605</v>
      </c>
      <c r="J882" s="2">
        <v>348.70499999999998</v>
      </c>
      <c r="K882" s="5">
        <v>43473</v>
      </c>
      <c r="L882" s="4">
        <v>0.60069444444444442</v>
      </c>
      <c r="M882" s="3" t="s">
        <v>33</v>
      </c>
      <c r="N882" s="2">
        <v>332.1</v>
      </c>
      <c r="O882" s="2">
        <v>4.7619047620000003</v>
      </c>
      <c r="P882" s="2">
        <v>16.605</v>
      </c>
      <c r="Q882" s="2">
        <v>6</v>
      </c>
      <c r="R882" s="3" t="str">
        <f t="shared" si="28"/>
        <v>January</v>
      </c>
      <c r="S882" s="3">
        <f t="shared" si="27"/>
        <v>1</v>
      </c>
      <c r="T882" s="3" t="str">
        <f>IF(tbl_sales[[#This Row],[Sales]]&gt;=500,"High Value","Standard")</f>
        <v>Standard</v>
      </c>
      <c r="U882" s="1" t="str">
        <f>IF(tbl_sales[[#This Row],[Order Size]]="High Value","High Value Order","Standard Order")</f>
        <v>Standard Order</v>
      </c>
      <c r="V882" s="1"/>
      <c r="W882" s="17" t="s">
        <v>37</v>
      </c>
      <c r="X882" s="17"/>
      <c r="Y882" s="6"/>
      <c r="Z882" s="1"/>
    </row>
    <row r="883" spans="1:26">
      <c r="A883" s="3" t="s">
        <v>4891</v>
      </c>
      <c r="B883" s="3" t="s">
        <v>39</v>
      </c>
      <c r="C883" s="3" t="s">
        <v>40</v>
      </c>
      <c r="D883" s="3" t="s">
        <v>24</v>
      </c>
      <c r="E883" s="3" t="s">
        <v>25</v>
      </c>
      <c r="F883" s="3" t="s">
        <v>127</v>
      </c>
      <c r="G883" s="2">
        <v>10.18</v>
      </c>
      <c r="H883" s="2">
        <v>8</v>
      </c>
      <c r="I883" s="2">
        <v>4.0720000000000001</v>
      </c>
      <c r="J883" s="2">
        <v>85.512</v>
      </c>
      <c r="K883" s="5">
        <v>43554</v>
      </c>
      <c r="L883" s="4">
        <v>0.53541666666666665</v>
      </c>
      <c r="M883" s="3" t="s">
        <v>59</v>
      </c>
      <c r="N883" s="2">
        <v>81.44</v>
      </c>
      <c r="O883" s="2">
        <v>4.7619047620000003</v>
      </c>
      <c r="P883" s="2">
        <v>4.0720000000000001</v>
      </c>
      <c r="Q883" s="2">
        <v>9.5</v>
      </c>
      <c r="R883" s="3" t="str">
        <f t="shared" si="28"/>
        <v>March</v>
      </c>
      <c r="S883" s="3">
        <f t="shared" si="27"/>
        <v>3</v>
      </c>
      <c r="T883" s="3" t="str">
        <f>IF(tbl_sales[[#This Row],[Sales]]&gt;=500,"High Value","Standard")</f>
        <v>Standard</v>
      </c>
      <c r="U883" s="1" t="str">
        <f>IF(tbl_sales[[#This Row],[Order Size]]="High Value","High Value Order","Standard Order")</f>
        <v>Standard Order</v>
      </c>
      <c r="V883" s="1"/>
      <c r="W883" s="17" t="s">
        <v>37</v>
      </c>
      <c r="X883" s="17"/>
      <c r="Y883" s="6"/>
      <c r="Z883" s="1"/>
    </row>
    <row r="884" spans="1:26">
      <c r="A884" s="3" t="s">
        <v>4896</v>
      </c>
      <c r="B884" s="3" t="s">
        <v>115</v>
      </c>
      <c r="C884" s="3" t="s">
        <v>116</v>
      </c>
      <c r="D884" s="3" t="s">
        <v>24</v>
      </c>
      <c r="E884" s="3" t="s">
        <v>992</v>
      </c>
      <c r="F884" s="3" t="s">
        <v>72</v>
      </c>
      <c r="G884" s="2">
        <v>31.99</v>
      </c>
      <c r="H884" s="2">
        <v>10</v>
      </c>
      <c r="I884" s="2">
        <v>15.994999999999999</v>
      </c>
      <c r="J884" s="2">
        <v>335.89499999999998</v>
      </c>
      <c r="K884" s="5">
        <v>43516</v>
      </c>
      <c r="L884" s="4">
        <v>0.63749999999999996</v>
      </c>
      <c r="M884" s="3" t="s">
        <v>59</v>
      </c>
      <c r="N884" s="2">
        <v>319.89999999999998</v>
      </c>
      <c r="O884" s="2">
        <v>4.7619047620000003</v>
      </c>
      <c r="P884" s="2">
        <v>15.994999999999999</v>
      </c>
      <c r="Q884" s="2">
        <v>9.9</v>
      </c>
      <c r="R884" s="3" t="str">
        <f t="shared" si="28"/>
        <v>February</v>
      </c>
      <c r="S884" s="3">
        <f t="shared" si="27"/>
        <v>2</v>
      </c>
      <c r="T884" s="3" t="str">
        <f>IF(tbl_sales[[#This Row],[Sales]]&gt;=500,"High Value","Standard")</f>
        <v>Standard</v>
      </c>
      <c r="U884" s="1" t="str">
        <f>IF(tbl_sales[[#This Row],[Order Size]]="High Value","High Value Order","Standard Order")</f>
        <v>Standard Order</v>
      </c>
      <c r="V884" s="1"/>
      <c r="W884" s="17" t="s">
        <v>37</v>
      </c>
      <c r="X884" s="17"/>
      <c r="Y884" s="6"/>
      <c r="Z884" s="1"/>
    </row>
    <row r="885" spans="1:26">
      <c r="A885" s="3" t="s">
        <v>4901</v>
      </c>
      <c r="B885" s="3" t="s">
        <v>22</v>
      </c>
      <c r="C885" s="3" t="s">
        <v>23</v>
      </c>
      <c r="D885" s="3" t="s">
        <v>24</v>
      </c>
      <c r="E885" s="3" t="s">
        <v>25</v>
      </c>
      <c r="F885" s="3" t="s">
        <v>53</v>
      </c>
      <c r="G885" s="2">
        <v>34.42</v>
      </c>
      <c r="H885" s="2">
        <v>6</v>
      </c>
      <c r="I885" s="2">
        <v>10.326000000000001</v>
      </c>
      <c r="J885" s="2">
        <v>216.846</v>
      </c>
      <c r="K885" s="5">
        <v>43554</v>
      </c>
      <c r="L885" s="4">
        <v>0.53125</v>
      </c>
      <c r="M885" s="3" t="s">
        <v>33</v>
      </c>
      <c r="N885" s="2">
        <v>206.52</v>
      </c>
      <c r="O885" s="2">
        <v>4.7619047620000003</v>
      </c>
      <c r="P885" s="2">
        <v>10.326000000000001</v>
      </c>
      <c r="Q885" s="2">
        <v>7.5</v>
      </c>
      <c r="R885" s="3" t="str">
        <f t="shared" si="28"/>
        <v>March</v>
      </c>
      <c r="S885" s="3">
        <f t="shared" si="27"/>
        <v>3</v>
      </c>
      <c r="T885" s="3" t="str">
        <f>IF(tbl_sales[[#This Row],[Sales]]&gt;=500,"High Value","Standard")</f>
        <v>Standard</v>
      </c>
      <c r="U885" s="1" t="str">
        <f>IF(tbl_sales[[#This Row],[Order Size]]="High Value","High Value Order","Standard Order")</f>
        <v>Standard Order</v>
      </c>
      <c r="V885" s="1"/>
      <c r="W885" s="17" t="s">
        <v>37</v>
      </c>
      <c r="X885" s="17"/>
      <c r="Y885" s="6"/>
      <c r="Z885" s="1"/>
    </row>
    <row r="886" spans="1:26">
      <c r="A886" s="3" t="s">
        <v>4902</v>
      </c>
      <c r="B886" s="3" t="s">
        <v>22</v>
      </c>
      <c r="C886" s="3" t="s">
        <v>23</v>
      </c>
      <c r="D886" s="3" t="s">
        <v>24</v>
      </c>
      <c r="E886" s="3" t="s">
        <v>25</v>
      </c>
      <c r="F886" s="3" t="s">
        <v>117</v>
      </c>
      <c r="G886" s="2">
        <v>83.34</v>
      </c>
      <c r="H886" s="2">
        <v>2</v>
      </c>
      <c r="I886" s="2">
        <v>8.3339999999999996</v>
      </c>
      <c r="J886" s="2">
        <v>175.01400000000001</v>
      </c>
      <c r="K886" s="5">
        <v>43543</v>
      </c>
      <c r="L886" s="4">
        <v>0.56736111111111109</v>
      </c>
      <c r="M886" s="3" t="s">
        <v>49</v>
      </c>
      <c r="N886" s="2">
        <v>166.68</v>
      </c>
      <c r="O886" s="2">
        <v>4.7619047620000003</v>
      </c>
      <c r="P886" s="2">
        <v>8.3339999999999996</v>
      </c>
      <c r="Q886" s="2">
        <v>7.6</v>
      </c>
      <c r="R886" s="3" t="str">
        <f t="shared" si="28"/>
        <v>March</v>
      </c>
      <c r="S886" s="3">
        <f t="shared" si="27"/>
        <v>3</v>
      </c>
      <c r="T886" s="3" t="str">
        <f>IF(tbl_sales[[#This Row],[Sales]]&gt;=500,"High Value","Standard")</f>
        <v>Standard</v>
      </c>
      <c r="U886" s="1" t="str">
        <f>IF(tbl_sales[[#This Row],[Order Size]]="High Value","High Value Order","Standard Order")</f>
        <v>Standard Order</v>
      </c>
      <c r="V886" s="1"/>
      <c r="W886" s="17" t="s">
        <v>37</v>
      </c>
      <c r="X886" s="17"/>
      <c r="Y886" s="6"/>
      <c r="Z886" s="1"/>
    </row>
    <row r="887" spans="1:26">
      <c r="A887" s="3" t="s">
        <v>4907</v>
      </c>
      <c r="B887" s="3" t="s">
        <v>22</v>
      </c>
      <c r="C887" s="3" t="s">
        <v>23</v>
      </c>
      <c r="D887" s="3" t="s">
        <v>41</v>
      </c>
      <c r="E887" s="3" t="s">
        <v>992</v>
      </c>
      <c r="F887" s="3" t="s">
        <v>72</v>
      </c>
      <c r="G887" s="2">
        <v>45.58</v>
      </c>
      <c r="H887" s="2">
        <v>7</v>
      </c>
      <c r="I887" s="2">
        <v>15.952999999999999</v>
      </c>
      <c r="J887" s="2">
        <v>335.01299999999998</v>
      </c>
      <c r="K887" s="5">
        <v>43478</v>
      </c>
      <c r="L887" s="4">
        <v>0.41875000000000001</v>
      </c>
      <c r="M887" s="3" t="s">
        <v>49</v>
      </c>
      <c r="N887" s="2">
        <v>319.06</v>
      </c>
      <c r="O887" s="2">
        <v>4.7619047620000003</v>
      </c>
      <c r="P887" s="2">
        <v>15.952999999999999</v>
      </c>
      <c r="Q887" s="2">
        <v>5</v>
      </c>
      <c r="R887" s="3" t="str">
        <f t="shared" si="28"/>
        <v>January</v>
      </c>
      <c r="S887" s="3">
        <f t="shared" si="27"/>
        <v>1</v>
      </c>
      <c r="T887" s="3" t="str">
        <f>IF(tbl_sales[[#This Row],[Sales]]&gt;=500,"High Value","Standard")</f>
        <v>Standard</v>
      </c>
      <c r="U887" s="1" t="str">
        <f>IF(tbl_sales[[#This Row],[Order Size]]="High Value","High Value Order","Standard Order")</f>
        <v>Standard Order</v>
      </c>
      <c r="V887" s="1"/>
      <c r="W887" s="17" t="s">
        <v>37</v>
      </c>
      <c r="X887" s="17"/>
      <c r="Y887" s="6"/>
      <c r="Z887" s="1"/>
    </row>
    <row r="888" spans="1:26">
      <c r="A888" s="3" t="s">
        <v>4912</v>
      </c>
      <c r="B888" s="3" t="s">
        <v>22</v>
      </c>
      <c r="C888" s="3" t="s">
        <v>23</v>
      </c>
      <c r="D888" s="3" t="s">
        <v>24</v>
      </c>
      <c r="E888" s="3" t="s">
        <v>992</v>
      </c>
      <c r="F888" s="3" t="s">
        <v>117</v>
      </c>
      <c r="G888" s="2">
        <v>87.9</v>
      </c>
      <c r="H888" s="2">
        <v>1</v>
      </c>
      <c r="I888" s="2">
        <v>4.3949999999999996</v>
      </c>
      <c r="J888" s="2">
        <v>92.295000000000002</v>
      </c>
      <c r="K888" s="5">
        <v>43501</v>
      </c>
      <c r="L888" s="4">
        <v>0.8208333333333333</v>
      </c>
      <c r="M888" s="3" t="s">
        <v>33</v>
      </c>
      <c r="N888" s="2">
        <v>87.9</v>
      </c>
      <c r="O888" s="2">
        <v>4.7619047620000003</v>
      </c>
      <c r="P888" s="2">
        <v>4.3949999999999996</v>
      </c>
      <c r="Q888" s="2">
        <v>6.7</v>
      </c>
      <c r="R888" s="3" t="str">
        <f t="shared" si="28"/>
        <v>February</v>
      </c>
      <c r="S888" s="3">
        <f t="shared" si="27"/>
        <v>2</v>
      </c>
      <c r="T888" s="3" t="str">
        <f>IF(tbl_sales[[#This Row],[Sales]]&gt;=500,"High Value","Standard")</f>
        <v>Standard</v>
      </c>
      <c r="U888" s="1" t="str">
        <f>IF(tbl_sales[[#This Row],[Order Size]]="High Value","High Value Order","Standard Order")</f>
        <v>Standard Order</v>
      </c>
      <c r="V888" s="1"/>
      <c r="W888" s="17" t="s">
        <v>37</v>
      </c>
      <c r="X888" s="17"/>
      <c r="Y888" s="6"/>
      <c r="Z888" s="1"/>
    </row>
    <row r="889" spans="1:26">
      <c r="A889" s="3" t="s">
        <v>4916</v>
      </c>
      <c r="B889" s="3" t="s">
        <v>22</v>
      </c>
      <c r="C889" s="3" t="s">
        <v>23</v>
      </c>
      <c r="D889" s="3" t="s">
        <v>24</v>
      </c>
      <c r="E889" s="3" t="s">
        <v>25</v>
      </c>
      <c r="F889" s="3" t="s">
        <v>42</v>
      </c>
      <c r="G889" s="2">
        <v>73.47</v>
      </c>
      <c r="H889" s="2">
        <v>10</v>
      </c>
      <c r="I889" s="2">
        <v>36.734999999999999</v>
      </c>
      <c r="J889" s="2">
        <v>771.43499999999995</v>
      </c>
      <c r="K889" s="5">
        <v>43547</v>
      </c>
      <c r="L889" s="4">
        <v>0.55138888888888893</v>
      </c>
      <c r="M889" s="3" t="s">
        <v>33</v>
      </c>
      <c r="N889" s="2">
        <v>734.7</v>
      </c>
      <c r="O889" s="2">
        <v>4.7619047620000003</v>
      </c>
      <c r="P889" s="2">
        <v>36.734999999999999</v>
      </c>
      <c r="Q889" s="2">
        <v>9.5</v>
      </c>
      <c r="R889" s="3" t="str">
        <f t="shared" si="28"/>
        <v>March</v>
      </c>
      <c r="S889" s="3">
        <f t="shared" si="27"/>
        <v>3</v>
      </c>
      <c r="T889" s="3" t="str">
        <f>IF(tbl_sales[[#This Row],[Sales]]&gt;=500,"High Value","Standard")</f>
        <v>High Value</v>
      </c>
      <c r="U889" s="1" t="str">
        <f>IF(tbl_sales[[#This Row],[Order Size]]="High Value","High Value Order","Standard Order")</f>
        <v>High Value Order</v>
      </c>
      <c r="V889" s="1"/>
      <c r="W889" s="17" t="s">
        <v>37</v>
      </c>
      <c r="X889" s="17"/>
      <c r="Y889" s="6"/>
      <c r="Z889" s="1"/>
    </row>
    <row r="890" spans="1:26">
      <c r="A890" s="3" t="s">
        <v>4921</v>
      </c>
      <c r="B890" s="3" t="s">
        <v>39</v>
      </c>
      <c r="C890" s="3" t="s">
        <v>40</v>
      </c>
      <c r="D890" s="3" t="s">
        <v>41</v>
      </c>
      <c r="E890" s="3" t="s">
        <v>25</v>
      </c>
      <c r="F890" s="3" t="s">
        <v>127</v>
      </c>
      <c r="G890" s="2">
        <v>12.19</v>
      </c>
      <c r="H890" s="2">
        <v>8</v>
      </c>
      <c r="I890" s="2">
        <v>4.8760000000000003</v>
      </c>
      <c r="J890" s="2">
        <v>102.396</v>
      </c>
      <c r="K890" s="5">
        <v>43537</v>
      </c>
      <c r="L890" s="4">
        <v>0.53263888888888888</v>
      </c>
      <c r="M890" s="3" t="s">
        <v>33</v>
      </c>
      <c r="N890" s="2">
        <v>97.52</v>
      </c>
      <c r="O890" s="2">
        <v>4.7619047620000003</v>
      </c>
      <c r="P890" s="2">
        <v>4.8760000000000003</v>
      </c>
      <c r="Q890" s="2">
        <v>6.8</v>
      </c>
      <c r="R890" s="3" t="str">
        <f t="shared" si="28"/>
        <v>March</v>
      </c>
      <c r="S890" s="3">
        <f t="shared" si="27"/>
        <v>3</v>
      </c>
      <c r="T890" s="3" t="str">
        <f>IF(tbl_sales[[#This Row],[Sales]]&gt;=500,"High Value","Standard")</f>
        <v>Standard</v>
      </c>
      <c r="U890" s="1" t="str">
        <f>IF(tbl_sales[[#This Row],[Order Size]]="High Value","High Value Order","Standard Order")</f>
        <v>Standard Order</v>
      </c>
      <c r="V890" s="1"/>
      <c r="W890" s="17" t="s">
        <v>37</v>
      </c>
      <c r="X890" s="17"/>
      <c r="Y890" s="6"/>
      <c r="Z890" s="1"/>
    </row>
    <row r="891" spans="1:26">
      <c r="A891" s="3" t="s">
        <v>4926</v>
      </c>
      <c r="B891" s="3" t="s">
        <v>22</v>
      </c>
      <c r="C891" s="3" t="s">
        <v>23</v>
      </c>
      <c r="D891" s="3" t="s">
        <v>24</v>
      </c>
      <c r="E891" s="3" t="s">
        <v>992</v>
      </c>
      <c r="F891" s="3" t="s">
        <v>72</v>
      </c>
      <c r="G891" s="2">
        <v>76.92</v>
      </c>
      <c r="H891" s="2">
        <v>10</v>
      </c>
      <c r="I891" s="2">
        <v>38.46</v>
      </c>
      <c r="J891" s="2">
        <v>807.66</v>
      </c>
      <c r="K891" s="5">
        <v>43541</v>
      </c>
      <c r="L891" s="4">
        <v>0.82847222222222228</v>
      </c>
      <c r="M891" s="3" t="s">
        <v>33</v>
      </c>
      <c r="N891" s="2">
        <v>769.2</v>
      </c>
      <c r="O891" s="2">
        <v>4.7619047620000003</v>
      </c>
      <c r="P891" s="2">
        <v>38.46</v>
      </c>
      <c r="Q891" s="2">
        <v>5.6</v>
      </c>
      <c r="R891" s="3" t="str">
        <f t="shared" si="28"/>
        <v>March</v>
      </c>
      <c r="S891" s="3">
        <f t="shared" si="27"/>
        <v>3</v>
      </c>
      <c r="T891" s="3" t="str">
        <f>IF(tbl_sales[[#This Row],[Sales]]&gt;=500,"High Value","Standard")</f>
        <v>High Value</v>
      </c>
      <c r="U891" s="1" t="str">
        <f>IF(tbl_sales[[#This Row],[Order Size]]="High Value","High Value Order","Standard Order")</f>
        <v>High Value Order</v>
      </c>
      <c r="V891" s="1"/>
      <c r="W891" s="17" t="s">
        <v>37</v>
      </c>
      <c r="X891" s="17"/>
      <c r="Y891" s="6"/>
      <c r="Z891" s="1"/>
    </row>
    <row r="892" spans="1:26">
      <c r="A892" s="3" t="s">
        <v>4931</v>
      </c>
      <c r="B892" s="3" t="s">
        <v>39</v>
      </c>
      <c r="C892" s="3" t="s">
        <v>40</v>
      </c>
      <c r="D892" s="3" t="s">
        <v>41</v>
      </c>
      <c r="E892" s="3" t="s">
        <v>25</v>
      </c>
      <c r="F892" s="3" t="s">
        <v>26</v>
      </c>
      <c r="G892" s="2">
        <v>83.66</v>
      </c>
      <c r="H892" s="2">
        <v>5</v>
      </c>
      <c r="I892" s="2">
        <v>20.914999999999999</v>
      </c>
      <c r="J892" s="2">
        <v>439.21499999999997</v>
      </c>
      <c r="K892" s="5">
        <v>43517</v>
      </c>
      <c r="L892" s="4">
        <v>0.43472222222222223</v>
      </c>
      <c r="M892" s="3" t="s">
        <v>49</v>
      </c>
      <c r="N892" s="2">
        <v>418.3</v>
      </c>
      <c r="O892" s="2">
        <v>4.7619047620000003</v>
      </c>
      <c r="P892" s="2">
        <v>20.914999999999999</v>
      </c>
      <c r="Q892" s="2">
        <v>7.2</v>
      </c>
      <c r="R892" s="3" t="str">
        <f t="shared" si="28"/>
        <v>February</v>
      </c>
      <c r="S892" s="3">
        <f t="shared" si="27"/>
        <v>2</v>
      </c>
      <c r="T892" s="3" t="str">
        <f>IF(tbl_sales[[#This Row],[Sales]]&gt;=500,"High Value","Standard")</f>
        <v>Standard</v>
      </c>
      <c r="U892" s="1" t="str">
        <f>IF(tbl_sales[[#This Row],[Order Size]]="High Value","High Value Order","Standard Order")</f>
        <v>Standard Order</v>
      </c>
      <c r="V892" s="1"/>
      <c r="W892" s="17" t="s">
        <v>37</v>
      </c>
      <c r="X892" s="17"/>
      <c r="Y892" s="6"/>
      <c r="Z892" s="1"/>
    </row>
    <row r="893" spans="1:26">
      <c r="A893" s="3" t="s">
        <v>4936</v>
      </c>
      <c r="B893" s="3" t="s">
        <v>115</v>
      </c>
      <c r="C893" s="3" t="s">
        <v>116</v>
      </c>
      <c r="D893" s="3" t="s">
        <v>41</v>
      </c>
      <c r="E893" s="3" t="s">
        <v>25</v>
      </c>
      <c r="F893" s="3" t="s">
        <v>42</v>
      </c>
      <c r="G893" s="2">
        <v>57.91</v>
      </c>
      <c r="H893" s="2">
        <v>8</v>
      </c>
      <c r="I893" s="2">
        <v>23.164000000000001</v>
      </c>
      <c r="J893" s="2">
        <v>486.44400000000002</v>
      </c>
      <c r="K893" s="5">
        <v>43503</v>
      </c>
      <c r="L893" s="4">
        <v>0.62916666666666665</v>
      </c>
      <c r="M893" s="3" t="s">
        <v>49</v>
      </c>
      <c r="N893" s="2">
        <v>463.28</v>
      </c>
      <c r="O893" s="2">
        <v>4.7619047620000003</v>
      </c>
      <c r="P893" s="2">
        <v>23.164000000000001</v>
      </c>
      <c r="Q893" s="2">
        <v>8.1</v>
      </c>
      <c r="R893" s="3" t="str">
        <f t="shared" si="28"/>
        <v>February</v>
      </c>
      <c r="S893" s="3">
        <f t="shared" si="27"/>
        <v>2</v>
      </c>
      <c r="T893" s="3" t="str">
        <f>IF(tbl_sales[[#This Row],[Sales]]&gt;=500,"High Value","Standard")</f>
        <v>Standard</v>
      </c>
      <c r="U893" s="1" t="str">
        <f>IF(tbl_sales[[#This Row],[Order Size]]="High Value","High Value Order","Standard Order")</f>
        <v>Standard Order</v>
      </c>
      <c r="V893" s="1"/>
      <c r="W893" s="17" t="s">
        <v>37</v>
      </c>
      <c r="X893" s="17"/>
      <c r="Y893" s="6"/>
      <c r="Z893" s="1"/>
    </row>
    <row r="894" spans="1:26">
      <c r="A894" s="3" t="s">
        <v>4941</v>
      </c>
      <c r="B894" s="3" t="s">
        <v>39</v>
      </c>
      <c r="C894" s="3" t="s">
        <v>40</v>
      </c>
      <c r="D894" s="3" t="s">
        <v>24</v>
      </c>
      <c r="E894" s="3" t="s">
        <v>25</v>
      </c>
      <c r="F894" s="3" t="s">
        <v>127</v>
      </c>
      <c r="G894" s="2">
        <v>92.49</v>
      </c>
      <c r="H894" s="2">
        <v>5</v>
      </c>
      <c r="I894" s="2">
        <v>23.122499999999999</v>
      </c>
      <c r="J894" s="2">
        <v>485.57249999999999</v>
      </c>
      <c r="K894" s="5">
        <v>43526</v>
      </c>
      <c r="L894" s="4">
        <v>0.69097222222222221</v>
      </c>
      <c r="M894" s="3" t="s">
        <v>59</v>
      </c>
      <c r="N894" s="2">
        <v>462.45</v>
      </c>
      <c r="O894" s="2">
        <v>4.7619047620000003</v>
      </c>
      <c r="P894" s="2">
        <v>23.122499999999999</v>
      </c>
      <c r="Q894" s="2">
        <v>8.6</v>
      </c>
      <c r="R894" s="3" t="str">
        <f t="shared" si="28"/>
        <v>March</v>
      </c>
      <c r="S894" s="3">
        <f t="shared" si="27"/>
        <v>3</v>
      </c>
      <c r="T894" s="3" t="str">
        <f>IF(tbl_sales[[#This Row],[Sales]]&gt;=500,"High Value","Standard")</f>
        <v>Standard</v>
      </c>
      <c r="U894" s="1" t="str">
        <f>IF(tbl_sales[[#This Row],[Order Size]]="High Value","High Value Order","Standard Order")</f>
        <v>Standard Order</v>
      </c>
      <c r="V894" s="1"/>
      <c r="W894" s="17" t="s">
        <v>37</v>
      </c>
      <c r="X894" s="17"/>
      <c r="Y894" s="6"/>
      <c r="Z894" s="1"/>
    </row>
    <row r="895" spans="1:26">
      <c r="A895" s="3" t="s">
        <v>4947</v>
      </c>
      <c r="B895" s="3" t="s">
        <v>115</v>
      </c>
      <c r="C895" s="3" t="s">
        <v>116</v>
      </c>
      <c r="D895" s="3" t="s">
        <v>41</v>
      </c>
      <c r="E895" s="3" t="s">
        <v>992</v>
      </c>
      <c r="F895" s="3" t="s">
        <v>42</v>
      </c>
      <c r="G895" s="2">
        <v>28.38</v>
      </c>
      <c r="H895" s="2">
        <v>5</v>
      </c>
      <c r="I895" s="2">
        <v>7.0949999999999998</v>
      </c>
      <c r="J895" s="2">
        <v>148.995</v>
      </c>
      <c r="K895" s="5">
        <v>43530</v>
      </c>
      <c r="L895" s="4">
        <v>0.87291666666666667</v>
      </c>
      <c r="M895" s="3" t="s">
        <v>49</v>
      </c>
      <c r="N895" s="2">
        <v>141.9</v>
      </c>
      <c r="O895" s="2">
        <v>4.7619047620000003</v>
      </c>
      <c r="P895" s="2">
        <v>7.0949999999999998</v>
      </c>
      <c r="Q895" s="2">
        <v>9.4</v>
      </c>
      <c r="R895" s="3" t="str">
        <f t="shared" si="28"/>
        <v>March</v>
      </c>
      <c r="S895" s="3">
        <f t="shared" si="27"/>
        <v>3</v>
      </c>
      <c r="T895" s="3" t="str">
        <f>IF(tbl_sales[[#This Row],[Sales]]&gt;=500,"High Value","Standard")</f>
        <v>Standard</v>
      </c>
      <c r="U895" s="1" t="str">
        <f>IF(tbl_sales[[#This Row],[Order Size]]="High Value","High Value Order","Standard Order")</f>
        <v>Standard Order</v>
      </c>
      <c r="V895" s="1"/>
      <c r="W895" s="17" t="s">
        <v>37</v>
      </c>
      <c r="X895" s="17"/>
      <c r="Y895" s="6"/>
      <c r="Z895" s="1"/>
    </row>
    <row r="896" spans="1:26">
      <c r="A896" s="3" t="s">
        <v>4953</v>
      </c>
      <c r="B896" s="3" t="s">
        <v>115</v>
      </c>
      <c r="C896" s="3" t="s">
        <v>116</v>
      </c>
      <c r="D896" s="3" t="s">
        <v>24</v>
      </c>
      <c r="E896" s="3" t="s">
        <v>992</v>
      </c>
      <c r="F896" s="3" t="s">
        <v>42</v>
      </c>
      <c r="G896" s="2">
        <v>50.45</v>
      </c>
      <c r="H896" s="2">
        <v>6</v>
      </c>
      <c r="I896" s="2">
        <v>15.135</v>
      </c>
      <c r="J896" s="2">
        <v>317.83499999999998</v>
      </c>
      <c r="K896" s="5">
        <v>43502</v>
      </c>
      <c r="L896" s="4">
        <v>0.63611111111111107</v>
      </c>
      <c r="M896" s="3" t="s">
        <v>59</v>
      </c>
      <c r="N896" s="2">
        <v>302.7</v>
      </c>
      <c r="O896" s="2">
        <v>4.7619047620000003</v>
      </c>
      <c r="P896" s="2">
        <v>15.135</v>
      </c>
      <c r="Q896" s="2">
        <v>8.9</v>
      </c>
      <c r="R896" s="3" t="str">
        <f t="shared" si="28"/>
        <v>February</v>
      </c>
      <c r="S896" s="3">
        <f t="shared" si="27"/>
        <v>2</v>
      </c>
      <c r="T896" s="3" t="str">
        <f>IF(tbl_sales[[#This Row],[Sales]]&gt;=500,"High Value","Standard")</f>
        <v>Standard</v>
      </c>
      <c r="U896" s="1" t="str">
        <f>IF(tbl_sales[[#This Row],[Order Size]]="High Value","High Value Order","Standard Order")</f>
        <v>Standard Order</v>
      </c>
      <c r="V896" s="1"/>
      <c r="W896" s="17" t="s">
        <v>37</v>
      </c>
      <c r="X896" s="17"/>
      <c r="Y896" s="6"/>
      <c r="Z896" s="1"/>
    </row>
    <row r="897" spans="1:26">
      <c r="A897" s="3" t="s">
        <v>4958</v>
      </c>
      <c r="B897" s="3" t="s">
        <v>115</v>
      </c>
      <c r="C897" s="3" t="s">
        <v>116</v>
      </c>
      <c r="D897" s="3" t="s">
        <v>41</v>
      </c>
      <c r="E897" s="3" t="s">
        <v>992</v>
      </c>
      <c r="F897" s="3" t="s">
        <v>26</v>
      </c>
      <c r="G897" s="2">
        <v>99.16</v>
      </c>
      <c r="H897" s="2">
        <v>8</v>
      </c>
      <c r="I897" s="2">
        <v>39.664000000000001</v>
      </c>
      <c r="J897" s="2">
        <v>832.94399999999996</v>
      </c>
      <c r="K897" s="5">
        <v>43493</v>
      </c>
      <c r="L897" s="4">
        <v>0.74097222222222225</v>
      </c>
      <c r="M897" s="3" t="s">
        <v>59</v>
      </c>
      <c r="N897" s="2">
        <v>793.28</v>
      </c>
      <c r="O897" s="2">
        <v>4.7619047620000003</v>
      </c>
      <c r="P897" s="2">
        <v>39.664000000000001</v>
      </c>
      <c r="Q897" s="2">
        <v>4.2</v>
      </c>
      <c r="R897" s="3" t="str">
        <f t="shared" si="28"/>
        <v>January</v>
      </c>
      <c r="S897" s="3">
        <f t="shared" si="27"/>
        <v>1</v>
      </c>
      <c r="T897" s="3" t="str">
        <f>IF(tbl_sales[[#This Row],[Sales]]&gt;=500,"High Value","Standard")</f>
        <v>High Value</v>
      </c>
      <c r="U897" s="1" t="str">
        <f>IF(tbl_sales[[#This Row],[Order Size]]="High Value","High Value Order","Standard Order")</f>
        <v>High Value Order</v>
      </c>
      <c r="V897" s="1"/>
      <c r="W897" s="17" t="s">
        <v>37</v>
      </c>
      <c r="X897" s="17"/>
      <c r="Y897" s="6"/>
      <c r="Z897" s="1"/>
    </row>
    <row r="898" spans="1:26">
      <c r="A898" s="3" t="s">
        <v>4963</v>
      </c>
      <c r="B898" s="3" t="s">
        <v>39</v>
      </c>
      <c r="C898" s="3" t="s">
        <v>40</v>
      </c>
      <c r="D898" s="3" t="s">
        <v>41</v>
      </c>
      <c r="E898" s="3" t="s">
        <v>992</v>
      </c>
      <c r="F898" s="3" t="s">
        <v>127</v>
      </c>
      <c r="G898" s="2">
        <v>60.74</v>
      </c>
      <c r="H898" s="2">
        <v>7</v>
      </c>
      <c r="I898" s="2">
        <v>21.259</v>
      </c>
      <c r="J898" s="2">
        <v>446.43900000000002</v>
      </c>
      <c r="K898" s="5">
        <v>43483</v>
      </c>
      <c r="L898" s="4">
        <v>0.68263888888888891</v>
      </c>
      <c r="M898" s="3" t="s">
        <v>33</v>
      </c>
      <c r="N898" s="2">
        <v>425.18</v>
      </c>
      <c r="O898" s="2">
        <v>4.7619047620000003</v>
      </c>
      <c r="P898" s="2">
        <v>21.259</v>
      </c>
      <c r="Q898" s="2">
        <v>5</v>
      </c>
      <c r="R898" s="3" t="str">
        <f t="shared" si="28"/>
        <v>January</v>
      </c>
      <c r="S898" s="3">
        <f t="shared" ref="S898:S961" si="29">MONTH(K898)</f>
        <v>1</v>
      </c>
      <c r="T898" s="3" t="str">
        <f>IF(tbl_sales[[#This Row],[Sales]]&gt;=500,"High Value","Standard")</f>
        <v>Standard</v>
      </c>
      <c r="U898" s="1" t="str">
        <f>IF(tbl_sales[[#This Row],[Order Size]]="High Value","High Value Order","Standard Order")</f>
        <v>Standard Order</v>
      </c>
      <c r="V898" s="1"/>
      <c r="W898" s="17" t="s">
        <v>37</v>
      </c>
      <c r="X898" s="17"/>
      <c r="Y898" s="6"/>
      <c r="Z898" s="1"/>
    </row>
    <row r="899" spans="1:26">
      <c r="A899" s="3" t="s">
        <v>4968</v>
      </c>
      <c r="B899" s="3" t="s">
        <v>39</v>
      </c>
      <c r="C899" s="3" t="s">
        <v>40</v>
      </c>
      <c r="D899" s="3" t="s">
        <v>24</v>
      </c>
      <c r="E899" s="3" t="s">
        <v>25</v>
      </c>
      <c r="F899" s="3" t="s">
        <v>117</v>
      </c>
      <c r="G899" s="2">
        <v>47.27</v>
      </c>
      <c r="H899" s="2">
        <v>6</v>
      </c>
      <c r="I899" s="2">
        <v>14.180999999999999</v>
      </c>
      <c r="J899" s="2">
        <v>297.80099999999999</v>
      </c>
      <c r="K899" s="5">
        <v>43501</v>
      </c>
      <c r="L899" s="4">
        <v>0.4284722222222222</v>
      </c>
      <c r="M899" s="3" t="s">
        <v>49</v>
      </c>
      <c r="N899" s="2">
        <v>283.62</v>
      </c>
      <c r="O899" s="2">
        <v>4.7619047620000003</v>
      </c>
      <c r="P899" s="2">
        <v>14.180999999999999</v>
      </c>
      <c r="Q899" s="2">
        <v>8.8000000000000007</v>
      </c>
      <c r="R899" s="3" t="str">
        <f t="shared" ref="R899:R962" si="30">TEXT(K899,"mmmm")</f>
        <v>February</v>
      </c>
      <c r="S899" s="3">
        <f t="shared" si="29"/>
        <v>2</v>
      </c>
      <c r="T899" s="3" t="str">
        <f>IF(tbl_sales[[#This Row],[Sales]]&gt;=500,"High Value","Standard")</f>
        <v>Standard</v>
      </c>
      <c r="U899" s="1" t="str">
        <f>IF(tbl_sales[[#This Row],[Order Size]]="High Value","High Value Order","Standard Order")</f>
        <v>Standard Order</v>
      </c>
      <c r="V899" s="1"/>
      <c r="W899" s="17" t="s">
        <v>37</v>
      </c>
      <c r="X899" s="17"/>
      <c r="Y899" s="6"/>
      <c r="Z899" s="1"/>
    </row>
    <row r="900" spans="1:26">
      <c r="A900" s="3" t="s">
        <v>4973</v>
      </c>
      <c r="B900" s="3" t="s">
        <v>39</v>
      </c>
      <c r="C900" s="3" t="s">
        <v>40</v>
      </c>
      <c r="D900" s="3" t="s">
        <v>24</v>
      </c>
      <c r="E900" s="3" t="s">
        <v>992</v>
      </c>
      <c r="F900" s="3" t="s">
        <v>26</v>
      </c>
      <c r="G900" s="2">
        <v>85.6</v>
      </c>
      <c r="H900" s="2">
        <v>7</v>
      </c>
      <c r="I900" s="2">
        <v>29.96</v>
      </c>
      <c r="J900" s="2">
        <v>629.16</v>
      </c>
      <c r="K900" s="5">
        <v>43526</v>
      </c>
      <c r="L900" s="4">
        <v>0.57638888888888884</v>
      </c>
      <c r="M900" s="3" t="s">
        <v>49</v>
      </c>
      <c r="N900" s="2">
        <v>599.20000000000005</v>
      </c>
      <c r="O900" s="2">
        <v>4.7619047620000003</v>
      </c>
      <c r="P900" s="2">
        <v>29.96</v>
      </c>
      <c r="Q900" s="2">
        <v>5.3</v>
      </c>
      <c r="R900" s="3" t="str">
        <f t="shared" si="30"/>
        <v>March</v>
      </c>
      <c r="S900" s="3">
        <f t="shared" si="29"/>
        <v>3</v>
      </c>
      <c r="T900" s="3" t="str">
        <f>IF(tbl_sales[[#This Row],[Sales]]&gt;=500,"High Value","Standard")</f>
        <v>High Value</v>
      </c>
      <c r="U900" s="1" t="str">
        <f>IF(tbl_sales[[#This Row],[Order Size]]="High Value","High Value Order","Standard Order")</f>
        <v>High Value Order</v>
      </c>
      <c r="V900" s="1"/>
      <c r="W900" s="17" t="s">
        <v>37</v>
      </c>
      <c r="X900" s="17"/>
      <c r="Y900" s="6"/>
      <c r="Z900" s="1"/>
    </row>
    <row r="901" spans="1:26">
      <c r="A901" s="3" t="s">
        <v>4979</v>
      </c>
      <c r="B901" s="3" t="s">
        <v>22</v>
      </c>
      <c r="C901" s="3" t="s">
        <v>23</v>
      </c>
      <c r="D901" s="3" t="s">
        <v>24</v>
      </c>
      <c r="E901" s="3" t="s">
        <v>992</v>
      </c>
      <c r="F901" s="3" t="s">
        <v>117</v>
      </c>
      <c r="G901" s="2">
        <v>35.04</v>
      </c>
      <c r="H901" s="2">
        <v>9</v>
      </c>
      <c r="I901" s="2">
        <v>15.768000000000001</v>
      </c>
      <c r="J901" s="2">
        <v>331.12799999999999</v>
      </c>
      <c r="K901" s="5">
        <v>43505</v>
      </c>
      <c r="L901" s="4">
        <v>0.80347222222222225</v>
      </c>
      <c r="M901" s="3" t="s">
        <v>33</v>
      </c>
      <c r="N901" s="2">
        <v>315.36</v>
      </c>
      <c r="O901" s="2">
        <v>4.7619047620000003</v>
      </c>
      <c r="P901" s="2">
        <v>15.768000000000001</v>
      </c>
      <c r="Q901" s="2">
        <v>4.5999999999999996</v>
      </c>
      <c r="R901" s="3" t="str">
        <f t="shared" si="30"/>
        <v>February</v>
      </c>
      <c r="S901" s="3">
        <f t="shared" si="29"/>
        <v>2</v>
      </c>
      <c r="T901" s="3" t="str">
        <f>IF(tbl_sales[[#This Row],[Sales]]&gt;=500,"High Value","Standard")</f>
        <v>Standard</v>
      </c>
      <c r="U901" s="1" t="str">
        <f>IF(tbl_sales[[#This Row],[Order Size]]="High Value","High Value Order","Standard Order")</f>
        <v>Standard Order</v>
      </c>
      <c r="V901" s="1"/>
      <c r="W901" s="17" t="s">
        <v>37</v>
      </c>
      <c r="X901" s="17"/>
      <c r="Y901" s="6"/>
      <c r="Z901" s="1"/>
    </row>
    <row r="902" spans="1:26">
      <c r="A902" s="3" t="s">
        <v>4984</v>
      </c>
      <c r="B902" s="3" t="s">
        <v>39</v>
      </c>
      <c r="C902" s="3" t="s">
        <v>40</v>
      </c>
      <c r="D902" s="3" t="s">
        <v>24</v>
      </c>
      <c r="E902" s="3" t="s">
        <v>25</v>
      </c>
      <c r="F902" s="3" t="s">
        <v>42</v>
      </c>
      <c r="G902" s="2">
        <v>44.84</v>
      </c>
      <c r="H902" s="2">
        <v>9</v>
      </c>
      <c r="I902" s="2">
        <v>20.178000000000001</v>
      </c>
      <c r="J902" s="2">
        <v>423.738</v>
      </c>
      <c r="K902" s="5">
        <v>43479</v>
      </c>
      <c r="L902" s="4">
        <v>0.58333333333333337</v>
      </c>
      <c r="M902" s="3" t="s">
        <v>59</v>
      </c>
      <c r="N902" s="2">
        <v>403.56</v>
      </c>
      <c r="O902" s="2">
        <v>4.7619047620000003</v>
      </c>
      <c r="P902" s="2">
        <v>20.178000000000001</v>
      </c>
      <c r="Q902" s="2">
        <v>7.5</v>
      </c>
      <c r="R902" s="3" t="str">
        <f t="shared" si="30"/>
        <v>January</v>
      </c>
      <c r="S902" s="3">
        <f t="shared" si="29"/>
        <v>1</v>
      </c>
      <c r="T902" s="3" t="str">
        <f>IF(tbl_sales[[#This Row],[Sales]]&gt;=500,"High Value","Standard")</f>
        <v>Standard</v>
      </c>
      <c r="U902" s="1" t="str">
        <f>IF(tbl_sales[[#This Row],[Order Size]]="High Value","High Value Order","Standard Order")</f>
        <v>Standard Order</v>
      </c>
      <c r="V902" s="1"/>
      <c r="W902" s="17" t="s">
        <v>37</v>
      </c>
      <c r="X902" s="17"/>
      <c r="Y902" s="6"/>
      <c r="Z902" s="1"/>
    </row>
    <row r="903" spans="1:26">
      <c r="A903" s="3" t="s">
        <v>4989</v>
      </c>
      <c r="B903" s="3" t="s">
        <v>115</v>
      </c>
      <c r="C903" s="3" t="s">
        <v>116</v>
      </c>
      <c r="D903" s="3" t="s">
        <v>41</v>
      </c>
      <c r="E903" s="3" t="s">
        <v>992</v>
      </c>
      <c r="F903" s="3" t="s">
        <v>53</v>
      </c>
      <c r="G903" s="2">
        <v>45.97</v>
      </c>
      <c r="H903" s="2">
        <v>4</v>
      </c>
      <c r="I903" s="2">
        <v>9.1940000000000008</v>
      </c>
      <c r="J903" s="2">
        <v>193.07400000000001</v>
      </c>
      <c r="K903" s="5">
        <v>43505</v>
      </c>
      <c r="L903" s="4">
        <v>0.50138888888888888</v>
      </c>
      <c r="M903" s="3" t="s">
        <v>33</v>
      </c>
      <c r="N903" s="2">
        <v>183.88</v>
      </c>
      <c r="O903" s="2">
        <v>4.7619047620000003</v>
      </c>
      <c r="P903" s="2">
        <v>9.1940000000000008</v>
      </c>
      <c r="Q903" s="2">
        <v>5.0999999999999996</v>
      </c>
      <c r="R903" s="3" t="str">
        <f t="shared" si="30"/>
        <v>February</v>
      </c>
      <c r="S903" s="3">
        <f t="shared" si="29"/>
        <v>2</v>
      </c>
      <c r="T903" s="3" t="str">
        <f>IF(tbl_sales[[#This Row],[Sales]]&gt;=500,"High Value","Standard")</f>
        <v>Standard</v>
      </c>
      <c r="U903" s="1" t="str">
        <f>IF(tbl_sales[[#This Row],[Order Size]]="High Value","High Value Order","Standard Order")</f>
        <v>Standard Order</v>
      </c>
      <c r="V903" s="1"/>
      <c r="W903" s="17" t="s">
        <v>37</v>
      </c>
      <c r="X903" s="17"/>
      <c r="Y903" s="6"/>
      <c r="Z903" s="1"/>
    </row>
    <row r="904" spans="1:26">
      <c r="A904" s="3" t="s">
        <v>4994</v>
      </c>
      <c r="B904" s="3" t="s">
        <v>22</v>
      </c>
      <c r="C904" s="3" t="s">
        <v>23</v>
      </c>
      <c r="D904" s="3" t="s">
        <v>24</v>
      </c>
      <c r="E904" s="3" t="s">
        <v>25</v>
      </c>
      <c r="F904" s="3" t="s">
        <v>26</v>
      </c>
      <c r="G904" s="2">
        <v>27.73</v>
      </c>
      <c r="H904" s="2">
        <v>5</v>
      </c>
      <c r="I904" s="2">
        <v>6.9325000000000001</v>
      </c>
      <c r="J904" s="2">
        <v>145.58250000000001</v>
      </c>
      <c r="K904" s="5">
        <v>43550</v>
      </c>
      <c r="L904" s="4">
        <v>0.84791666666666665</v>
      </c>
      <c r="M904" s="3" t="s">
        <v>59</v>
      </c>
      <c r="N904" s="2">
        <v>138.65</v>
      </c>
      <c r="O904" s="2">
        <v>4.7619047620000003</v>
      </c>
      <c r="P904" s="2">
        <v>6.9325000000000001</v>
      </c>
      <c r="Q904" s="2">
        <v>4.2</v>
      </c>
      <c r="R904" s="3" t="str">
        <f t="shared" si="30"/>
        <v>March</v>
      </c>
      <c r="S904" s="3">
        <f t="shared" si="29"/>
        <v>3</v>
      </c>
      <c r="T904" s="3" t="str">
        <f>IF(tbl_sales[[#This Row],[Sales]]&gt;=500,"High Value","Standard")</f>
        <v>Standard</v>
      </c>
      <c r="U904" s="1" t="str">
        <f>IF(tbl_sales[[#This Row],[Order Size]]="High Value","High Value Order","Standard Order")</f>
        <v>Standard Order</v>
      </c>
      <c r="V904" s="1"/>
      <c r="W904" s="17" t="s">
        <v>37</v>
      </c>
      <c r="X904" s="17"/>
      <c r="Y904" s="6"/>
      <c r="Z904" s="1"/>
    </row>
    <row r="905" spans="1:26">
      <c r="A905" s="3" t="s">
        <v>4999</v>
      </c>
      <c r="B905" s="3" t="s">
        <v>22</v>
      </c>
      <c r="C905" s="3" t="s">
        <v>23</v>
      </c>
      <c r="D905" s="3" t="s">
        <v>41</v>
      </c>
      <c r="E905" s="3" t="s">
        <v>992</v>
      </c>
      <c r="F905" s="3" t="s">
        <v>117</v>
      </c>
      <c r="G905" s="2">
        <v>11.53</v>
      </c>
      <c r="H905" s="2">
        <v>7</v>
      </c>
      <c r="I905" s="2">
        <v>4.0354999999999999</v>
      </c>
      <c r="J905" s="2">
        <v>84.745500000000007</v>
      </c>
      <c r="K905" s="5">
        <v>43493</v>
      </c>
      <c r="L905" s="4">
        <v>0.73263888888888884</v>
      </c>
      <c r="M905" s="3" t="s">
        <v>49</v>
      </c>
      <c r="N905" s="2">
        <v>80.709999999999994</v>
      </c>
      <c r="O905" s="2">
        <v>4.7619047620000003</v>
      </c>
      <c r="P905" s="2">
        <v>4.0354999999999999</v>
      </c>
      <c r="Q905" s="2">
        <v>8.1</v>
      </c>
      <c r="R905" s="3" t="str">
        <f t="shared" si="30"/>
        <v>January</v>
      </c>
      <c r="S905" s="3">
        <f t="shared" si="29"/>
        <v>1</v>
      </c>
      <c r="T905" s="3" t="str">
        <f>IF(tbl_sales[[#This Row],[Sales]]&gt;=500,"High Value","Standard")</f>
        <v>Standard</v>
      </c>
      <c r="U905" s="1" t="str">
        <f>IF(tbl_sales[[#This Row],[Order Size]]="High Value","High Value Order","Standard Order")</f>
        <v>Standard Order</v>
      </c>
      <c r="V905" s="1"/>
      <c r="W905" s="17" t="s">
        <v>37</v>
      </c>
      <c r="X905" s="17"/>
      <c r="Y905" s="6"/>
      <c r="Z905" s="1"/>
    </row>
    <row r="906" spans="1:26">
      <c r="A906" s="3" t="s">
        <v>5005</v>
      </c>
      <c r="B906" s="3" t="s">
        <v>39</v>
      </c>
      <c r="C906" s="3" t="s">
        <v>40</v>
      </c>
      <c r="D906" s="3" t="s">
        <v>41</v>
      </c>
      <c r="E906" s="3" t="s">
        <v>25</v>
      </c>
      <c r="F906" s="3" t="s">
        <v>26</v>
      </c>
      <c r="G906" s="2">
        <v>58.32</v>
      </c>
      <c r="H906" s="2">
        <v>2</v>
      </c>
      <c r="I906" s="2">
        <v>5.8319999999999999</v>
      </c>
      <c r="J906" s="2">
        <v>122.47199999999999</v>
      </c>
      <c r="K906" s="5">
        <v>43510</v>
      </c>
      <c r="L906" s="4">
        <v>0.52916666666666667</v>
      </c>
      <c r="M906" s="3" t="s">
        <v>33</v>
      </c>
      <c r="N906" s="2">
        <v>116.64</v>
      </c>
      <c r="O906" s="2">
        <v>4.7619047620000003</v>
      </c>
      <c r="P906" s="2">
        <v>5.8319999999999999</v>
      </c>
      <c r="Q906" s="2">
        <v>6</v>
      </c>
      <c r="R906" s="3" t="str">
        <f t="shared" si="30"/>
        <v>February</v>
      </c>
      <c r="S906" s="3">
        <f t="shared" si="29"/>
        <v>2</v>
      </c>
      <c r="T906" s="3" t="str">
        <f>IF(tbl_sales[[#This Row],[Sales]]&gt;=500,"High Value","Standard")</f>
        <v>Standard</v>
      </c>
      <c r="U906" s="1" t="str">
        <f>IF(tbl_sales[[#This Row],[Order Size]]="High Value","High Value Order","Standard Order")</f>
        <v>Standard Order</v>
      </c>
      <c r="V906" s="1"/>
      <c r="W906" s="17" t="s">
        <v>37</v>
      </c>
      <c r="X906" s="17"/>
      <c r="Y906" s="6"/>
      <c r="Z906" s="1"/>
    </row>
    <row r="907" spans="1:26">
      <c r="A907" s="3" t="s">
        <v>5010</v>
      </c>
      <c r="B907" s="3" t="s">
        <v>39</v>
      </c>
      <c r="C907" s="3" t="s">
        <v>40</v>
      </c>
      <c r="D907" s="3" t="s">
        <v>24</v>
      </c>
      <c r="E907" s="3" t="s">
        <v>25</v>
      </c>
      <c r="F907" s="3" t="s">
        <v>53</v>
      </c>
      <c r="G907" s="2">
        <v>78.38</v>
      </c>
      <c r="H907" s="2">
        <v>4</v>
      </c>
      <c r="I907" s="2">
        <v>15.676</v>
      </c>
      <c r="J907" s="2">
        <v>329.19600000000003</v>
      </c>
      <c r="K907" s="5">
        <v>43548</v>
      </c>
      <c r="L907" s="4">
        <v>0.74722222222222223</v>
      </c>
      <c r="M907" s="3" t="s">
        <v>49</v>
      </c>
      <c r="N907" s="2">
        <v>313.52</v>
      </c>
      <c r="O907" s="2">
        <v>4.7619047620000003</v>
      </c>
      <c r="P907" s="2">
        <v>15.676</v>
      </c>
      <c r="Q907" s="2">
        <v>7.9</v>
      </c>
      <c r="R907" s="3" t="str">
        <f t="shared" si="30"/>
        <v>March</v>
      </c>
      <c r="S907" s="3">
        <f t="shared" si="29"/>
        <v>3</v>
      </c>
      <c r="T907" s="3" t="str">
        <f>IF(tbl_sales[[#This Row],[Sales]]&gt;=500,"High Value","Standard")</f>
        <v>Standard</v>
      </c>
      <c r="U907" s="1" t="str">
        <f>IF(tbl_sales[[#This Row],[Order Size]]="High Value","High Value Order","Standard Order")</f>
        <v>Standard Order</v>
      </c>
      <c r="V907" s="1"/>
      <c r="W907" s="17" t="s">
        <v>37</v>
      </c>
      <c r="X907" s="17"/>
      <c r="Y907" s="6"/>
      <c r="Z907" s="1"/>
    </row>
    <row r="908" spans="1:26">
      <c r="A908" s="3" t="s">
        <v>5015</v>
      </c>
      <c r="B908" s="3" t="s">
        <v>39</v>
      </c>
      <c r="C908" s="3" t="s">
        <v>40</v>
      </c>
      <c r="D908" s="3" t="s">
        <v>41</v>
      </c>
      <c r="E908" s="3" t="s">
        <v>992</v>
      </c>
      <c r="F908" s="3" t="s">
        <v>26</v>
      </c>
      <c r="G908" s="2">
        <v>84.61</v>
      </c>
      <c r="H908" s="2">
        <v>10</v>
      </c>
      <c r="I908" s="2">
        <v>42.305</v>
      </c>
      <c r="J908" s="2">
        <v>888.40499999999997</v>
      </c>
      <c r="K908" s="5">
        <v>43505</v>
      </c>
      <c r="L908" s="4">
        <v>0.79027777777777775</v>
      </c>
      <c r="M908" s="3" t="s">
        <v>59</v>
      </c>
      <c r="N908" s="2">
        <v>846.1</v>
      </c>
      <c r="O908" s="2">
        <v>4.7619047620000003</v>
      </c>
      <c r="P908" s="2">
        <v>42.305</v>
      </c>
      <c r="Q908" s="2">
        <v>8.8000000000000007</v>
      </c>
      <c r="R908" s="3" t="str">
        <f t="shared" si="30"/>
        <v>February</v>
      </c>
      <c r="S908" s="3">
        <f t="shared" si="29"/>
        <v>2</v>
      </c>
      <c r="T908" s="3" t="str">
        <f>IF(tbl_sales[[#This Row],[Sales]]&gt;=500,"High Value","Standard")</f>
        <v>High Value</v>
      </c>
      <c r="U908" s="1" t="str">
        <f>IF(tbl_sales[[#This Row],[Order Size]]="High Value","High Value Order","Standard Order")</f>
        <v>High Value Order</v>
      </c>
      <c r="V908" s="1"/>
      <c r="W908" s="17" t="s">
        <v>37</v>
      </c>
      <c r="X908" s="17"/>
      <c r="Y908" s="6"/>
      <c r="Z908" s="1"/>
    </row>
    <row r="909" spans="1:26">
      <c r="A909" s="3" t="s">
        <v>5020</v>
      </c>
      <c r="B909" s="3" t="s">
        <v>115</v>
      </c>
      <c r="C909" s="3" t="s">
        <v>116</v>
      </c>
      <c r="D909" s="3" t="s">
        <v>41</v>
      </c>
      <c r="E909" s="3" t="s">
        <v>25</v>
      </c>
      <c r="F909" s="3" t="s">
        <v>26</v>
      </c>
      <c r="G909" s="2">
        <v>82.88</v>
      </c>
      <c r="H909" s="2">
        <v>5</v>
      </c>
      <c r="I909" s="2">
        <v>20.72</v>
      </c>
      <c r="J909" s="2">
        <v>435.12</v>
      </c>
      <c r="K909" s="5">
        <v>43548</v>
      </c>
      <c r="L909" s="4">
        <v>0.58888888888888891</v>
      </c>
      <c r="M909" s="3" t="s">
        <v>59</v>
      </c>
      <c r="N909" s="2">
        <v>414.4</v>
      </c>
      <c r="O909" s="2">
        <v>4.7619047620000003</v>
      </c>
      <c r="P909" s="2">
        <v>20.72</v>
      </c>
      <c r="Q909" s="2">
        <v>6.6</v>
      </c>
      <c r="R909" s="3" t="str">
        <f t="shared" si="30"/>
        <v>March</v>
      </c>
      <c r="S909" s="3">
        <f t="shared" si="29"/>
        <v>3</v>
      </c>
      <c r="T909" s="3" t="str">
        <f>IF(tbl_sales[[#This Row],[Sales]]&gt;=500,"High Value","Standard")</f>
        <v>Standard</v>
      </c>
      <c r="U909" s="1" t="str">
        <f>IF(tbl_sales[[#This Row],[Order Size]]="High Value","High Value Order","Standard Order")</f>
        <v>Standard Order</v>
      </c>
      <c r="V909" s="1"/>
      <c r="W909" s="17" t="s">
        <v>37</v>
      </c>
      <c r="X909" s="17"/>
      <c r="Y909" s="6"/>
      <c r="Z909" s="1"/>
    </row>
    <row r="910" spans="1:26">
      <c r="A910" s="3" t="s">
        <v>5025</v>
      </c>
      <c r="B910" s="3" t="s">
        <v>22</v>
      </c>
      <c r="C910" s="3" t="s">
        <v>23</v>
      </c>
      <c r="D910" s="3" t="s">
        <v>24</v>
      </c>
      <c r="E910" s="3" t="s">
        <v>25</v>
      </c>
      <c r="F910" s="3" t="s">
        <v>117</v>
      </c>
      <c r="G910" s="2">
        <v>79.540000000000006</v>
      </c>
      <c r="H910" s="2">
        <v>2</v>
      </c>
      <c r="I910" s="2">
        <v>7.9539999999999997</v>
      </c>
      <c r="J910" s="2">
        <v>167.03399999999999</v>
      </c>
      <c r="K910" s="5">
        <v>43551</v>
      </c>
      <c r="L910" s="4">
        <v>0.6875</v>
      </c>
      <c r="M910" s="3" t="s">
        <v>33</v>
      </c>
      <c r="N910" s="2">
        <v>159.08000000000001</v>
      </c>
      <c r="O910" s="2">
        <v>4.7619047620000003</v>
      </c>
      <c r="P910" s="2">
        <v>7.9539999999999997</v>
      </c>
      <c r="Q910" s="2">
        <v>6.2</v>
      </c>
      <c r="R910" s="3" t="str">
        <f t="shared" si="30"/>
        <v>March</v>
      </c>
      <c r="S910" s="3">
        <f t="shared" si="29"/>
        <v>3</v>
      </c>
      <c r="T910" s="3" t="str">
        <f>IF(tbl_sales[[#This Row],[Sales]]&gt;=500,"High Value","Standard")</f>
        <v>Standard</v>
      </c>
      <c r="U910" s="1" t="str">
        <f>IF(tbl_sales[[#This Row],[Order Size]]="High Value","High Value Order","Standard Order")</f>
        <v>Standard Order</v>
      </c>
      <c r="V910" s="1"/>
      <c r="W910" s="17" t="s">
        <v>37</v>
      </c>
      <c r="X910" s="17"/>
      <c r="Y910" s="6"/>
      <c r="Z910" s="1"/>
    </row>
    <row r="911" spans="1:26">
      <c r="A911" s="3" t="s">
        <v>5030</v>
      </c>
      <c r="B911" s="3" t="s">
        <v>115</v>
      </c>
      <c r="C911" s="3" t="s">
        <v>116</v>
      </c>
      <c r="D911" s="3" t="s">
        <v>41</v>
      </c>
      <c r="E911" s="3" t="s">
        <v>25</v>
      </c>
      <c r="F911" s="3" t="s">
        <v>53</v>
      </c>
      <c r="G911" s="2">
        <v>49.01</v>
      </c>
      <c r="H911" s="2">
        <v>10</v>
      </c>
      <c r="I911" s="2">
        <v>24.504999999999999</v>
      </c>
      <c r="J911" s="2">
        <v>514.60500000000002</v>
      </c>
      <c r="K911" s="5">
        <v>43492</v>
      </c>
      <c r="L911" s="4">
        <v>0.44722222222222224</v>
      </c>
      <c r="M911" s="3" t="s">
        <v>59</v>
      </c>
      <c r="N911" s="2">
        <v>490.1</v>
      </c>
      <c r="O911" s="2">
        <v>4.7619047620000003</v>
      </c>
      <c r="P911" s="2">
        <v>24.504999999999999</v>
      </c>
      <c r="Q911" s="2">
        <v>4.2</v>
      </c>
      <c r="R911" s="3" t="str">
        <f t="shared" si="30"/>
        <v>January</v>
      </c>
      <c r="S911" s="3">
        <f t="shared" si="29"/>
        <v>1</v>
      </c>
      <c r="T911" s="3" t="str">
        <f>IF(tbl_sales[[#This Row],[Sales]]&gt;=500,"High Value","Standard")</f>
        <v>High Value</v>
      </c>
      <c r="U911" s="1" t="str">
        <f>IF(tbl_sales[[#This Row],[Order Size]]="High Value","High Value Order","Standard Order")</f>
        <v>High Value Order</v>
      </c>
      <c r="V911" s="1"/>
      <c r="W911" s="17" t="s">
        <v>37</v>
      </c>
      <c r="X911" s="17"/>
      <c r="Y911" s="6"/>
      <c r="Z911" s="1"/>
    </row>
    <row r="912" spans="1:26">
      <c r="A912" s="3" t="s">
        <v>5036</v>
      </c>
      <c r="B912" s="3" t="s">
        <v>115</v>
      </c>
      <c r="C912" s="3" t="s">
        <v>116</v>
      </c>
      <c r="D912" s="3" t="s">
        <v>24</v>
      </c>
      <c r="E912" s="3" t="s">
        <v>25</v>
      </c>
      <c r="F912" s="3" t="s">
        <v>117</v>
      </c>
      <c r="G912" s="2">
        <v>29.15</v>
      </c>
      <c r="H912" s="2">
        <v>3</v>
      </c>
      <c r="I912" s="2">
        <v>4.3724999999999996</v>
      </c>
      <c r="J912" s="2">
        <v>91.822500000000005</v>
      </c>
      <c r="K912" s="5">
        <v>43551</v>
      </c>
      <c r="L912" s="4">
        <v>0.85347222222222219</v>
      </c>
      <c r="M912" s="3" t="s">
        <v>59</v>
      </c>
      <c r="N912" s="2">
        <v>87.45</v>
      </c>
      <c r="O912" s="2">
        <v>4.7619047620000003</v>
      </c>
      <c r="P912" s="2">
        <v>4.3724999999999996</v>
      </c>
      <c r="Q912" s="2">
        <v>7.3</v>
      </c>
      <c r="R912" s="3" t="str">
        <f t="shared" si="30"/>
        <v>March</v>
      </c>
      <c r="S912" s="3">
        <f t="shared" si="29"/>
        <v>3</v>
      </c>
      <c r="T912" s="3" t="str">
        <f>IF(tbl_sales[[#This Row],[Sales]]&gt;=500,"High Value","Standard")</f>
        <v>Standard</v>
      </c>
      <c r="U912" s="1" t="str">
        <f>IF(tbl_sales[[#This Row],[Order Size]]="High Value","High Value Order","Standard Order")</f>
        <v>Standard Order</v>
      </c>
      <c r="V912" s="1"/>
      <c r="W912" s="17" t="s">
        <v>37</v>
      </c>
      <c r="X912" s="17"/>
      <c r="Y912" s="6"/>
      <c r="Z912" s="1"/>
    </row>
    <row r="913" spans="1:26">
      <c r="A913" s="3" t="s">
        <v>5040</v>
      </c>
      <c r="B913" s="3" t="s">
        <v>39</v>
      </c>
      <c r="C913" s="3" t="s">
        <v>40</v>
      </c>
      <c r="D913" s="3" t="s">
        <v>41</v>
      </c>
      <c r="E913" s="3" t="s">
        <v>25</v>
      </c>
      <c r="F913" s="3" t="s">
        <v>42</v>
      </c>
      <c r="G913" s="2">
        <v>56.13</v>
      </c>
      <c r="H913" s="2">
        <v>4</v>
      </c>
      <c r="I913" s="2">
        <v>11.226000000000001</v>
      </c>
      <c r="J913" s="2">
        <v>235.74600000000001</v>
      </c>
      <c r="K913" s="5">
        <v>43484</v>
      </c>
      <c r="L913" s="4">
        <v>0.48819444444444443</v>
      </c>
      <c r="M913" s="3" t="s">
        <v>33</v>
      </c>
      <c r="N913" s="2">
        <v>224.52</v>
      </c>
      <c r="O913" s="2">
        <v>4.7619047620000003</v>
      </c>
      <c r="P913" s="2">
        <v>11.226000000000001</v>
      </c>
      <c r="Q913" s="2">
        <v>8.6</v>
      </c>
      <c r="R913" s="3" t="str">
        <f t="shared" si="30"/>
        <v>January</v>
      </c>
      <c r="S913" s="3">
        <f t="shared" si="29"/>
        <v>1</v>
      </c>
      <c r="T913" s="3" t="str">
        <f>IF(tbl_sales[[#This Row],[Sales]]&gt;=500,"High Value","Standard")</f>
        <v>Standard</v>
      </c>
      <c r="U913" s="1" t="str">
        <f>IF(tbl_sales[[#This Row],[Order Size]]="High Value","High Value Order","Standard Order")</f>
        <v>Standard Order</v>
      </c>
      <c r="V913" s="1"/>
      <c r="W913" s="17" t="s">
        <v>37</v>
      </c>
      <c r="X913" s="17"/>
      <c r="Y913" s="6"/>
      <c r="Z913" s="1"/>
    </row>
    <row r="914" spans="1:26">
      <c r="A914" s="3" t="s">
        <v>5045</v>
      </c>
      <c r="B914" s="3" t="s">
        <v>22</v>
      </c>
      <c r="C914" s="3" t="s">
        <v>23</v>
      </c>
      <c r="D914" s="3" t="s">
        <v>41</v>
      </c>
      <c r="E914" s="3" t="s">
        <v>25</v>
      </c>
      <c r="F914" s="3" t="s">
        <v>53</v>
      </c>
      <c r="G914" s="2">
        <v>93.12</v>
      </c>
      <c r="H914" s="2">
        <v>8</v>
      </c>
      <c r="I914" s="2">
        <v>37.247999999999998</v>
      </c>
      <c r="J914" s="2">
        <v>782.20799999999997</v>
      </c>
      <c r="K914" s="5">
        <v>43503</v>
      </c>
      <c r="L914" s="4">
        <v>0.42291666666666666</v>
      </c>
      <c r="M914" s="3" t="s">
        <v>49</v>
      </c>
      <c r="N914" s="2">
        <v>744.96</v>
      </c>
      <c r="O914" s="2">
        <v>4.7619047620000003</v>
      </c>
      <c r="P914" s="2">
        <v>37.247999999999998</v>
      </c>
      <c r="Q914" s="2">
        <v>6.8</v>
      </c>
      <c r="R914" s="3" t="str">
        <f t="shared" si="30"/>
        <v>February</v>
      </c>
      <c r="S914" s="3">
        <f t="shared" si="29"/>
        <v>2</v>
      </c>
      <c r="T914" s="3" t="str">
        <f>IF(tbl_sales[[#This Row],[Sales]]&gt;=500,"High Value","Standard")</f>
        <v>High Value</v>
      </c>
      <c r="U914" s="1" t="str">
        <f>IF(tbl_sales[[#This Row],[Order Size]]="High Value","High Value Order","Standard Order")</f>
        <v>High Value Order</v>
      </c>
      <c r="V914" s="1"/>
      <c r="W914" s="17" t="s">
        <v>37</v>
      </c>
      <c r="X914" s="17"/>
      <c r="Y914" s="6"/>
      <c r="Z914" s="1"/>
    </row>
    <row r="915" spans="1:26">
      <c r="A915" s="3" t="s">
        <v>5051</v>
      </c>
      <c r="B915" s="3" t="s">
        <v>22</v>
      </c>
      <c r="C915" s="3" t="s">
        <v>23</v>
      </c>
      <c r="D915" s="3" t="s">
        <v>24</v>
      </c>
      <c r="E915" s="3" t="s">
        <v>992</v>
      </c>
      <c r="F915" s="3" t="s">
        <v>127</v>
      </c>
      <c r="G915" s="2">
        <v>51.34</v>
      </c>
      <c r="H915" s="2">
        <v>8</v>
      </c>
      <c r="I915" s="2">
        <v>20.536000000000001</v>
      </c>
      <c r="J915" s="2">
        <v>431.25599999999997</v>
      </c>
      <c r="K915" s="5">
        <v>43496</v>
      </c>
      <c r="L915" s="4">
        <v>0.41666666666666669</v>
      </c>
      <c r="M915" s="3" t="s">
        <v>33</v>
      </c>
      <c r="N915" s="2">
        <v>410.72</v>
      </c>
      <c r="O915" s="2">
        <v>4.7619047620000003</v>
      </c>
      <c r="P915" s="2">
        <v>20.536000000000001</v>
      </c>
      <c r="Q915" s="2">
        <v>7.6</v>
      </c>
      <c r="R915" s="3" t="str">
        <f t="shared" si="30"/>
        <v>January</v>
      </c>
      <c r="S915" s="3">
        <f t="shared" si="29"/>
        <v>1</v>
      </c>
      <c r="T915" s="3" t="str">
        <f>IF(tbl_sales[[#This Row],[Sales]]&gt;=500,"High Value","Standard")</f>
        <v>Standard</v>
      </c>
      <c r="U915" s="1" t="str">
        <f>IF(tbl_sales[[#This Row],[Order Size]]="High Value","High Value Order","Standard Order")</f>
        <v>Standard Order</v>
      </c>
      <c r="V915" s="1"/>
      <c r="W915" s="17" t="s">
        <v>37</v>
      </c>
      <c r="X915" s="17"/>
      <c r="Y915" s="6"/>
      <c r="Z915" s="1"/>
    </row>
    <row r="916" spans="1:26">
      <c r="A916" s="3" t="s">
        <v>5055</v>
      </c>
      <c r="B916" s="3" t="s">
        <v>22</v>
      </c>
      <c r="C916" s="3" t="s">
        <v>23</v>
      </c>
      <c r="D916" s="3" t="s">
        <v>24</v>
      </c>
      <c r="E916" s="3" t="s">
        <v>25</v>
      </c>
      <c r="F916" s="3" t="s">
        <v>117</v>
      </c>
      <c r="G916" s="2">
        <v>99.6</v>
      </c>
      <c r="H916" s="2">
        <v>3</v>
      </c>
      <c r="I916" s="2">
        <v>14.94</v>
      </c>
      <c r="J916" s="2">
        <v>313.74</v>
      </c>
      <c r="K916" s="5">
        <v>43521</v>
      </c>
      <c r="L916" s="4">
        <v>0.78125</v>
      </c>
      <c r="M916" s="3" t="s">
        <v>49</v>
      </c>
      <c r="N916" s="2">
        <v>298.8</v>
      </c>
      <c r="O916" s="2">
        <v>4.7619047620000003</v>
      </c>
      <c r="P916" s="2">
        <v>14.94</v>
      </c>
      <c r="Q916" s="2">
        <v>5.8</v>
      </c>
      <c r="R916" s="3" t="str">
        <f t="shared" si="30"/>
        <v>February</v>
      </c>
      <c r="S916" s="3">
        <f t="shared" si="29"/>
        <v>2</v>
      </c>
      <c r="T916" s="3" t="str">
        <f>IF(tbl_sales[[#This Row],[Sales]]&gt;=500,"High Value","Standard")</f>
        <v>Standard</v>
      </c>
      <c r="U916" s="1" t="str">
        <f>IF(tbl_sales[[#This Row],[Order Size]]="High Value","High Value Order","Standard Order")</f>
        <v>Standard Order</v>
      </c>
      <c r="V916" s="1"/>
      <c r="W916" s="17" t="s">
        <v>37</v>
      </c>
      <c r="X916" s="17"/>
      <c r="Y916" s="6"/>
      <c r="Z916" s="1"/>
    </row>
    <row r="917" spans="1:26">
      <c r="A917" s="3" t="s">
        <v>5060</v>
      </c>
      <c r="B917" s="3" t="s">
        <v>39</v>
      </c>
      <c r="C917" s="3" t="s">
        <v>40</v>
      </c>
      <c r="D917" s="3" t="s">
        <v>41</v>
      </c>
      <c r="E917" s="3" t="s">
        <v>25</v>
      </c>
      <c r="F917" s="3" t="s">
        <v>42</v>
      </c>
      <c r="G917" s="2">
        <v>35.49</v>
      </c>
      <c r="H917" s="2">
        <v>6</v>
      </c>
      <c r="I917" s="2">
        <v>10.647</v>
      </c>
      <c r="J917" s="2">
        <v>223.58699999999999</v>
      </c>
      <c r="K917" s="5">
        <v>43498</v>
      </c>
      <c r="L917" s="4">
        <v>0.52777777777777779</v>
      </c>
      <c r="M917" s="3" t="s">
        <v>49</v>
      </c>
      <c r="N917" s="2">
        <v>212.94</v>
      </c>
      <c r="O917" s="2">
        <v>4.7619047620000003</v>
      </c>
      <c r="P917" s="2">
        <v>10.647</v>
      </c>
      <c r="Q917" s="2">
        <v>4.0999999999999996</v>
      </c>
      <c r="R917" s="3" t="str">
        <f t="shared" si="30"/>
        <v>February</v>
      </c>
      <c r="S917" s="3">
        <f t="shared" si="29"/>
        <v>2</v>
      </c>
      <c r="T917" s="3" t="str">
        <f>IF(tbl_sales[[#This Row],[Sales]]&gt;=500,"High Value","Standard")</f>
        <v>Standard</v>
      </c>
      <c r="U917" s="1" t="str">
        <f>IF(tbl_sales[[#This Row],[Order Size]]="High Value","High Value Order","Standard Order")</f>
        <v>Standard Order</v>
      </c>
      <c r="V917" s="1"/>
      <c r="W917" s="17" t="s">
        <v>37</v>
      </c>
      <c r="X917" s="17"/>
      <c r="Y917" s="6"/>
      <c r="Z917" s="1"/>
    </row>
    <row r="918" spans="1:26">
      <c r="A918" s="3" t="s">
        <v>5065</v>
      </c>
      <c r="B918" s="3" t="s">
        <v>39</v>
      </c>
      <c r="C918" s="3" t="s">
        <v>40</v>
      </c>
      <c r="D918" s="3" t="s">
        <v>24</v>
      </c>
      <c r="E918" s="3" t="s">
        <v>992</v>
      </c>
      <c r="F918" s="3" t="s">
        <v>72</v>
      </c>
      <c r="G918" s="2">
        <v>42.85</v>
      </c>
      <c r="H918" s="2">
        <v>1</v>
      </c>
      <c r="I918" s="2">
        <v>2.1425000000000001</v>
      </c>
      <c r="J918" s="2">
        <v>44.9925</v>
      </c>
      <c r="K918" s="5">
        <v>43538</v>
      </c>
      <c r="L918" s="4">
        <v>0.65</v>
      </c>
      <c r="M918" s="3" t="s">
        <v>59</v>
      </c>
      <c r="N918" s="2">
        <v>42.85</v>
      </c>
      <c r="O918" s="2">
        <v>4.7619047620000003</v>
      </c>
      <c r="P918" s="2">
        <v>2.1425000000000001</v>
      </c>
      <c r="Q918" s="2">
        <v>9.3000000000000007</v>
      </c>
      <c r="R918" s="3" t="str">
        <f t="shared" si="30"/>
        <v>March</v>
      </c>
      <c r="S918" s="3">
        <f t="shared" si="29"/>
        <v>3</v>
      </c>
      <c r="T918" s="3" t="str">
        <f>IF(tbl_sales[[#This Row],[Sales]]&gt;=500,"High Value","Standard")</f>
        <v>Standard</v>
      </c>
      <c r="U918" s="1" t="str">
        <f>IF(tbl_sales[[#This Row],[Order Size]]="High Value","High Value Order","Standard Order")</f>
        <v>Standard Order</v>
      </c>
      <c r="V918" s="1"/>
      <c r="W918" s="17" t="s">
        <v>37</v>
      </c>
      <c r="X918" s="17"/>
      <c r="Y918" s="6"/>
      <c r="Z918" s="1"/>
    </row>
    <row r="919" spans="1:26">
      <c r="A919" s="3" t="s">
        <v>5069</v>
      </c>
      <c r="B919" s="3" t="s">
        <v>22</v>
      </c>
      <c r="C919" s="3" t="s">
        <v>23</v>
      </c>
      <c r="D919" s="3" t="s">
        <v>41</v>
      </c>
      <c r="E919" s="3" t="s">
        <v>25</v>
      </c>
      <c r="F919" s="3" t="s">
        <v>127</v>
      </c>
      <c r="G919" s="2">
        <v>94.67</v>
      </c>
      <c r="H919" s="2">
        <v>4</v>
      </c>
      <c r="I919" s="2">
        <v>18.934000000000001</v>
      </c>
      <c r="J919" s="2">
        <v>397.61399999999998</v>
      </c>
      <c r="K919" s="5">
        <v>43535</v>
      </c>
      <c r="L919" s="4">
        <v>0.50277777777777777</v>
      </c>
      <c r="M919" s="3" t="s">
        <v>49</v>
      </c>
      <c r="N919" s="2">
        <v>378.68</v>
      </c>
      <c r="O919" s="2">
        <v>4.7619047620000003</v>
      </c>
      <c r="P919" s="2">
        <v>18.934000000000001</v>
      </c>
      <c r="Q919" s="2">
        <v>6.8</v>
      </c>
      <c r="R919" s="3" t="str">
        <f t="shared" si="30"/>
        <v>March</v>
      </c>
      <c r="S919" s="3">
        <f t="shared" si="29"/>
        <v>3</v>
      </c>
      <c r="T919" s="3" t="str">
        <f>IF(tbl_sales[[#This Row],[Sales]]&gt;=500,"High Value","Standard")</f>
        <v>Standard</v>
      </c>
      <c r="U919" s="1" t="str">
        <f>IF(tbl_sales[[#This Row],[Order Size]]="High Value","High Value Order","Standard Order")</f>
        <v>Standard Order</v>
      </c>
      <c r="V919" s="1"/>
      <c r="W919" s="17" t="s">
        <v>37</v>
      </c>
      <c r="X919" s="17"/>
      <c r="Y919" s="6"/>
      <c r="Z919" s="1"/>
    </row>
    <row r="920" spans="1:26">
      <c r="A920" s="3" t="s">
        <v>5074</v>
      </c>
      <c r="B920" s="3" t="s">
        <v>115</v>
      </c>
      <c r="C920" s="3" t="s">
        <v>116</v>
      </c>
      <c r="D920" s="3" t="s">
        <v>41</v>
      </c>
      <c r="E920" s="3" t="s">
        <v>992</v>
      </c>
      <c r="F920" s="3" t="s">
        <v>53</v>
      </c>
      <c r="G920" s="2">
        <v>68.97</v>
      </c>
      <c r="H920" s="2">
        <v>3</v>
      </c>
      <c r="I920" s="2">
        <v>10.345499999999999</v>
      </c>
      <c r="J920" s="2">
        <v>217.25550000000001</v>
      </c>
      <c r="K920" s="5">
        <v>43518</v>
      </c>
      <c r="L920" s="4">
        <v>0.47638888888888886</v>
      </c>
      <c r="M920" s="3" t="s">
        <v>33</v>
      </c>
      <c r="N920" s="2">
        <v>206.91</v>
      </c>
      <c r="O920" s="2">
        <v>4.7619047620000003</v>
      </c>
      <c r="P920" s="2">
        <v>10.345499999999999</v>
      </c>
      <c r="Q920" s="2">
        <v>8.6999999999999993</v>
      </c>
      <c r="R920" s="3" t="str">
        <f t="shared" si="30"/>
        <v>February</v>
      </c>
      <c r="S920" s="3">
        <f t="shared" si="29"/>
        <v>2</v>
      </c>
      <c r="T920" s="3" t="str">
        <f>IF(tbl_sales[[#This Row],[Sales]]&gt;=500,"High Value","Standard")</f>
        <v>Standard</v>
      </c>
      <c r="U920" s="1" t="str">
        <f>IF(tbl_sales[[#This Row],[Order Size]]="High Value","High Value Order","Standard Order")</f>
        <v>Standard Order</v>
      </c>
      <c r="V920" s="1"/>
      <c r="W920" s="17" t="s">
        <v>37</v>
      </c>
      <c r="X920" s="17"/>
      <c r="Y920" s="6"/>
      <c r="Z920" s="1"/>
    </row>
    <row r="921" spans="1:26">
      <c r="A921" s="3" t="s">
        <v>5079</v>
      </c>
      <c r="B921" s="3" t="s">
        <v>115</v>
      </c>
      <c r="C921" s="3" t="s">
        <v>116</v>
      </c>
      <c r="D921" s="3" t="s">
        <v>24</v>
      </c>
      <c r="E921" s="3" t="s">
        <v>25</v>
      </c>
      <c r="F921" s="3" t="s">
        <v>42</v>
      </c>
      <c r="G921" s="2">
        <v>26.26</v>
      </c>
      <c r="H921" s="2">
        <v>3</v>
      </c>
      <c r="I921" s="2">
        <v>3.9390000000000001</v>
      </c>
      <c r="J921" s="2">
        <v>82.718999999999994</v>
      </c>
      <c r="K921" s="5">
        <v>43526</v>
      </c>
      <c r="L921" s="4">
        <v>0.52500000000000002</v>
      </c>
      <c r="M921" s="3" t="s">
        <v>33</v>
      </c>
      <c r="N921" s="2">
        <v>78.78</v>
      </c>
      <c r="O921" s="2">
        <v>4.7619047620000003</v>
      </c>
      <c r="P921" s="2">
        <v>3.9390000000000001</v>
      </c>
      <c r="Q921" s="2">
        <v>6.3</v>
      </c>
      <c r="R921" s="3" t="str">
        <f t="shared" si="30"/>
        <v>March</v>
      </c>
      <c r="S921" s="3">
        <f t="shared" si="29"/>
        <v>3</v>
      </c>
      <c r="T921" s="3" t="str">
        <f>IF(tbl_sales[[#This Row],[Sales]]&gt;=500,"High Value","Standard")</f>
        <v>Standard</v>
      </c>
      <c r="U921" s="1" t="str">
        <f>IF(tbl_sales[[#This Row],[Order Size]]="High Value","High Value Order","Standard Order")</f>
        <v>Standard Order</v>
      </c>
      <c r="V921" s="1"/>
      <c r="W921" s="17" t="s">
        <v>37</v>
      </c>
      <c r="X921" s="17"/>
      <c r="Y921" s="6"/>
      <c r="Z921" s="1"/>
    </row>
    <row r="922" spans="1:26">
      <c r="A922" s="3" t="s">
        <v>5083</v>
      </c>
      <c r="B922" s="3" t="s">
        <v>39</v>
      </c>
      <c r="C922" s="3" t="s">
        <v>40</v>
      </c>
      <c r="D922" s="3" t="s">
        <v>24</v>
      </c>
      <c r="E922" s="3" t="s">
        <v>25</v>
      </c>
      <c r="F922" s="3" t="s">
        <v>53</v>
      </c>
      <c r="G922" s="2">
        <v>35.79</v>
      </c>
      <c r="H922" s="2">
        <v>9</v>
      </c>
      <c r="I922" s="2">
        <v>16.105499999999999</v>
      </c>
      <c r="J922" s="2">
        <v>338.21550000000002</v>
      </c>
      <c r="K922" s="5">
        <v>43534</v>
      </c>
      <c r="L922" s="4">
        <v>0.62916666666666665</v>
      </c>
      <c r="M922" s="3" t="s">
        <v>59</v>
      </c>
      <c r="N922" s="2">
        <v>322.11</v>
      </c>
      <c r="O922" s="2">
        <v>4.7619047620000003</v>
      </c>
      <c r="P922" s="2">
        <v>16.105499999999999</v>
      </c>
      <c r="Q922" s="2">
        <v>5.0999999999999996</v>
      </c>
      <c r="R922" s="3" t="str">
        <f t="shared" si="30"/>
        <v>March</v>
      </c>
      <c r="S922" s="3">
        <f t="shared" si="29"/>
        <v>3</v>
      </c>
      <c r="T922" s="3" t="str">
        <f>IF(tbl_sales[[#This Row],[Sales]]&gt;=500,"High Value","Standard")</f>
        <v>Standard</v>
      </c>
      <c r="U922" s="1" t="str">
        <f>IF(tbl_sales[[#This Row],[Order Size]]="High Value","High Value Order","Standard Order")</f>
        <v>Standard Order</v>
      </c>
      <c r="V922" s="1"/>
      <c r="W922" s="17" t="s">
        <v>37</v>
      </c>
      <c r="X922" s="17"/>
      <c r="Y922" s="6"/>
      <c r="Z922" s="1"/>
    </row>
    <row r="923" spans="1:26">
      <c r="A923" s="3" t="s">
        <v>5088</v>
      </c>
      <c r="B923" s="3" t="s">
        <v>115</v>
      </c>
      <c r="C923" s="3" t="s">
        <v>116</v>
      </c>
      <c r="D923" s="3" t="s">
        <v>41</v>
      </c>
      <c r="E923" s="3" t="s">
        <v>25</v>
      </c>
      <c r="F923" s="3" t="s">
        <v>53</v>
      </c>
      <c r="G923" s="2">
        <v>16.37</v>
      </c>
      <c r="H923" s="2">
        <v>6</v>
      </c>
      <c r="I923" s="2">
        <v>4.9109999999999996</v>
      </c>
      <c r="J923" s="2">
        <v>103.131</v>
      </c>
      <c r="K923" s="5">
        <v>43504</v>
      </c>
      <c r="L923" s="4">
        <v>0.45694444444444443</v>
      </c>
      <c r="M923" s="3" t="s">
        <v>49</v>
      </c>
      <c r="N923" s="2">
        <v>98.22</v>
      </c>
      <c r="O923" s="2">
        <v>4.7619047620000003</v>
      </c>
      <c r="P923" s="2">
        <v>4.9109999999999996</v>
      </c>
      <c r="Q923" s="2">
        <v>7</v>
      </c>
      <c r="R923" s="3" t="str">
        <f t="shared" si="30"/>
        <v>February</v>
      </c>
      <c r="S923" s="3">
        <f t="shared" si="29"/>
        <v>2</v>
      </c>
      <c r="T923" s="3" t="str">
        <f>IF(tbl_sales[[#This Row],[Sales]]&gt;=500,"High Value","Standard")</f>
        <v>Standard</v>
      </c>
      <c r="U923" s="1" t="str">
        <f>IF(tbl_sales[[#This Row],[Order Size]]="High Value","High Value Order","Standard Order")</f>
        <v>Standard Order</v>
      </c>
      <c r="V923" s="1"/>
      <c r="W923" s="17" t="s">
        <v>37</v>
      </c>
      <c r="X923" s="17"/>
      <c r="Y923" s="6"/>
      <c r="Z923" s="1"/>
    </row>
    <row r="924" spans="1:26">
      <c r="A924" s="3" t="s">
        <v>5094</v>
      </c>
      <c r="B924" s="3" t="s">
        <v>39</v>
      </c>
      <c r="C924" s="3" t="s">
        <v>40</v>
      </c>
      <c r="D924" s="3" t="s">
        <v>24</v>
      </c>
      <c r="E924" s="3" t="s">
        <v>25</v>
      </c>
      <c r="F924" s="3" t="s">
        <v>53</v>
      </c>
      <c r="G924" s="2">
        <v>12.73</v>
      </c>
      <c r="H924" s="2">
        <v>2</v>
      </c>
      <c r="I924" s="2">
        <v>1.2729999999999999</v>
      </c>
      <c r="J924" s="2">
        <v>26.733000000000001</v>
      </c>
      <c r="K924" s="5">
        <v>43518</v>
      </c>
      <c r="L924" s="4">
        <v>0.50694444444444442</v>
      </c>
      <c r="M924" s="3" t="s">
        <v>59</v>
      </c>
      <c r="N924" s="2">
        <v>25.46</v>
      </c>
      <c r="O924" s="2">
        <v>4.7619047620000003</v>
      </c>
      <c r="P924" s="2">
        <v>1.2729999999999999</v>
      </c>
      <c r="Q924" s="2">
        <v>5.2</v>
      </c>
      <c r="R924" s="3" t="str">
        <f t="shared" si="30"/>
        <v>February</v>
      </c>
      <c r="S924" s="3">
        <f t="shared" si="29"/>
        <v>2</v>
      </c>
      <c r="T924" s="3" t="str">
        <f>IF(tbl_sales[[#This Row],[Sales]]&gt;=500,"High Value","Standard")</f>
        <v>Standard</v>
      </c>
      <c r="U924" s="1" t="str">
        <f>IF(tbl_sales[[#This Row],[Order Size]]="High Value","High Value Order","Standard Order")</f>
        <v>Standard Order</v>
      </c>
      <c r="V924" s="1"/>
      <c r="W924" s="17" t="s">
        <v>37</v>
      </c>
      <c r="X924" s="17"/>
      <c r="Y924" s="6"/>
      <c r="Z924" s="1"/>
    </row>
    <row r="925" spans="1:26">
      <c r="A925" s="3" t="s">
        <v>5099</v>
      </c>
      <c r="B925" s="3" t="s">
        <v>39</v>
      </c>
      <c r="C925" s="3" t="s">
        <v>40</v>
      </c>
      <c r="D925" s="3" t="s">
        <v>41</v>
      </c>
      <c r="E925" s="3" t="s">
        <v>25</v>
      </c>
      <c r="F925" s="3" t="s">
        <v>72</v>
      </c>
      <c r="G925" s="2">
        <v>83.14</v>
      </c>
      <c r="H925" s="2">
        <v>7</v>
      </c>
      <c r="I925" s="2">
        <v>29.099</v>
      </c>
      <c r="J925" s="2">
        <v>611.07899999999995</v>
      </c>
      <c r="K925" s="5">
        <v>43475</v>
      </c>
      <c r="L925" s="4">
        <v>0.43819444444444444</v>
      </c>
      <c r="M925" s="3" t="s">
        <v>59</v>
      </c>
      <c r="N925" s="2">
        <v>581.98</v>
      </c>
      <c r="O925" s="2">
        <v>4.7619047620000003</v>
      </c>
      <c r="P925" s="2">
        <v>29.099</v>
      </c>
      <c r="Q925" s="2">
        <v>6.6</v>
      </c>
      <c r="R925" s="3" t="str">
        <f t="shared" si="30"/>
        <v>January</v>
      </c>
      <c r="S925" s="3">
        <f t="shared" si="29"/>
        <v>1</v>
      </c>
      <c r="T925" s="3" t="str">
        <f>IF(tbl_sales[[#This Row],[Sales]]&gt;=500,"High Value","Standard")</f>
        <v>High Value</v>
      </c>
      <c r="U925" s="1" t="str">
        <f>IF(tbl_sales[[#This Row],[Order Size]]="High Value","High Value Order","Standard Order")</f>
        <v>High Value Order</v>
      </c>
      <c r="V925" s="1"/>
      <c r="W925" s="17" t="s">
        <v>37</v>
      </c>
      <c r="X925" s="17"/>
      <c r="Y925" s="6"/>
      <c r="Z925" s="1"/>
    </row>
    <row r="926" spans="1:26">
      <c r="A926" s="3" t="s">
        <v>5104</v>
      </c>
      <c r="B926" s="3" t="s">
        <v>39</v>
      </c>
      <c r="C926" s="3" t="s">
        <v>40</v>
      </c>
      <c r="D926" s="3" t="s">
        <v>24</v>
      </c>
      <c r="E926" s="3" t="s">
        <v>25</v>
      </c>
      <c r="F926" s="3" t="s">
        <v>72</v>
      </c>
      <c r="G926" s="2">
        <v>35.22</v>
      </c>
      <c r="H926" s="2">
        <v>6</v>
      </c>
      <c r="I926" s="2">
        <v>10.566000000000001</v>
      </c>
      <c r="J926" s="2">
        <v>221.886</v>
      </c>
      <c r="K926" s="5">
        <v>43538</v>
      </c>
      <c r="L926" s="4">
        <v>0.5756944444444444</v>
      </c>
      <c r="M926" s="3" t="s">
        <v>33</v>
      </c>
      <c r="N926" s="2">
        <v>211.32</v>
      </c>
      <c r="O926" s="2">
        <v>4.7619047620000003</v>
      </c>
      <c r="P926" s="2">
        <v>10.566000000000001</v>
      </c>
      <c r="Q926" s="2">
        <v>6.5</v>
      </c>
      <c r="R926" s="3" t="str">
        <f t="shared" si="30"/>
        <v>March</v>
      </c>
      <c r="S926" s="3">
        <f t="shared" si="29"/>
        <v>3</v>
      </c>
      <c r="T926" s="3" t="str">
        <f>IF(tbl_sales[[#This Row],[Sales]]&gt;=500,"High Value","Standard")</f>
        <v>Standard</v>
      </c>
      <c r="U926" s="1" t="str">
        <f>IF(tbl_sales[[#This Row],[Order Size]]="High Value","High Value Order","Standard Order")</f>
        <v>Standard Order</v>
      </c>
      <c r="V926" s="1"/>
      <c r="W926" s="17" t="s">
        <v>37</v>
      </c>
      <c r="X926" s="17"/>
      <c r="Y926" s="6"/>
      <c r="Z926" s="1"/>
    </row>
    <row r="927" spans="1:26">
      <c r="A927" s="3" t="s">
        <v>5110</v>
      </c>
      <c r="B927" s="3" t="s">
        <v>115</v>
      </c>
      <c r="C927" s="3" t="s">
        <v>116</v>
      </c>
      <c r="D927" s="3" t="s">
        <v>41</v>
      </c>
      <c r="E927" s="3" t="s">
        <v>25</v>
      </c>
      <c r="F927" s="3" t="s">
        <v>42</v>
      </c>
      <c r="G927" s="2">
        <v>13.78</v>
      </c>
      <c r="H927" s="2">
        <v>4</v>
      </c>
      <c r="I927" s="2">
        <v>2.7559999999999998</v>
      </c>
      <c r="J927" s="2">
        <v>57.875999999999998</v>
      </c>
      <c r="K927" s="5">
        <v>43475</v>
      </c>
      <c r="L927" s="4">
        <v>0.46527777777777779</v>
      </c>
      <c r="M927" s="3" t="s">
        <v>33</v>
      </c>
      <c r="N927" s="2">
        <v>55.12</v>
      </c>
      <c r="O927" s="2">
        <v>4.7619047620000003</v>
      </c>
      <c r="P927" s="2">
        <v>2.7559999999999998</v>
      </c>
      <c r="Q927" s="2">
        <v>9</v>
      </c>
      <c r="R927" s="3" t="str">
        <f t="shared" si="30"/>
        <v>January</v>
      </c>
      <c r="S927" s="3">
        <f t="shared" si="29"/>
        <v>1</v>
      </c>
      <c r="T927" s="3" t="str">
        <f>IF(tbl_sales[[#This Row],[Sales]]&gt;=500,"High Value","Standard")</f>
        <v>Standard</v>
      </c>
      <c r="U927" s="1" t="str">
        <f>IF(tbl_sales[[#This Row],[Order Size]]="High Value","High Value Order","Standard Order")</f>
        <v>Standard Order</v>
      </c>
      <c r="V927" s="1"/>
      <c r="W927" s="17" t="s">
        <v>37</v>
      </c>
      <c r="X927" s="17"/>
      <c r="Y927" s="6"/>
      <c r="Z927" s="1"/>
    </row>
    <row r="928" spans="1:26">
      <c r="A928" s="3" t="s">
        <v>5116</v>
      </c>
      <c r="B928" s="3" t="s">
        <v>115</v>
      </c>
      <c r="C928" s="3" t="s">
        <v>116</v>
      </c>
      <c r="D928" s="3" t="s">
        <v>24</v>
      </c>
      <c r="E928" s="3" t="s">
        <v>992</v>
      </c>
      <c r="F928" s="3" t="s">
        <v>72</v>
      </c>
      <c r="G928" s="2">
        <v>88.31</v>
      </c>
      <c r="H928" s="2">
        <v>1</v>
      </c>
      <c r="I928" s="2">
        <v>4.4154999999999998</v>
      </c>
      <c r="J928" s="2">
        <v>92.725499999999997</v>
      </c>
      <c r="K928" s="5">
        <v>43511</v>
      </c>
      <c r="L928" s="4">
        <v>0.73472222222222228</v>
      </c>
      <c r="M928" s="3" t="s">
        <v>59</v>
      </c>
      <c r="N928" s="2">
        <v>88.31</v>
      </c>
      <c r="O928" s="2">
        <v>4.7619047620000003</v>
      </c>
      <c r="P928" s="2">
        <v>4.4154999999999998</v>
      </c>
      <c r="Q928" s="2">
        <v>5.2</v>
      </c>
      <c r="R928" s="3" t="str">
        <f t="shared" si="30"/>
        <v>February</v>
      </c>
      <c r="S928" s="3">
        <f t="shared" si="29"/>
        <v>2</v>
      </c>
      <c r="T928" s="3" t="str">
        <f>IF(tbl_sales[[#This Row],[Sales]]&gt;=500,"High Value","Standard")</f>
        <v>Standard</v>
      </c>
      <c r="U928" s="1" t="str">
        <f>IF(tbl_sales[[#This Row],[Order Size]]="High Value","High Value Order","Standard Order")</f>
        <v>Standard Order</v>
      </c>
      <c r="V928" s="1"/>
      <c r="W928" s="17" t="s">
        <v>37</v>
      </c>
      <c r="X928" s="17"/>
      <c r="Y928" s="6"/>
      <c r="Z928" s="1"/>
    </row>
    <row r="929" spans="1:26">
      <c r="A929" s="3" t="s">
        <v>5120</v>
      </c>
      <c r="B929" s="3" t="s">
        <v>22</v>
      </c>
      <c r="C929" s="3" t="s">
        <v>23</v>
      </c>
      <c r="D929" s="3" t="s">
        <v>24</v>
      </c>
      <c r="E929" s="3" t="s">
        <v>25</v>
      </c>
      <c r="F929" s="3" t="s">
        <v>26</v>
      </c>
      <c r="G929" s="2">
        <v>39.619999999999997</v>
      </c>
      <c r="H929" s="2">
        <v>9</v>
      </c>
      <c r="I929" s="2">
        <v>17.829000000000001</v>
      </c>
      <c r="J929" s="2">
        <v>374.40899999999999</v>
      </c>
      <c r="K929" s="5">
        <v>43478</v>
      </c>
      <c r="L929" s="4">
        <v>0.74583333333333335</v>
      </c>
      <c r="M929" s="3" t="s">
        <v>59</v>
      </c>
      <c r="N929" s="2">
        <v>356.58</v>
      </c>
      <c r="O929" s="2">
        <v>4.7619047620000003</v>
      </c>
      <c r="P929" s="2">
        <v>17.829000000000001</v>
      </c>
      <c r="Q929" s="2">
        <v>6.8</v>
      </c>
      <c r="R929" s="3" t="str">
        <f t="shared" si="30"/>
        <v>January</v>
      </c>
      <c r="S929" s="3">
        <f t="shared" si="29"/>
        <v>1</v>
      </c>
      <c r="T929" s="3" t="str">
        <f>IF(tbl_sales[[#This Row],[Sales]]&gt;=500,"High Value","Standard")</f>
        <v>Standard</v>
      </c>
      <c r="U929" s="1" t="str">
        <f>IF(tbl_sales[[#This Row],[Order Size]]="High Value","High Value Order","Standard Order")</f>
        <v>Standard Order</v>
      </c>
      <c r="V929" s="1"/>
      <c r="W929" s="17" t="s">
        <v>37</v>
      </c>
      <c r="X929" s="17"/>
      <c r="Y929" s="6"/>
      <c r="Z929" s="1"/>
    </row>
    <row r="930" spans="1:26">
      <c r="A930" s="3" t="s">
        <v>5124</v>
      </c>
      <c r="B930" s="3" t="s">
        <v>115</v>
      </c>
      <c r="C930" s="3" t="s">
        <v>116</v>
      </c>
      <c r="D930" s="3" t="s">
        <v>41</v>
      </c>
      <c r="E930" s="3" t="s">
        <v>25</v>
      </c>
      <c r="F930" s="3" t="s">
        <v>42</v>
      </c>
      <c r="G930" s="2">
        <v>88.25</v>
      </c>
      <c r="H930" s="2">
        <v>9</v>
      </c>
      <c r="I930" s="2">
        <v>39.712499999999999</v>
      </c>
      <c r="J930" s="2">
        <v>833.96249999999998</v>
      </c>
      <c r="K930" s="5">
        <v>43511</v>
      </c>
      <c r="L930" s="4">
        <v>0.86875000000000002</v>
      </c>
      <c r="M930" s="3" t="s">
        <v>59</v>
      </c>
      <c r="N930" s="2">
        <v>794.25</v>
      </c>
      <c r="O930" s="2">
        <v>4.7619047620000003</v>
      </c>
      <c r="P930" s="2">
        <v>39.712499999999999</v>
      </c>
      <c r="Q930" s="2">
        <v>7.6</v>
      </c>
      <c r="R930" s="3" t="str">
        <f t="shared" si="30"/>
        <v>February</v>
      </c>
      <c r="S930" s="3">
        <f t="shared" si="29"/>
        <v>2</v>
      </c>
      <c r="T930" s="3" t="str">
        <f>IF(tbl_sales[[#This Row],[Sales]]&gt;=500,"High Value","Standard")</f>
        <v>High Value</v>
      </c>
      <c r="U930" s="1" t="str">
        <f>IF(tbl_sales[[#This Row],[Order Size]]="High Value","High Value Order","Standard Order")</f>
        <v>High Value Order</v>
      </c>
      <c r="V930" s="1"/>
      <c r="W930" s="17" t="s">
        <v>37</v>
      </c>
      <c r="X930" s="17"/>
      <c r="Y930" s="6"/>
      <c r="Z930" s="1"/>
    </row>
    <row r="931" spans="1:26">
      <c r="A931" s="3" t="s">
        <v>5129</v>
      </c>
      <c r="B931" s="3" t="s">
        <v>115</v>
      </c>
      <c r="C931" s="3" t="s">
        <v>116</v>
      </c>
      <c r="D931" s="3" t="s">
        <v>41</v>
      </c>
      <c r="E931" s="3" t="s">
        <v>992</v>
      </c>
      <c r="F931" s="3" t="s">
        <v>72</v>
      </c>
      <c r="G931" s="2">
        <v>25.31</v>
      </c>
      <c r="H931" s="2">
        <v>2</v>
      </c>
      <c r="I931" s="2">
        <v>2.5310000000000001</v>
      </c>
      <c r="J931" s="2">
        <v>53.151000000000003</v>
      </c>
      <c r="K931" s="5">
        <v>43526</v>
      </c>
      <c r="L931" s="4">
        <v>0.80972222222222223</v>
      </c>
      <c r="M931" s="3" t="s">
        <v>33</v>
      </c>
      <c r="N931" s="2">
        <v>50.62</v>
      </c>
      <c r="O931" s="2">
        <v>4.7619047620000003</v>
      </c>
      <c r="P931" s="2">
        <v>2.5310000000000001</v>
      </c>
      <c r="Q931" s="2">
        <v>7.2</v>
      </c>
      <c r="R931" s="3" t="str">
        <f t="shared" si="30"/>
        <v>March</v>
      </c>
      <c r="S931" s="3">
        <f t="shared" si="29"/>
        <v>3</v>
      </c>
      <c r="T931" s="3" t="str">
        <f>IF(tbl_sales[[#This Row],[Sales]]&gt;=500,"High Value","Standard")</f>
        <v>Standard</v>
      </c>
      <c r="U931" s="1" t="str">
        <f>IF(tbl_sales[[#This Row],[Order Size]]="High Value","High Value Order","Standard Order")</f>
        <v>Standard Order</v>
      </c>
      <c r="V931" s="1"/>
      <c r="W931" s="17" t="s">
        <v>37</v>
      </c>
      <c r="X931" s="17"/>
      <c r="Y931" s="6"/>
      <c r="Z931" s="1"/>
    </row>
    <row r="932" spans="1:26">
      <c r="A932" s="3" t="s">
        <v>5134</v>
      </c>
      <c r="B932" s="3" t="s">
        <v>115</v>
      </c>
      <c r="C932" s="3" t="s">
        <v>116</v>
      </c>
      <c r="D932" s="3" t="s">
        <v>41</v>
      </c>
      <c r="E932" s="3" t="s">
        <v>992</v>
      </c>
      <c r="F932" s="3" t="s">
        <v>53</v>
      </c>
      <c r="G932" s="2">
        <v>99.92</v>
      </c>
      <c r="H932" s="2">
        <v>6</v>
      </c>
      <c r="I932" s="2">
        <v>29.975999999999999</v>
      </c>
      <c r="J932" s="2">
        <v>629.49599999999998</v>
      </c>
      <c r="K932" s="5">
        <v>43548</v>
      </c>
      <c r="L932" s="4">
        <v>0.56458333333333333</v>
      </c>
      <c r="M932" s="3" t="s">
        <v>33</v>
      </c>
      <c r="N932" s="2">
        <v>599.52</v>
      </c>
      <c r="O932" s="2">
        <v>4.7619047620000003</v>
      </c>
      <c r="P932" s="2">
        <v>29.975999999999999</v>
      </c>
      <c r="Q932" s="2">
        <v>7.1</v>
      </c>
      <c r="R932" s="3" t="str">
        <f t="shared" si="30"/>
        <v>March</v>
      </c>
      <c r="S932" s="3">
        <f t="shared" si="29"/>
        <v>3</v>
      </c>
      <c r="T932" s="3" t="str">
        <f>IF(tbl_sales[[#This Row],[Sales]]&gt;=500,"High Value","Standard")</f>
        <v>High Value</v>
      </c>
      <c r="U932" s="1" t="str">
        <f>IF(tbl_sales[[#This Row],[Order Size]]="High Value","High Value Order","Standard Order")</f>
        <v>High Value Order</v>
      </c>
      <c r="V932" s="1"/>
      <c r="W932" s="17" t="s">
        <v>37</v>
      </c>
      <c r="X932" s="17"/>
      <c r="Y932" s="6"/>
      <c r="Z932" s="1"/>
    </row>
    <row r="933" spans="1:26">
      <c r="A933" s="3" t="s">
        <v>5140</v>
      </c>
      <c r="B933" s="3" t="s">
        <v>39</v>
      </c>
      <c r="C933" s="3" t="s">
        <v>40</v>
      </c>
      <c r="D933" s="3" t="s">
        <v>24</v>
      </c>
      <c r="E933" s="3" t="s">
        <v>25</v>
      </c>
      <c r="F933" s="3" t="s">
        <v>127</v>
      </c>
      <c r="G933" s="2">
        <v>83.35</v>
      </c>
      <c r="H933" s="2">
        <v>2</v>
      </c>
      <c r="I933" s="2">
        <v>8.3350000000000009</v>
      </c>
      <c r="J933" s="2">
        <v>175.035</v>
      </c>
      <c r="K933" s="5">
        <v>43498</v>
      </c>
      <c r="L933" s="4">
        <v>0.58680555555555558</v>
      </c>
      <c r="M933" s="3" t="s">
        <v>59</v>
      </c>
      <c r="N933" s="2">
        <v>166.7</v>
      </c>
      <c r="O933" s="2">
        <v>4.7619047620000003</v>
      </c>
      <c r="P933" s="2">
        <v>8.3350000000000009</v>
      </c>
      <c r="Q933" s="2">
        <v>9.5</v>
      </c>
      <c r="R933" s="3" t="str">
        <f t="shared" si="30"/>
        <v>February</v>
      </c>
      <c r="S933" s="3">
        <f t="shared" si="29"/>
        <v>2</v>
      </c>
      <c r="T933" s="3" t="str">
        <f>IF(tbl_sales[[#This Row],[Sales]]&gt;=500,"High Value","Standard")</f>
        <v>Standard</v>
      </c>
      <c r="U933" s="1" t="str">
        <f>IF(tbl_sales[[#This Row],[Order Size]]="High Value","High Value Order","Standard Order")</f>
        <v>Standard Order</v>
      </c>
      <c r="V933" s="1"/>
      <c r="W933" s="17" t="s">
        <v>37</v>
      </c>
      <c r="X933" s="17"/>
      <c r="Y933" s="6"/>
      <c r="Z933" s="1"/>
    </row>
    <row r="934" spans="1:26">
      <c r="A934" s="3" t="s">
        <v>5146</v>
      </c>
      <c r="B934" s="3" t="s">
        <v>22</v>
      </c>
      <c r="C934" s="3" t="s">
        <v>23</v>
      </c>
      <c r="D934" s="3" t="s">
        <v>41</v>
      </c>
      <c r="E934" s="3" t="s">
        <v>25</v>
      </c>
      <c r="F934" s="3" t="s">
        <v>117</v>
      </c>
      <c r="G934" s="2">
        <v>74.44</v>
      </c>
      <c r="H934" s="2">
        <v>10</v>
      </c>
      <c r="I934" s="2">
        <v>37.22</v>
      </c>
      <c r="J934" s="2">
        <v>781.62</v>
      </c>
      <c r="K934" s="5">
        <v>43523</v>
      </c>
      <c r="L934" s="4">
        <v>0.4861111111111111</v>
      </c>
      <c r="M934" s="3" t="s">
        <v>33</v>
      </c>
      <c r="N934" s="2">
        <v>744.4</v>
      </c>
      <c r="O934" s="2">
        <v>4.7619047620000003</v>
      </c>
      <c r="P934" s="2">
        <v>37.22</v>
      </c>
      <c r="Q934" s="2">
        <v>5.0999999999999996</v>
      </c>
      <c r="R934" s="3" t="str">
        <f t="shared" si="30"/>
        <v>February</v>
      </c>
      <c r="S934" s="3">
        <f t="shared" si="29"/>
        <v>2</v>
      </c>
      <c r="T934" s="3" t="str">
        <f>IF(tbl_sales[[#This Row],[Sales]]&gt;=500,"High Value","Standard")</f>
        <v>High Value</v>
      </c>
      <c r="U934" s="1" t="str">
        <f>IF(tbl_sales[[#This Row],[Order Size]]="High Value","High Value Order","Standard Order")</f>
        <v>High Value Order</v>
      </c>
      <c r="V934" s="1"/>
      <c r="W934" s="17" t="s">
        <v>37</v>
      </c>
      <c r="X934" s="17"/>
      <c r="Y934" s="6"/>
      <c r="Z934" s="1"/>
    </row>
    <row r="935" spans="1:26">
      <c r="A935" s="3" t="s">
        <v>5151</v>
      </c>
      <c r="B935" s="3" t="s">
        <v>39</v>
      </c>
      <c r="C935" s="3" t="s">
        <v>40</v>
      </c>
      <c r="D935" s="3" t="s">
        <v>41</v>
      </c>
      <c r="E935" s="3" t="s">
        <v>992</v>
      </c>
      <c r="F935" s="3" t="s">
        <v>26</v>
      </c>
      <c r="G935" s="2">
        <v>64.08</v>
      </c>
      <c r="H935" s="2">
        <v>7</v>
      </c>
      <c r="I935" s="2">
        <v>22.428000000000001</v>
      </c>
      <c r="J935" s="2">
        <v>470.988</v>
      </c>
      <c r="K935" s="5">
        <v>43485</v>
      </c>
      <c r="L935" s="4">
        <v>0.51875000000000004</v>
      </c>
      <c r="M935" s="3" t="s">
        <v>33</v>
      </c>
      <c r="N935" s="2">
        <v>448.56</v>
      </c>
      <c r="O935" s="2">
        <v>4.7619047620000003</v>
      </c>
      <c r="P935" s="2">
        <v>22.428000000000001</v>
      </c>
      <c r="Q935" s="2">
        <v>7.6</v>
      </c>
      <c r="R935" s="3" t="str">
        <f t="shared" si="30"/>
        <v>January</v>
      </c>
      <c r="S935" s="3">
        <f t="shared" si="29"/>
        <v>1</v>
      </c>
      <c r="T935" s="3" t="str">
        <f>IF(tbl_sales[[#This Row],[Sales]]&gt;=500,"High Value","Standard")</f>
        <v>Standard</v>
      </c>
      <c r="U935" s="1" t="str">
        <f>IF(tbl_sales[[#This Row],[Order Size]]="High Value","High Value Order","Standard Order")</f>
        <v>Standard Order</v>
      </c>
      <c r="V935" s="1"/>
      <c r="W935" s="17" t="s">
        <v>37</v>
      </c>
      <c r="X935" s="17"/>
      <c r="Y935" s="6"/>
      <c r="Z935" s="1"/>
    </row>
    <row r="936" spans="1:26">
      <c r="A936" s="3" t="s">
        <v>5152</v>
      </c>
      <c r="B936" s="3" t="s">
        <v>115</v>
      </c>
      <c r="C936" s="3" t="s">
        <v>116</v>
      </c>
      <c r="D936" s="3" t="s">
        <v>41</v>
      </c>
      <c r="E936" s="3" t="s">
        <v>25</v>
      </c>
      <c r="F936" s="3" t="s">
        <v>53</v>
      </c>
      <c r="G936" s="2">
        <v>63.15</v>
      </c>
      <c r="H936" s="2">
        <v>6</v>
      </c>
      <c r="I936" s="2">
        <v>18.945</v>
      </c>
      <c r="J936" s="2">
        <v>397.84500000000003</v>
      </c>
      <c r="K936" s="5">
        <v>43468</v>
      </c>
      <c r="L936" s="4">
        <v>0.85</v>
      </c>
      <c r="M936" s="3" t="s">
        <v>33</v>
      </c>
      <c r="N936" s="2">
        <v>378.9</v>
      </c>
      <c r="O936" s="2">
        <v>4.7619047620000003</v>
      </c>
      <c r="P936" s="2">
        <v>18.945</v>
      </c>
      <c r="Q936" s="2">
        <v>9.8000000000000007</v>
      </c>
      <c r="R936" s="3" t="str">
        <f t="shared" si="30"/>
        <v>January</v>
      </c>
      <c r="S936" s="3">
        <f t="shared" si="29"/>
        <v>1</v>
      </c>
      <c r="T936" s="3" t="str">
        <f>IF(tbl_sales[[#This Row],[Sales]]&gt;=500,"High Value","Standard")</f>
        <v>Standard</v>
      </c>
      <c r="U936" s="1" t="str">
        <f>IF(tbl_sales[[#This Row],[Order Size]]="High Value","High Value Order","Standard Order")</f>
        <v>Standard Order</v>
      </c>
      <c r="V936" s="1"/>
      <c r="W936" s="17" t="s">
        <v>37</v>
      </c>
      <c r="X936" s="17"/>
      <c r="Y936" s="6"/>
      <c r="Z936" s="1"/>
    </row>
    <row r="937" spans="1:26">
      <c r="A937" s="3" t="s">
        <v>5157</v>
      </c>
      <c r="B937" s="3" t="s">
        <v>39</v>
      </c>
      <c r="C937" s="3" t="s">
        <v>40</v>
      </c>
      <c r="D937" s="3" t="s">
        <v>24</v>
      </c>
      <c r="E937" s="3" t="s">
        <v>992</v>
      </c>
      <c r="F937" s="3" t="s">
        <v>53</v>
      </c>
      <c r="G937" s="2">
        <v>85.72</v>
      </c>
      <c r="H937" s="2">
        <v>3</v>
      </c>
      <c r="I937" s="2">
        <v>12.858000000000001</v>
      </c>
      <c r="J937" s="2">
        <v>270.01799999999997</v>
      </c>
      <c r="K937" s="5">
        <v>43489</v>
      </c>
      <c r="L937" s="4">
        <v>0.87430555555555556</v>
      </c>
      <c r="M937" s="3" t="s">
        <v>33</v>
      </c>
      <c r="N937" s="2">
        <v>257.16000000000003</v>
      </c>
      <c r="O937" s="2">
        <v>4.7619047620000003</v>
      </c>
      <c r="P937" s="2">
        <v>12.858000000000001</v>
      </c>
      <c r="Q937" s="2">
        <v>5.0999999999999996</v>
      </c>
      <c r="R937" s="3" t="str">
        <f t="shared" si="30"/>
        <v>January</v>
      </c>
      <c r="S937" s="3">
        <f t="shared" si="29"/>
        <v>1</v>
      </c>
      <c r="T937" s="3" t="str">
        <f>IF(tbl_sales[[#This Row],[Sales]]&gt;=500,"High Value","Standard")</f>
        <v>Standard</v>
      </c>
      <c r="U937" s="1" t="str">
        <f>IF(tbl_sales[[#This Row],[Order Size]]="High Value","High Value Order","Standard Order")</f>
        <v>Standard Order</v>
      </c>
      <c r="V937" s="1"/>
      <c r="W937" s="17" t="s">
        <v>37</v>
      </c>
      <c r="X937" s="17"/>
      <c r="Y937" s="6"/>
      <c r="Z937" s="1"/>
    </row>
    <row r="938" spans="1:26">
      <c r="A938" s="3" t="s">
        <v>5162</v>
      </c>
      <c r="B938" s="3" t="s">
        <v>39</v>
      </c>
      <c r="C938" s="3" t="s">
        <v>40</v>
      </c>
      <c r="D938" s="3" t="s">
        <v>41</v>
      </c>
      <c r="E938" s="3" t="s">
        <v>25</v>
      </c>
      <c r="F938" s="3" t="s">
        <v>26</v>
      </c>
      <c r="G938" s="2">
        <v>78.89</v>
      </c>
      <c r="H938" s="2">
        <v>7</v>
      </c>
      <c r="I938" s="2">
        <v>27.611499999999999</v>
      </c>
      <c r="J938" s="2">
        <v>579.8415</v>
      </c>
      <c r="K938" s="5">
        <v>43470</v>
      </c>
      <c r="L938" s="4">
        <v>0.82499999999999996</v>
      </c>
      <c r="M938" s="3" t="s">
        <v>33</v>
      </c>
      <c r="N938" s="2">
        <v>552.23</v>
      </c>
      <c r="O938" s="2">
        <v>4.7619047620000003</v>
      </c>
      <c r="P938" s="2">
        <v>27.611499999999999</v>
      </c>
      <c r="Q938" s="2">
        <v>7.5</v>
      </c>
      <c r="R938" s="3" t="str">
        <f t="shared" si="30"/>
        <v>January</v>
      </c>
      <c r="S938" s="3">
        <f t="shared" si="29"/>
        <v>1</v>
      </c>
      <c r="T938" s="3" t="str">
        <f>IF(tbl_sales[[#This Row],[Sales]]&gt;=500,"High Value","Standard")</f>
        <v>High Value</v>
      </c>
      <c r="U938" s="1" t="str">
        <f>IF(tbl_sales[[#This Row],[Order Size]]="High Value","High Value Order","Standard Order")</f>
        <v>High Value Order</v>
      </c>
      <c r="V938" s="1"/>
      <c r="W938" s="17" t="s">
        <v>37</v>
      </c>
      <c r="X938" s="17"/>
      <c r="Y938" s="6"/>
      <c r="Z938" s="1"/>
    </row>
    <row r="939" spans="1:26">
      <c r="A939" s="3" t="s">
        <v>5167</v>
      </c>
      <c r="B939" s="3" t="s">
        <v>22</v>
      </c>
      <c r="C939" s="3" t="s">
        <v>23</v>
      </c>
      <c r="D939" s="3" t="s">
        <v>41</v>
      </c>
      <c r="E939" s="3" t="s">
        <v>25</v>
      </c>
      <c r="F939" s="3" t="s">
        <v>72</v>
      </c>
      <c r="G939" s="2">
        <v>89.48</v>
      </c>
      <c r="H939" s="2">
        <v>5</v>
      </c>
      <c r="I939" s="2">
        <v>22.37</v>
      </c>
      <c r="J939" s="2">
        <v>469.77</v>
      </c>
      <c r="K939" s="5">
        <v>43554</v>
      </c>
      <c r="L939" s="4">
        <v>0.42916666666666664</v>
      </c>
      <c r="M939" s="3" t="s">
        <v>49</v>
      </c>
      <c r="N939" s="2">
        <v>447.4</v>
      </c>
      <c r="O939" s="2">
        <v>4.7619047620000003</v>
      </c>
      <c r="P939" s="2">
        <v>22.37</v>
      </c>
      <c r="Q939" s="2">
        <v>7.4</v>
      </c>
      <c r="R939" s="3" t="str">
        <f t="shared" si="30"/>
        <v>March</v>
      </c>
      <c r="S939" s="3">
        <f t="shared" si="29"/>
        <v>3</v>
      </c>
      <c r="T939" s="3" t="str">
        <f>IF(tbl_sales[[#This Row],[Sales]]&gt;=500,"High Value","Standard")</f>
        <v>Standard</v>
      </c>
      <c r="U939" s="1" t="str">
        <f>IF(tbl_sales[[#This Row],[Order Size]]="High Value","High Value Order","Standard Order")</f>
        <v>Standard Order</v>
      </c>
      <c r="V939" s="1"/>
      <c r="W939" s="17" t="s">
        <v>37</v>
      </c>
      <c r="X939" s="17"/>
      <c r="Y939" s="6"/>
      <c r="Z939" s="1"/>
    </row>
    <row r="940" spans="1:26">
      <c r="A940" s="3" t="s">
        <v>5171</v>
      </c>
      <c r="B940" s="3" t="s">
        <v>22</v>
      </c>
      <c r="C940" s="3" t="s">
        <v>23</v>
      </c>
      <c r="D940" s="3" t="s">
        <v>24</v>
      </c>
      <c r="E940" s="3" t="s">
        <v>25</v>
      </c>
      <c r="F940" s="3" t="s">
        <v>26</v>
      </c>
      <c r="G940" s="2">
        <v>92.09</v>
      </c>
      <c r="H940" s="2">
        <v>3</v>
      </c>
      <c r="I940" s="2">
        <v>13.813499999999999</v>
      </c>
      <c r="J940" s="2">
        <v>290.08350000000002</v>
      </c>
      <c r="K940" s="5">
        <v>43513</v>
      </c>
      <c r="L940" s="4">
        <v>0.68541666666666667</v>
      </c>
      <c r="M940" s="3" t="s">
        <v>49</v>
      </c>
      <c r="N940" s="2">
        <v>276.27</v>
      </c>
      <c r="O940" s="2">
        <v>4.7619047620000003</v>
      </c>
      <c r="P940" s="2">
        <v>13.813499999999999</v>
      </c>
      <c r="Q940" s="2">
        <v>4.2</v>
      </c>
      <c r="R940" s="3" t="str">
        <f t="shared" si="30"/>
        <v>February</v>
      </c>
      <c r="S940" s="3">
        <f t="shared" si="29"/>
        <v>2</v>
      </c>
      <c r="T940" s="3" t="str">
        <f>IF(tbl_sales[[#This Row],[Sales]]&gt;=500,"High Value","Standard")</f>
        <v>Standard</v>
      </c>
      <c r="U940" s="1" t="str">
        <f>IF(tbl_sales[[#This Row],[Order Size]]="High Value","High Value Order","Standard Order")</f>
        <v>Standard Order</v>
      </c>
      <c r="V940" s="1"/>
      <c r="W940" s="17" t="s">
        <v>37</v>
      </c>
      <c r="X940" s="17"/>
      <c r="Y940" s="6"/>
      <c r="Z940" s="1"/>
    </row>
    <row r="941" spans="1:26">
      <c r="A941" s="3" t="s">
        <v>5177</v>
      </c>
      <c r="B941" s="3" t="s">
        <v>39</v>
      </c>
      <c r="C941" s="3" t="s">
        <v>40</v>
      </c>
      <c r="D941" s="3" t="s">
        <v>41</v>
      </c>
      <c r="E941" s="3" t="s">
        <v>25</v>
      </c>
      <c r="F941" s="3" t="s">
        <v>117</v>
      </c>
      <c r="G941" s="2">
        <v>57.29</v>
      </c>
      <c r="H941" s="2">
        <v>6</v>
      </c>
      <c r="I941" s="2">
        <v>17.187000000000001</v>
      </c>
      <c r="J941" s="2">
        <v>360.92700000000002</v>
      </c>
      <c r="K941" s="5">
        <v>43545</v>
      </c>
      <c r="L941" s="4">
        <v>0.71111111111111114</v>
      </c>
      <c r="M941" s="3" t="s">
        <v>33</v>
      </c>
      <c r="N941" s="2">
        <v>343.74</v>
      </c>
      <c r="O941" s="2">
        <v>4.7619047620000003</v>
      </c>
      <c r="P941" s="2">
        <v>17.187000000000001</v>
      </c>
      <c r="Q941" s="2">
        <v>5.9</v>
      </c>
      <c r="R941" s="3" t="str">
        <f t="shared" si="30"/>
        <v>March</v>
      </c>
      <c r="S941" s="3">
        <f t="shared" si="29"/>
        <v>3</v>
      </c>
      <c r="T941" s="3" t="str">
        <f>IF(tbl_sales[[#This Row],[Sales]]&gt;=500,"High Value","Standard")</f>
        <v>Standard</v>
      </c>
      <c r="U941" s="1" t="str">
        <f>IF(tbl_sales[[#This Row],[Order Size]]="High Value","High Value Order","Standard Order")</f>
        <v>Standard Order</v>
      </c>
      <c r="V941" s="1"/>
      <c r="W941" s="17" t="s">
        <v>37</v>
      </c>
      <c r="X941" s="17"/>
      <c r="Y941" s="6"/>
      <c r="Z941" s="1"/>
    </row>
    <row r="942" spans="1:26">
      <c r="A942" s="3" t="s">
        <v>5182</v>
      </c>
      <c r="B942" s="3" t="s">
        <v>22</v>
      </c>
      <c r="C942" s="3" t="s">
        <v>23</v>
      </c>
      <c r="D942" s="3" t="s">
        <v>41</v>
      </c>
      <c r="E942" s="3" t="s">
        <v>992</v>
      </c>
      <c r="F942" s="3" t="s">
        <v>117</v>
      </c>
      <c r="G942" s="2">
        <v>66.52</v>
      </c>
      <c r="H942" s="2">
        <v>4</v>
      </c>
      <c r="I942" s="2">
        <v>13.304</v>
      </c>
      <c r="J942" s="2">
        <v>279.38400000000001</v>
      </c>
      <c r="K942" s="5">
        <v>43526</v>
      </c>
      <c r="L942" s="4">
        <v>0.75972222222222219</v>
      </c>
      <c r="M942" s="3" t="s">
        <v>33</v>
      </c>
      <c r="N942" s="2">
        <v>266.08</v>
      </c>
      <c r="O942" s="2">
        <v>4.7619047620000003</v>
      </c>
      <c r="P942" s="2">
        <v>13.304</v>
      </c>
      <c r="Q942" s="2">
        <v>6.9</v>
      </c>
      <c r="R942" s="3" t="str">
        <f t="shared" si="30"/>
        <v>March</v>
      </c>
      <c r="S942" s="3">
        <f t="shared" si="29"/>
        <v>3</v>
      </c>
      <c r="T942" s="3" t="str">
        <f>IF(tbl_sales[[#This Row],[Sales]]&gt;=500,"High Value","Standard")</f>
        <v>Standard</v>
      </c>
      <c r="U942" s="1" t="str">
        <f>IF(tbl_sales[[#This Row],[Order Size]]="High Value","High Value Order","Standard Order")</f>
        <v>Standard Order</v>
      </c>
      <c r="V942" s="1"/>
      <c r="W942" s="17" t="s">
        <v>37</v>
      </c>
      <c r="X942" s="17"/>
      <c r="Y942" s="6"/>
      <c r="Z942" s="1"/>
    </row>
    <row r="943" spans="1:26">
      <c r="A943" s="3" t="s">
        <v>5187</v>
      </c>
      <c r="B943" s="3" t="s">
        <v>39</v>
      </c>
      <c r="C943" s="3" t="s">
        <v>40</v>
      </c>
      <c r="D943" s="3" t="s">
        <v>24</v>
      </c>
      <c r="E943" s="3" t="s">
        <v>992</v>
      </c>
      <c r="F943" s="3" t="s">
        <v>127</v>
      </c>
      <c r="G943" s="2">
        <v>99.82</v>
      </c>
      <c r="H943" s="2">
        <v>9</v>
      </c>
      <c r="I943" s="2">
        <v>44.918999999999997</v>
      </c>
      <c r="J943" s="2">
        <v>943.29899999999998</v>
      </c>
      <c r="K943" s="5">
        <v>43551</v>
      </c>
      <c r="L943" s="4">
        <v>0.4465277777777778</v>
      </c>
      <c r="M943" s="3" t="s">
        <v>49</v>
      </c>
      <c r="N943" s="2">
        <v>898.38</v>
      </c>
      <c r="O943" s="2">
        <v>4.7619047620000003</v>
      </c>
      <c r="P943" s="2">
        <v>44.918999999999997</v>
      </c>
      <c r="Q943" s="2">
        <v>6.6</v>
      </c>
      <c r="R943" s="3" t="str">
        <f t="shared" si="30"/>
        <v>March</v>
      </c>
      <c r="S943" s="3">
        <f t="shared" si="29"/>
        <v>3</v>
      </c>
      <c r="T943" s="3" t="str">
        <f>IF(tbl_sales[[#This Row],[Sales]]&gt;=500,"High Value","Standard")</f>
        <v>High Value</v>
      </c>
      <c r="U943" s="1" t="str">
        <f>IF(tbl_sales[[#This Row],[Order Size]]="High Value","High Value Order","Standard Order")</f>
        <v>High Value Order</v>
      </c>
      <c r="V943" s="1"/>
      <c r="W943" s="17" t="s">
        <v>37</v>
      </c>
      <c r="X943" s="17"/>
      <c r="Y943" s="6"/>
      <c r="Z943" s="1"/>
    </row>
    <row r="944" spans="1:26">
      <c r="A944" s="3" t="s">
        <v>5191</v>
      </c>
      <c r="B944" s="3" t="s">
        <v>22</v>
      </c>
      <c r="C944" s="3" t="s">
        <v>23</v>
      </c>
      <c r="D944" s="3" t="s">
        <v>41</v>
      </c>
      <c r="E944" s="3" t="s">
        <v>25</v>
      </c>
      <c r="F944" s="3" t="s">
        <v>53</v>
      </c>
      <c r="G944" s="2">
        <v>45.68</v>
      </c>
      <c r="H944" s="2">
        <v>10</v>
      </c>
      <c r="I944" s="2">
        <v>22.84</v>
      </c>
      <c r="J944" s="2">
        <v>479.64</v>
      </c>
      <c r="K944" s="5">
        <v>43484</v>
      </c>
      <c r="L944" s="4">
        <v>0.8125</v>
      </c>
      <c r="M944" s="3" t="s">
        <v>33</v>
      </c>
      <c r="N944" s="2">
        <v>456.8</v>
      </c>
      <c r="O944" s="2">
        <v>4.7619047620000003</v>
      </c>
      <c r="P944" s="2">
        <v>22.84</v>
      </c>
      <c r="Q944" s="2">
        <v>5.7</v>
      </c>
      <c r="R944" s="3" t="str">
        <f t="shared" si="30"/>
        <v>January</v>
      </c>
      <c r="S944" s="3">
        <f t="shared" si="29"/>
        <v>1</v>
      </c>
      <c r="T944" s="3" t="str">
        <f>IF(tbl_sales[[#This Row],[Sales]]&gt;=500,"High Value","Standard")</f>
        <v>Standard</v>
      </c>
      <c r="U944" s="1" t="str">
        <f>IF(tbl_sales[[#This Row],[Order Size]]="High Value","High Value Order","Standard Order")</f>
        <v>Standard Order</v>
      </c>
      <c r="V944" s="1"/>
      <c r="W944" s="17" t="s">
        <v>37</v>
      </c>
      <c r="X944" s="17"/>
      <c r="Y944" s="6"/>
      <c r="Z944" s="1"/>
    </row>
    <row r="945" spans="1:26">
      <c r="A945" s="3" t="s">
        <v>5196</v>
      </c>
      <c r="B945" s="3" t="s">
        <v>22</v>
      </c>
      <c r="C945" s="3" t="s">
        <v>23</v>
      </c>
      <c r="D945" s="3" t="s">
        <v>41</v>
      </c>
      <c r="E945" s="3" t="s">
        <v>992</v>
      </c>
      <c r="F945" s="3" t="s">
        <v>26</v>
      </c>
      <c r="G945" s="2">
        <v>50.79</v>
      </c>
      <c r="H945" s="2">
        <v>5</v>
      </c>
      <c r="I945" s="2">
        <v>12.6975</v>
      </c>
      <c r="J945" s="2">
        <v>266.64749999999998</v>
      </c>
      <c r="K945" s="5">
        <v>43515</v>
      </c>
      <c r="L945" s="4">
        <v>0.62013888888888891</v>
      </c>
      <c r="M945" s="3" t="s">
        <v>59</v>
      </c>
      <c r="N945" s="2">
        <v>253.95</v>
      </c>
      <c r="O945" s="2">
        <v>4.7619047620000003</v>
      </c>
      <c r="P945" s="2">
        <v>12.6975</v>
      </c>
      <c r="Q945" s="2">
        <v>5.3</v>
      </c>
      <c r="R945" s="3" t="str">
        <f t="shared" si="30"/>
        <v>February</v>
      </c>
      <c r="S945" s="3">
        <f t="shared" si="29"/>
        <v>2</v>
      </c>
      <c r="T945" s="3" t="str">
        <f>IF(tbl_sales[[#This Row],[Sales]]&gt;=500,"High Value","Standard")</f>
        <v>Standard</v>
      </c>
      <c r="U945" s="1" t="str">
        <f>IF(tbl_sales[[#This Row],[Order Size]]="High Value","High Value Order","Standard Order")</f>
        <v>Standard Order</v>
      </c>
      <c r="V945" s="1"/>
      <c r="W945" s="17" t="s">
        <v>37</v>
      </c>
      <c r="X945" s="17"/>
      <c r="Y945" s="6"/>
      <c r="Z945" s="1"/>
    </row>
    <row r="946" spans="1:26">
      <c r="A946" s="3" t="s">
        <v>5201</v>
      </c>
      <c r="B946" s="3" t="s">
        <v>22</v>
      </c>
      <c r="C946" s="3" t="s">
        <v>23</v>
      </c>
      <c r="D946" s="3" t="s">
        <v>24</v>
      </c>
      <c r="E946" s="3" t="s">
        <v>992</v>
      </c>
      <c r="F946" s="3" t="s">
        <v>26</v>
      </c>
      <c r="G946" s="2">
        <v>10.08</v>
      </c>
      <c r="H946" s="2">
        <v>7</v>
      </c>
      <c r="I946" s="2">
        <v>3.528</v>
      </c>
      <c r="J946" s="2">
        <v>74.087999999999994</v>
      </c>
      <c r="K946" s="5">
        <v>43552</v>
      </c>
      <c r="L946" s="4">
        <v>0.84305555555555556</v>
      </c>
      <c r="M946" s="3" t="s">
        <v>49</v>
      </c>
      <c r="N946" s="2">
        <v>70.56</v>
      </c>
      <c r="O946" s="2">
        <v>4.7619047620000003</v>
      </c>
      <c r="P946" s="2">
        <v>3.528</v>
      </c>
      <c r="Q946" s="2">
        <v>4.2</v>
      </c>
      <c r="R946" s="3" t="str">
        <f t="shared" si="30"/>
        <v>March</v>
      </c>
      <c r="S946" s="3">
        <f t="shared" si="29"/>
        <v>3</v>
      </c>
      <c r="T946" s="3" t="str">
        <f>IF(tbl_sales[[#This Row],[Sales]]&gt;=500,"High Value","Standard")</f>
        <v>Standard</v>
      </c>
      <c r="U946" s="1" t="str">
        <f>IF(tbl_sales[[#This Row],[Order Size]]="High Value","High Value Order","Standard Order")</f>
        <v>Standard Order</v>
      </c>
      <c r="V946" s="1"/>
      <c r="W946" s="17" t="s">
        <v>37</v>
      </c>
      <c r="X946" s="17"/>
      <c r="Y946" s="6"/>
      <c r="Z946" s="1"/>
    </row>
    <row r="947" spans="1:26">
      <c r="A947" s="3" t="s">
        <v>5206</v>
      </c>
      <c r="B947" s="3" t="s">
        <v>22</v>
      </c>
      <c r="C947" s="3" t="s">
        <v>23</v>
      </c>
      <c r="D947" s="3" t="s">
        <v>41</v>
      </c>
      <c r="E947" s="3" t="s">
        <v>25</v>
      </c>
      <c r="F947" s="3" t="s">
        <v>42</v>
      </c>
      <c r="G947" s="2">
        <v>93.88</v>
      </c>
      <c r="H947" s="2">
        <v>7</v>
      </c>
      <c r="I947" s="2">
        <v>32.857999999999997</v>
      </c>
      <c r="J947" s="2">
        <v>690.01800000000003</v>
      </c>
      <c r="K947" s="5">
        <v>43470</v>
      </c>
      <c r="L947" s="4">
        <v>0.49375000000000002</v>
      </c>
      <c r="M947" s="3" t="s">
        <v>59</v>
      </c>
      <c r="N947" s="2">
        <v>657.16</v>
      </c>
      <c r="O947" s="2">
        <v>4.7619047620000003</v>
      </c>
      <c r="P947" s="2">
        <v>32.857999999999997</v>
      </c>
      <c r="Q947" s="2">
        <v>7.3</v>
      </c>
      <c r="R947" s="3" t="str">
        <f t="shared" si="30"/>
        <v>January</v>
      </c>
      <c r="S947" s="3">
        <f t="shared" si="29"/>
        <v>1</v>
      </c>
      <c r="T947" s="3" t="str">
        <f>IF(tbl_sales[[#This Row],[Sales]]&gt;=500,"High Value","Standard")</f>
        <v>High Value</v>
      </c>
      <c r="U947" s="1" t="str">
        <f>IF(tbl_sales[[#This Row],[Order Size]]="High Value","High Value Order","Standard Order")</f>
        <v>High Value Order</v>
      </c>
      <c r="V947" s="1"/>
      <c r="W947" s="17" t="s">
        <v>37</v>
      </c>
      <c r="X947" s="17"/>
      <c r="Y947" s="6"/>
      <c r="Z947" s="1"/>
    </row>
    <row r="948" spans="1:26">
      <c r="A948" s="3" t="s">
        <v>5211</v>
      </c>
      <c r="B948" s="3" t="s">
        <v>39</v>
      </c>
      <c r="C948" s="3" t="s">
        <v>40</v>
      </c>
      <c r="D948" s="3" t="s">
        <v>24</v>
      </c>
      <c r="E948" s="3" t="s">
        <v>992</v>
      </c>
      <c r="F948" s="3" t="s">
        <v>42</v>
      </c>
      <c r="G948" s="2">
        <v>84.25</v>
      </c>
      <c r="H948" s="2">
        <v>2</v>
      </c>
      <c r="I948" s="2">
        <v>8.4250000000000007</v>
      </c>
      <c r="J948" s="2">
        <v>176.92500000000001</v>
      </c>
      <c r="K948" s="5">
        <v>43550</v>
      </c>
      <c r="L948" s="4">
        <v>0.59236111111111112</v>
      </c>
      <c r="M948" s="3" t="s">
        <v>59</v>
      </c>
      <c r="N948" s="2">
        <v>168.5</v>
      </c>
      <c r="O948" s="2">
        <v>4.7619047620000003</v>
      </c>
      <c r="P948" s="2">
        <v>8.4250000000000007</v>
      </c>
      <c r="Q948" s="2">
        <v>5.3</v>
      </c>
      <c r="R948" s="3" t="str">
        <f t="shared" si="30"/>
        <v>March</v>
      </c>
      <c r="S948" s="3">
        <f t="shared" si="29"/>
        <v>3</v>
      </c>
      <c r="T948" s="3" t="str">
        <f>IF(tbl_sales[[#This Row],[Sales]]&gt;=500,"High Value","Standard")</f>
        <v>Standard</v>
      </c>
      <c r="U948" s="1" t="str">
        <f>IF(tbl_sales[[#This Row],[Order Size]]="High Value","High Value Order","Standard Order")</f>
        <v>Standard Order</v>
      </c>
      <c r="V948" s="1"/>
      <c r="W948" s="17" t="s">
        <v>37</v>
      </c>
      <c r="X948" s="17"/>
      <c r="Y948" s="6"/>
      <c r="Z948" s="1"/>
    </row>
    <row r="949" spans="1:26">
      <c r="A949" s="3" t="s">
        <v>5216</v>
      </c>
      <c r="B949" s="3" t="s">
        <v>115</v>
      </c>
      <c r="C949" s="3" t="s">
        <v>116</v>
      </c>
      <c r="D949" s="3" t="s">
        <v>24</v>
      </c>
      <c r="E949" s="3" t="s">
        <v>992</v>
      </c>
      <c r="F949" s="3" t="s">
        <v>127</v>
      </c>
      <c r="G949" s="2">
        <v>53.78</v>
      </c>
      <c r="H949" s="2">
        <v>1</v>
      </c>
      <c r="I949" s="2">
        <v>2.6890000000000001</v>
      </c>
      <c r="J949" s="2">
        <v>56.469000000000001</v>
      </c>
      <c r="K949" s="5">
        <v>43499</v>
      </c>
      <c r="L949" s="4">
        <v>0.84236111111111112</v>
      </c>
      <c r="M949" s="3" t="s">
        <v>33</v>
      </c>
      <c r="N949" s="2">
        <v>53.78</v>
      </c>
      <c r="O949" s="2">
        <v>4.7619047620000003</v>
      </c>
      <c r="P949" s="2">
        <v>2.6890000000000001</v>
      </c>
      <c r="Q949" s="2">
        <v>4.7</v>
      </c>
      <c r="R949" s="3" t="str">
        <f t="shared" si="30"/>
        <v>February</v>
      </c>
      <c r="S949" s="3">
        <f t="shared" si="29"/>
        <v>2</v>
      </c>
      <c r="T949" s="3" t="str">
        <f>IF(tbl_sales[[#This Row],[Sales]]&gt;=500,"High Value","Standard")</f>
        <v>Standard</v>
      </c>
      <c r="U949" s="1" t="str">
        <f>IF(tbl_sales[[#This Row],[Order Size]]="High Value","High Value Order","Standard Order")</f>
        <v>Standard Order</v>
      </c>
      <c r="V949" s="1"/>
      <c r="W949" s="17" t="s">
        <v>37</v>
      </c>
      <c r="X949" s="17"/>
      <c r="Y949" s="6"/>
      <c r="Z949" s="1"/>
    </row>
    <row r="950" spans="1:26">
      <c r="A950" s="3" t="s">
        <v>5220</v>
      </c>
      <c r="B950" s="3" t="s">
        <v>39</v>
      </c>
      <c r="C950" s="3" t="s">
        <v>40</v>
      </c>
      <c r="D950" s="3" t="s">
        <v>24</v>
      </c>
      <c r="E950" s="3" t="s">
        <v>992</v>
      </c>
      <c r="F950" s="3" t="s">
        <v>53</v>
      </c>
      <c r="G950" s="2">
        <v>35.81</v>
      </c>
      <c r="H950" s="2">
        <v>5</v>
      </c>
      <c r="I950" s="2">
        <v>8.9525000000000006</v>
      </c>
      <c r="J950" s="2">
        <v>188.0025</v>
      </c>
      <c r="K950" s="5">
        <v>43502</v>
      </c>
      <c r="L950" s="4">
        <v>0.78055555555555556</v>
      </c>
      <c r="M950" s="3" t="s">
        <v>33</v>
      </c>
      <c r="N950" s="2">
        <v>179.05</v>
      </c>
      <c r="O950" s="2">
        <v>4.7619047620000003</v>
      </c>
      <c r="P950" s="2">
        <v>8.9525000000000006</v>
      </c>
      <c r="Q950" s="2">
        <v>7.9</v>
      </c>
      <c r="R950" s="3" t="str">
        <f t="shared" si="30"/>
        <v>February</v>
      </c>
      <c r="S950" s="3">
        <f t="shared" si="29"/>
        <v>2</v>
      </c>
      <c r="T950" s="3" t="str">
        <f>IF(tbl_sales[[#This Row],[Sales]]&gt;=500,"High Value","Standard")</f>
        <v>Standard</v>
      </c>
      <c r="U950" s="1" t="str">
        <f>IF(tbl_sales[[#This Row],[Order Size]]="High Value","High Value Order","Standard Order")</f>
        <v>Standard Order</v>
      </c>
      <c r="V950" s="1"/>
      <c r="W950" s="17" t="s">
        <v>37</v>
      </c>
      <c r="X950" s="17"/>
      <c r="Y950" s="6"/>
      <c r="Z950" s="1"/>
    </row>
    <row r="951" spans="1:26">
      <c r="A951" s="3" t="s">
        <v>5225</v>
      </c>
      <c r="B951" s="3" t="s">
        <v>115</v>
      </c>
      <c r="C951" s="3" t="s">
        <v>116</v>
      </c>
      <c r="D951" s="3" t="s">
        <v>41</v>
      </c>
      <c r="E951" s="3" t="s">
        <v>25</v>
      </c>
      <c r="F951" s="3" t="s">
        <v>117</v>
      </c>
      <c r="G951" s="2">
        <v>26.43</v>
      </c>
      <c r="H951" s="2">
        <v>8</v>
      </c>
      <c r="I951" s="2">
        <v>10.571999999999999</v>
      </c>
      <c r="J951" s="2">
        <v>222.012</v>
      </c>
      <c r="K951" s="5">
        <v>43520</v>
      </c>
      <c r="L951" s="4">
        <v>0.60138888888888886</v>
      </c>
      <c r="M951" s="3" t="s">
        <v>33</v>
      </c>
      <c r="N951" s="2">
        <v>211.44</v>
      </c>
      <c r="O951" s="2">
        <v>4.7619047620000003</v>
      </c>
      <c r="P951" s="2">
        <v>10.571999999999999</v>
      </c>
      <c r="Q951" s="2">
        <v>8.9</v>
      </c>
      <c r="R951" s="3" t="str">
        <f t="shared" si="30"/>
        <v>February</v>
      </c>
      <c r="S951" s="3">
        <f t="shared" si="29"/>
        <v>2</v>
      </c>
      <c r="T951" s="3" t="str">
        <f>IF(tbl_sales[[#This Row],[Sales]]&gt;=500,"High Value","Standard")</f>
        <v>Standard</v>
      </c>
      <c r="U951" s="1" t="str">
        <f>IF(tbl_sales[[#This Row],[Order Size]]="High Value","High Value Order","Standard Order")</f>
        <v>Standard Order</v>
      </c>
      <c r="V951" s="1"/>
      <c r="W951" s="17" t="s">
        <v>37</v>
      </c>
      <c r="X951" s="17"/>
      <c r="Y951" s="6"/>
      <c r="Z951" s="1"/>
    </row>
    <row r="952" spans="1:26">
      <c r="A952" s="3" t="s">
        <v>5230</v>
      </c>
      <c r="B952" s="3" t="s">
        <v>115</v>
      </c>
      <c r="C952" s="3" t="s">
        <v>116</v>
      </c>
      <c r="D952" s="3" t="s">
        <v>24</v>
      </c>
      <c r="E952" s="3" t="s">
        <v>992</v>
      </c>
      <c r="F952" s="3" t="s">
        <v>26</v>
      </c>
      <c r="G952" s="2">
        <v>39.909999999999997</v>
      </c>
      <c r="H952" s="2">
        <v>3</v>
      </c>
      <c r="I952" s="2">
        <v>5.9865000000000004</v>
      </c>
      <c r="J952" s="2">
        <v>125.7165</v>
      </c>
      <c r="K952" s="5">
        <v>43517</v>
      </c>
      <c r="L952" s="4">
        <v>0.52777777777777779</v>
      </c>
      <c r="M952" s="3" t="s">
        <v>33</v>
      </c>
      <c r="N952" s="2">
        <v>119.73</v>
      </c>
      <c r="O952" s="2">
        <v>4.7619047620000003</v>
      </c>
      <c r="P952" s="2">
        <v>5.9865000000000004</v>
      </c>
      <c r="Q952" s="2">
        <v>9.3000000000000007</v>
      </c>
      <c r="R952" s="3" t="str">
        <f t="shared" si="30"/>
        <v>February</v>
      </c>
      <c r="S952" s="3">
        <f t="shared" si="29"/>
        <v>2</v>
      </c>
      <c r="T952" s="3" t="str">
        <f>IF(tbl_sales[[#This Row],[Sales]]&gt;=500,"High Value","Standard")</f>
        <v>Standard</v>
      </c>
      <c r="U952" s="1" t="str">
        <f>IF(tbl_sales[[#This Row],[Order Size]]="High Value","High Value Order","Standard Order")</f>
        <v>Standard Order</v>
      </c>
      <c r="V952" s="1"/>
      <c r="W952" s="17" t="s">
        <v>37</v>
      </c>
      <c r="X952" s="17"/>
      <c r="Y952" s="6"/>
      <c r="Z952" s="1"/>
    </row>
    <row r="953" spans="1:26">
      <c r="A953" s="3" t="s">
        <v>5235</v>
      </c>
      <c r="B953" s="3" t="s">
        <v>115</v>
      </c>
      <c r="C953" s="3" t="s">
        <v>116</v>
      </c>
      <c r="D953" s="3" t="s">
        <v>24</v>
      </c>
      <c r="E953" s="3" t="s">
        <v>25</v>
      </c>
      <c r="F953" s="3" t="s">
        <v>53</v>
      </c>
      <c r="G953" s="2">
        <v>21.9</v>
      </c>
      <c r="H953" s="2">
        <v>3</v>
      </c>
      <c r="I953" s="2">
        <v>3.2850000000000001</v>
      </c>
      <c r="J953" s="2">
        <v>68.984999999999999</v>
      </c>
      <c r="K953" s="5">
        <v>43474</v>
      </c>
      <c r="L953" s="4">
        <v>0.77986111111111112</v>
      </c>
      <c r="M953" s="3" t="s">
        <v>33</v>
      </c>
      <c r="N953" s="2">
        <v>65.7</v>
      </c>
      <c r="O953" s="2">
        <v>4.7619047620000003</v>
      </c>
      <c r="P953" s="2">
        <v>3.2850000000000001</v>
      </c>
      <c r="Q953" s="2">
        <v>4.7</v>
      </c>
      <c r="R953" s="3" t="str">
        <f t="shared" si="30"/>
        <v>January</v>
      </c>
      <c r="S953" s="3">
        <f t="shared" si="29"/>
        <v>1</v>
      </c>
      <c r="T953" s="3" t="str">
        <f>IF(tbl_sales[[#This Row],[Sales]]&gt;=500,"High Value","Standard")</f>
        <v>Standard</v>
      </c>
      <c r="U953" s="1" t="str">
        <f>IF(tbl_sales[[#This Row],[Order Size]]="High Value","High Value Order","Standard Order")</f>
        <v>Standard Order</v>
      </c>
      <c r="V953" s="1"/>
      <c r="W953" s="17" t="s">
        <v>37</v>
      </c>
      <c r="X953" s="17"/>
      <c r="Y953" s="6"/>
      <c r="Z953" s="1"/>
    </row>
    <row r="954" spans="1:26">
      <c r="A954" s="3" t="s">
        <v>5240</v>
      </c>
      <c r="B954" s="3" t="s">
        <v>115</v>
      </c>
      <c r="C954" s="3" t="s">
        <v>116</v>
      </c>
      <c r="D954" s="3" t="s">
        <v>24</v>
      </c>
      <c r="E954" s="3" t="s">
        <v>25</v>
      </c>
      <c r="F954" s="3" t="s">
        <v>117</v>
      </c>
      <c r="G954" s="2">
        <v>62.85</v>
      </c>
      <c r="H954" s="2">
        <v>4</v>
      </c>
      <c r="I954" s="2">
        <v>12.57</v>
      </c>
      <c r="J954" s="2">
        <v>263.97000000000003</v>
      </c>
      <c r="K954" s="5">
        <v>43521</v>
      </c>
      <c r="L954" s="4">
        <v>0.55694444444444446</v>
      </c>
      <c r="M954" s="3" t="s">
        <v>33</v>
      </c>
      <c r="N954" s="2">
        <v>251.4</v>
      </c>
      <c r="O954" s="2">
        <v>4.7619047620000003</v>
      </c>
      <c r="P954" s="2">
        <v>12.57</v>
      </c>
      <c r="Q954" s="2">
        <v>8.6999999999999993</v>
      </c>
      <c r="R954" s="3" t="str">
        <f t="shared" si="30"/>
        <v>February</v>
      </c>
      <c r="S954" s="3">
        <f t="shared" si="29"/>
        <v>2</v>
      </c>
      <c r="T954" s="3" t="str">
        <f>IF(tbl_sales[[#This Row],[Sales]]&gt;=500,"High Value","Standard")</f>
        <v>Standard</v>
      </c>
      <c r="U954" s="1" t="str">
        <f>IF(tbl_sales[[#This Row],[Order Size]]="High Value","High Value Order","Standard Order")</f>
        <v>Standard Order</v>
      </c>
      <c r="V954" s="1"/>
      <c r="W954" s="17" t="s">
        <v>37</v>
      </c>
      <c r="X954" s="17"/>
      <c r="Y954" s="6"/>
      <c r="Z954" s="1"/>
    </row>
    <row r="955" spans="1:26">
      <c r="A955" s="3" t="s">
        <v>5242</v>
      </c>
      <c r="B955" s="3" t="s">
        <v>39</v>
      </c>
      <c r="C955" s="3" t="s">
        <v>40</v>
      </c>
      <c r="D955" s="3" t="s">
        <v>24</v>
      </c>
      <c r="E955" s="3" t="s">
        <v>25</v>
      </c>
      <c r="F955" s="3" t="s">
        <v>117</v>
      </c>
      <c r="G955" s="2">
        <v>21.04</v>
      </c>
      <c r="H955" s="2">
        <v>4</v>
      </c>
      <c r="I955" s="2">
        <v>4.2080000000000002</v>
      </c>
      <c r="J955" s="2">
        <v>88.367999999999995</v>
      </c>
      <c r="K955" s="5">
        <v>43478</v>
      </c>
      <c r="L955" s="4">
        <v>0.58194444444444449</v>
      </c>
      <c r="M955" s="3" t="s">
        <v>49</v>
      </c>
      <c r="N955" s="2">
        <v>84.16</v>
      </c>
      <c r="O955" s="2">
        <v>4.7619047620000003</v>
      </c>
      <c r="P955" s="2">
        <v>4.2080000000000002</v>
      </c>
      <c r="Q955" s="2">
        <v>7.6</v>
      </c>
      <c r="R955" s="3" t="str">
        <f t="shared" si="30"/>
        <v>January</v>
      </c>
      <c r="S955" s="3">
        <f t="shared" si="29"/>
        <v>1</v>
      </c>
      <c r="T955" s="3" t="str">
        <f>IF(tbl_sales[[#This Row],[Sales]]&gt;=500,"High Value","Standard")</f>
        <v>Standard</v>
      </c>
      <c r="U955" s="1" t="str">
        <f>IF(tbl_sales[[#This Row],[Order Size]]="High Value","High Value Order","Standard Order")</f>
        <v>Standard Order</v>
      </c>
      <c r="V955" s="1"/>
      <c r="W955" s="17" t="s">
        <v>37</v>
      </c>
      <c r="X955" s="17"/>
      <c r="Y955" s="6"/>
      <c r="Z955" s="1"/>
    </row>
    <row r="956" spans="1:26">
      <c r="A956" s="3" t="s">
        <v>5247</v>
      </c>
      <c r="B956" s="3" t="s">
        <v>115</v>
      </c>
      <c r="C956" s="3" t="s">
        <v>116</v>
      </c>
      <c r="D956" s="3" t="s">
        <v>24</v>
      </c>
      <c r="E956" s="3" t="s">
        <v>992</v>
      </c>
      <c r="F956" s="3" t="s">
        <v>53</v>
      </c>
      <c r="G956" s="2">
        <v>65.91</v>
      </c>
      <c r="H956" s="2">
        <v>6</v>
      </c>
      <c r="I956" s="2">
        <v>19.773</v>
      </c>
      <c r="J956" s="2">
        <v>415.233</v>
      </c>
      <c r="K956" s="5">
        <v>43505</v>
      </c>
      <c r="L956" s="4">
        <v>0.48958333333333331</v>
      </c>
      <c r="M956" s="3" t="s">
        <v>49</v>
      </c>
      <c r="N956" s="2">
        <v>395.46</v>
      </c>
      <c r="O956" s="2">
        <v>4.7619047620000003</v>
      </c>
      <c r="P956" s="2">
        <v>19.773</v>
      </c>
      <c r="Q956" s="2">
        <v>5.7</v>
      </c>
      <c r="R956" s="3" t="str">
        <f t="shared" si="30"/>
        <v>February</v>
      </c>
      <c r="S956" s="3">
        <f t="shared" si="29"/>
        <v>2</v>
      </c>
      <c r="T956" s="3" t="str">
        <f>IF(tbl_sales[[#This Row],[Sales]]&gt;=500,"High Value","Standard")</f>
        <v>Standard</v>
      </c>
      <c r="U956" s="1" t="str">
        <f>IF(tbl_sales[[#This Row],[Order Size]]="High Value","High Value Order","Standard Order")</f>
        <v>Standard Order</v>
      </c>
      <c r="V956" s="1"/>
      <c r="W956" s="17" t="s">
        <v>37</v>
      </c>
      <c r="X956" s="17"/>
      <c r="Y956" s="6"/>
      <c r="Z956" s="1"/>
    </row>
    <row r="957" spans="1:26">
      <c r="A957" s="3" t="s">
        <v>5252</v>
      </c>
      <c r="B957" s="3" t="s">
        <v>22</v>
      </c>
      <c r="C957" s="3" t="s">
        <v>23</v>
      </c>
      <c r="D957" s="3" t="s">
        <v>41</v>
      </c>
      <c r="E957" s="3" t="s">
        <v>25</v>
      </c>
      <c r="F957" s="3" t="s">
        <v>127</v>
      </c>
      <c r="G957" s="2">
        <v>42.57</v>
      </c>
      <c r="H957" s="2">
        <v>7</v>
      </c>
      <c r="I957" s="2">
        <v>14.8995</v>
      </c>
      <c r="J957" s="2">
        <v>312.8895</v>
      </c>
      <c r="K957" s="5">
        <v>43471</v>
      </c>
      <c r="L957" s="4">
        <v>0.49375000000000002</v>
      </c>
      <c r="M957" s="3" t="s">
        <v>49</v>
      </c>
      <c r="N957" s="2">
        <v>297.99</v>
      </c>
      <c r="O957" s="2">
        <v>4.7619047620000003</v>
      </c>
      <c r="P957" s="2">
        <v>14.8995</v>
      </c>
      <c r="Q957" s="2">
        <v>6.8</v>
      </c>
      <c r="R957" s="3" t="str">
        <f t="shared" si="30"/>
        <v>January</v>
      </c>
      <c r="S957" s="3">
        <f t="shared" si="29"/>
        <v>1</v>
      </c>
      <c r="T957" s="3" t="str">
        <f>IF(tbl_sales[[#This Row],[Sales]]&gt;=500,"High Value","Standard")</f>
        <v>Standard</v>
      </c>
      <c r="U957" s="1" t="str">
        <f>IF(tbl_sales[[#This Row],[Order Size]]="High Value","High Value Order","Standard Order")</f>
        <v>Standard Order</v>
      </c>
      <c r="V957" s="1"/>
      <c r="W957" s="17" t="s">
        <v>37</v>
      </c>
      <c r="X957" s="17"/>
      <c r="Y957" s="6"/>
      <c r="Z957" s="1"/>
    </row>
    <row r="958" spans="1:26">
      <c r="A958" s="3" t="s">
        <v>5256</v>
      </c>
      <c r="B958" s="3" t="s">
        <v>39</v>
      </c>
      <c r="C958" s="3" t="s">
        <v>40</v>
      </c>
      <c r="D958" s="3" t="s">
        <v>24</v>
      </c>
      <c r="E958" s="3" t="s">
        <v>992</v>
      </c>
      <c r="F958" s="3" t="s">
        <v>117</v>
      </c>
      <c r="G958" s="2">
        <v>50.49</v>
      </c>
      <c r="H958" s="2">
        <v>9</v>
      </c>
      <c r="I958" s="2">
        <v>22.720500000000001</v>
      </c>
      <c r="J958" s="2">
        <v>477.13049999999998</v>
      </c>
      <c r="K958" s="5">
        <v>43475</v>
      </c>
      <c r="L958" s="4">
        <v>0.71944444444444444</v>
      </c>
      <c r="M958" s="3" t="s">
        <v>49</v>
      </c>
      <c r="N958" s="2">
        <v>454.41</v>
      </c>
      <c r="O958" s="2">
        <v>4.7619047620000003</v>
      </c>
      <c r="P958" s="2">
        <v>22.720500000000001</v>
      </c>
      <c r="Q958" s="2">
        <v>5.4</v>
      </c>
      <c r="R958" s="3" t="str">
        <f t="shared" si="30"/>
        <v>January</v>
      </c>
      <c r="S958" s="3">
        <f t="shared" si="29"/>
        <v>1</v>
      </c>
      <c r="T958" s="3" t="str">
        <f>IF(tbl_sales[[#This Row],[Sales]]&gt;=500,"High Value","Standard")</f>
        <v>Standard</v>
      </c>
      <c r="U958" s="1" t="str">
        <f>IF(tbl_sales[[#This Row],[Order Size]]="High Value","High Value Order","Standard Order")</f>
        <v>Standard Order</v>
      </c>
      <c r="V958" s="1"/>
      <c r="W958" s="17" t="s">
        <v>37</v>
      </c>
      <c r="X958" s="17"/>
      <c r="Y958" s="6"/>
      <c r="Z958" s="1"/>
    </row>
    <row r="959" spans="1:26">
      <c r="A959" s="3" t="s">
        <v>5261</v>
      </c>
      <c r="B959" s="3" t="s">
        <v>115</v>
      </c>
      <c r="C959" s="3" t="s">
        <v>116</v>
      </c>
      <c r="D959" s="3" t="s">
        <v>41</v>
      </c>
      <c r="E959" s="3" t="s">
        <v>992</v>
      </c>
      <c r="F959" s="3" t="s">
        <v>42</v>
      </c>
      <c r="G959" s="2">
        <v>46.02</v>
      </c>
      <c r="H959" s="2">
        <v>6</v>
      </c>
      <c r="I959" s="2">
        <v>13.805999999999999</v>
      </c>
      <c r="J959" s="2">
        <v>289.92599999999999</v>
      </c>
      <c r="K959" s="5">
        <v>43503</v>
      </c>
      <c r="L959" s="4">
        <v>0.66319444444444442</v>
      </c>
      <c r="M959" s="3" t="s">
        <v>49</v>
      </c>
      <c r="N959" s="2">
        <v>276.12</v>
      </c>
      <c r="O959" s="2">
        <v>4.7619047620000003</v>
      </c>
      <c r="P959" s="2">
        <v>13.805999999999999</v>
      </c>
      <c r="Q959" s="2">
        <v>7.1</v>
      </c>
      <c r="R959" s="3" t="str">
        <f t="shared" si="30"/>
        <v>February</v>
      </c>
      <c r="S959" s="3">
        <f t="shared" si="29"/>
        <v>2</v>
      </c>
      <c r="T959" s="3" t="str">
        <f>IF(tbl_sales[[#This Row],[Sales]]&gt;=500,"High Value","Standard")</f>
        <v>Standard</v>
      </c>
      <c r="U959" s="1" t="str">
        <f>IF(tbl_sales[[#This Row],[Order Size]]="High Value","High Value Order","Standard Order")</f>
        <v>Standard Order</v>
      </c>
      <c r="V959" s="1"/>
      <c r="W959" s="17" t="s">
        <v>37</v>
      </c>
      <c r="X959" s="17"/>
      <c r="Y959" s="6"/>
      <c r="Z959" s="1"/>
    </row>
    <row r="960" spans="1:26">
      <c r="A960" s="3" t="s">
        <v>5266</v>
      </c>
      <c r="B960" s="3" t="s">
        <v>39</v>
      </c>
      <c r="C960" s="3" t="s">
        <v>40</v>
      </c>
      <c r="D960" s="3" t="s">
        <v>41</v>
      </c>
      <c r="E960" s="3" t="s">
        <v>25</v>
      </c>
      <c r="F960" s="3" t="s">
        <v>53</v>
      </c>
      <c r="G960" s="2">
        <v>15.8</v>
      </c>
      <c r="H960" s="2">
        <v>10</v>
      </c>
      <c r="I960" s="2">
        <v>7.9</v>
      </c>
      <c r="J960" s="2">
        <v>165.9</v>
      </c>
      <c r="K960" s="5">
        <v>43474</v>
      </c>
      <c r="L960" s="4">
        <v>0.50486111111111109</v>
      </c>
      <c r="M960" s="3" t="s">
        <v>49</v>
      </c>
      <c r="N960" s="2">
        <v>158</v>
      </c>
      <c r="O960" s="2">
        <v>4.7619047620000003</v>
      </c>
      <c r="P960" s="2">
        <v>7.9</v>
      </c>
      <c r="Q960" s="2">
        <v>7.8</v>
      </c>
      <c r="R960" s="3" t="str">
        <f t="shared" si="30"/>
        <v>January</v>
      </c>
      <c r="S960" s="3">
        <f t="shared" si="29"/>
        <v>1</v>
      </c>
      <c r="T960" s="3" t="str">
        <f>IF(tbl_sales[[#This Row],[Sales]]&gt;=500,"High Value","Standard")</f>
        <v>Standard</v>
      </c>
      <c r="U960" s="1" t="str">
        <f>IF(tbl_sales[[#This Row],[Order Size]]="High Value","High Value Order","Standard Order")</f>
        <v>Standard Order</v>
      </c>
      <c r="V960" s="1"/>
      <c r="W960" s="17" t="s">
        <v>37</v>
      </c>
      <c r="X960" s="17"/>
      <c r="Y960" s="6"/>
      <c r="Z960" s="1"/>
    </row>
    <row r="961" spans="1:26">
      <c r="A961" s="3" t="s">
        <v>5270</v>
      </c>
      <c r="B961" s="3" t="s">
        <v>22</v>
      </c>
      <c r="C961" s="3" t="s">
        <v>23</v>
      </c>
      <c r="D961" s="3" t="s">
        <v>24</v>
      </c>
      <c r="E961" s="3" t="s">
        <v>25</v>
      </c>
      <c r="F961" s="3" t="s">
        <v>117</v>
      </c>
      <c r="G961" s="2">
        <v>98.66</v>
      </c>
      <c r="H961" s="2">
        <v>9</v>
      </c>
      <c r="I961" s="2">
        <v>44.396999999999998</v>
      </c>
      <c r="J961" s="2">
        <v>932.33699999999999</v>
      </c>
      <c r="K961" s="5">
        <v>43515</v>
      </c>
      <c r="L961" s="4">
        <v>0.62986111111111109</v>
      </c>
      <c r="M961" s="3" t="s">
        <v>49</v>
      </c>
      <c r="N961" s="2">
        <v>887.94</v>
      </c>
      <c r="O961" s="2">
        <v>4.7619047620000003</v>
      </c>
      <c r="P961" s="2">
        <v>44.396999999999998</v>
      </c>
      <c r="Q961" s="2">
        <v>8.4</v>
      </c>
      <c r="R961" s="3" t="str">
        <f t="shared" si="30"/>
        <v>February</v>
      </c>
      <c r="S961" s="3">
        <f t="shared" si="29"/>
        <v>2</v>
      </c>
      <c r="T961" s="3" t="str">
        <f>IF(tbl_sales[[#This Row],[Sales]]&gt;=500,"High Value","Standard")</f>
        <v>High Value</v>
      </c>
      <c r="U961" s="1" t="str">
        <f>IF(tbl_sales[[#This Row],[Order Size]]="High Value","High Value Order","Standard Order")</f>
        <v>High Value Order</v>
      </c>
      <c r="V961" s="1"/>
      <c r="W961" s="17" t="s">
        <v>37</v>
      </c>
      <c r="X961" s="17"/>
      <c r="Y961" s="6"/>
      <c r="Z961" s="1"/>
    </row>
    <row r="962" spans="1:26">
      <c r="A962" s="3" t="s">
        <v>5275</v>
      </c>
      <c r="B962" s="3" t="s">
        <v>39</v>
      </c>
      <c r="C962" s="3" t="s">
        <v>40</v>
      </c>
      <c r="D962" s="3" t="s">
        <v>24</v>
      </c>
      <c r="E962" s="3" t="s">
        <v>992</v>
      </c>
      <c r="F962" s="3" t="s">
        <v>127</v>
      </c>
      <c r="G962" s="2">
        <v>91.98</v>
      </c>
      <c r="H962" s="2">
        <v>1</v>
      </c>
      <c r="I962" s="2">
        <v>4.5990000000000002</v>
      </c>
      <c r="J962" s="2">
        <v>96.578999999999994</v>
      </c>
      <c r="K962" s="5">
        <v>43542</v>
      </c>
      <c r="L962" s="4">
        <v>0.64513888888888893</v>
      </c>
      <c r="M962" s="3" t="s">
        <v>49</v>
      </c>
      <c r="N962" s="2">
        <v>91.98</v>
      </c>
      <c r="O962" s="2">
        <v>4.7619047620000003</v>
      </c>
      <c r="P962" s="2">
        <v>4.5990000000000002</v>
      </c>
      <c r="Q962" s="2">
        <v>9.8000000000000007</v>
      </c>
      <c r="R962" s="3" t="str">
        <f t="shared" si="30"/>
        <v>March</v>
      </c>
      <c r="S962" s="3">
        <f t="shared" ref="S962:S1002" si="31">MONTH(K962)</f>
        <v>3</v>
      </c>
      <c r="T962" s="3" t="str">
        <f>IF(tbl_sales[[#This Row],[Sales]]&gt;=500,"High Value","Standard")</f>
        <v>Standard</v>
      </c>
      <c r="U962" s="1" t="str">
        <f>IF(tbl_sales[[#This Row],[Order Size]]="High Value","High Value Order","Standard Order")</f>
        <v>Standard Order</v>
      </c>
      <c r="V962" s="1"/>
      <c r="W962" s="17" t="s">
        <v>37</v>
      </c>
      <c r="X962" s="17"/>
      <c r="Y962" s="6"/>
      <c r="Z962" s="1"/>
    </row>
    <row r="963" spans="1:26">
      <c r="A963" s="3" t="s">
        <v>5279</v>
      </c>
      <c r="B963" s="3" t="s">
        <v>22</v>
      </c>
      <c r="C963" s="3" t="s">
        <v>23</v>
      </c>
      <c r="D963" s="3" t="s">
        <v>24</v>
      </c>
      <c r="E963" s="3" t="s">
        <v>992</v>
      </c>
      <c r="F963" s="3" t="s">
        <v>42</v>
      </c>
      <c r="G963" s="2">
        <v>20.89</v>
      </c>
      <c r="H963" s="2">
        <v>2</v>
      </c>
      <c r="I963" s="2">
        <v>2.089</v>
      </c>
      <c r="J963" s="2">
        <v>43.869</v>
      </c>
      <c r="K963" s="5">
        <v>43501</v>
      </c>
      <c r="L963" s="4">
        <v>0.78125</v>
      </c>
      <c r="M963" s="3" t="s">
        <v>49</v>
      </c>
      <c r="N963" s="2">
        <v>41.78</v>
      </c>
      <c r="O963" s="2">
        <v>4.7619047620000003</v>
      </c>
      <c r="P963" s="2">
        <v>2.089</v>
      </c>
      <c r="Q963" s="2">
        <v>9.8000000000000007</v>
      </c>
      <c r="R963" s="3" t="str">
        <f t="shared" ref="R963:R1001" si="32">TEXT(K963,"mmmm")</f>
        <v>February</v>
      </c>
      <c r="S963" s="3">
        <f t="shared" si="31"/>
        <v>2</v>
      </c>
      <c r="T963" s="3" t="str">
        <f>IF(tbl_sales[[#This Row],[Sales]]&gt;=500,"High Value","Standard")</f>
        <v>Standard</v>
      </c>
      <c r="U963" s="1" t="str">
        <f>IF(tbl_sales[[#This Row],[Order Size]]="High Value","High Value Order","Standard Order")</f>
        <v>Standard Order</v>
      </c>
      <c r="V963" s="1"/>
      <c r="W963" s="17" t="s">
        <v>37</v>
      </c>
      <c r="X963" s="17"/>
      <c r="Y963" s="6"/>
      <c r="Z963" s="1"/>
    </row>
    <row r="964" spans="1:26">
      <c r="A964" s="3" t="s">
        <v>5284</v>
      </c>
      <c r="B964" s="3" t="s">
        <v>22</v>
      </c>
      <c r="C964" s="3" t="s">
        <v>23</v>
      </c>
      <c r="D964" s="3" t="s">
        <v>41</v>
      </c>
      <c r="E964" s="3" t="s">
        <v>25</v>
      </c>
      <c r="F964" s="3" t="s">
        <v>127</v>
      </c>
      <c r="G964" s="2">
        <v>15.5</v>
      </c>
      <c r="H964" s="2">
        <v>1</v>
      </c>
      <c r="I964" s="2">
        <v>0.77500000000000002</v>
      </c>
      <c r="J964" s="2">
        <v>16.274999999999999</v>
      </c>
      <c r="K964" s="5">
        <v>43543</v>
      </c>
      <c r="L964" s="4">
        <v>0.64097222222222228</v>
      </c>
      <c r="M964" s="3" t="s">
        <v>59</v>
      </c>
      <c r="N964" s="2">
        <v>15.5</v>
      </c>
      <c r="O964" s="2">
        <v>4.7619047620000003</v>
      </c>
      <c r="P964" s="2">
        <v>0.77500000000000002</v>
      </c>
      <c r="Q964" s="2">
        <v>7.4</v>
      </c>
      <c r="R964" s="3" t="str">
        <f t="shared" si="32"/>
        <v>March</v>
      </c>
      <c r="S964" s="3">
        <f t="shared" si="31"/>
        <v>3</v>
      </c>
      <c r="T964" s="3" t="str">
        <f>IF(tbl_sales[[#This Row],[Sales]]&gt;=500,"High Value","Standard")</f>
        <v>Standard</v>
      </c>
      <c r="U964" s="1" t="str">
        <f>IF(tbl_sales[[#This Row],[Order Size]]="High Value","High Value Order","Standard Order")</f>
        <v>Standard Order</v>
      </c>
      <c r="V964" s="1"/>
      <c r="W964" s="17" t="s">
        <v>37</v>
      </c>
      <c r="X964" s="17"/>
      <c r="Y964" s="6"/>
      <c r="Z964" s="1"/>
    </row>
    <row r="965" spans="1:26">
      <c r="A965" s="3" t="s">
        <v>5288</v>
      </c>
      <c r="B965" s="3" t="s">
        <v>39</v>
      </c>
      <c r="C965" s="3" t="s">
        <v>40</v>
      </c>
      <c r="D965" s="3" t="s">
        <v>24</v>
      </c>
      <c r="E965" s="3" t="s">
        <v>992</v>
      </c>
      <c r="F965" s="3" t="s">
        <v>42</v>
      </c>
      <c r="G965" s="2">
        <v>96.82</v>
      </c>
      <c r="H965" s="2">
        <v>3</v>
      </c>
      <c r="I965" s="2">
        <v>14.523</v>
      </c>
      <c r="J965" s="2">
        <v>304.983</v>
      </c>
      <c r="K965" s="5">
        <v>43554</v>
      </c>
      <c r="L965" s="4">
        <v>0.85902777777777772</v>
      </c>
      <c r="M965" s="3" t="s">
        <v>49</v>
      </c>
      <c r="N965" s="2">
        <v>290.45999999999998</v>
      </c>
      <c r="O965" s="2">
        <v>4.7619047620000003</v>
      </c>
      <c r="P965" s="2">
        <v>14.523</v>
      </c>
      <c r="Q965" s="2">
        <v>6.7</v>
      </c>
      <c r="R965" s="3" t="str">
        <f t="shared" si="32"/>
        <v>March</v>
      </c>
      <c r="S965" s="3">
        <f t="shared" si="31"/>
        <v>3</v>
      </c>
      <c r="T965" s="3" t="str">
        <f>IF(tbl_sales[[#This Row],[Sales]]&gt;=500,"High Value","Standard")</f>
        <v>Standard</v>
      </c>
      <c r="U965" s="1" t="str">
        <f>IF(tbl_sales[[#This Row],[Order Size]]="High Value","High Value Order","Standard Order")</f>
        <v>Standard Order</v>
      </c>
      <c r="V965" s="1"/>
      <c r="W965" s="17" t="s">
        <v>37</v>
      </c>
      <c r="X965" s="17"/>
      <c r="Y965" s="6"/>
      <c r="Z965" s="1"/>
    </row>
    <row r="966" spans="1:26">
      <c r="A966" s="3" t="s">
        <v>5293</v>
      </c>
      <c r="B966" s="3" t="s">
        <v>115</v>
      </c>
      <c r="C966" s="3" t="s">
        <v>116</v>
      </c>
      <c r="D966" s="3" t="s">
        <v>41</v>
      </c>
      <c r="E966" s="3" t="s">
        <v>992</v>
      </c>
      <c r="F966" s="3" t="s">
        <v>117</v>
      </c>
      <c r="G966" s="2">
        <v>33.33</v>
      </c>
      <c r="H966" s="2">
        <v>2</v>
      </c>
      <c r="I966" s="2">
        <v>3.3330000000000002</v>
      </c>
      <c r="J966" s="2">
        <v>69.992999999999995</v>
      </c>
      <c r="K966" s="5">
        <v>43491</v>
      </c>
      <c r="L966" s="4">
        <v>0.6118055555555556</v>
      </c>
      <c r="M966" s="3" t="s">
        <v>59</v>
      </c>
      <c r="N966" s="2">
        <v>66.66</v>
      </c>
      <c r="O966" s="2">
        <v>4.7619047620000003</v>
      </c>
      <c r="P966" s="2">
        <v>3.3330000000000002</v>
      </c>
      <c r="Q966" s="2">
        <v>6.4</v>
      </c>
      <c r="R966" s="3" t="str">
        <f t="shared" si="32"/>
        <v>January</v>
      </c>
      <c r="S966" s="3">
        <f t="shared" si="31"/>
        <v>1</v>
      </c>
      <c r="T966" s="3" t="str">
        <f>IF(tbl_sales[[#This Row],[Sales]]&gt;=500,"High Value","Standard")</f>
        <v>Standard</v>
      </c>
      <c r="U966" s="1" t="str">
        <f>IF(tbl_sales[[#This Row],[Order Size]]="High Value","High Value Order","Standard Order")</f>
        <v>Standard Order</v>
      </c>
      <c r="V966" s="1"/>
      <c r="W966" s="17" t="s">
        <v>37</v>
      </c>
      <c r="X966" s="17"/>
      <c r="Y966" s="6"/>
      <c r="Z966" s="1"/>
    </row>
    <row r="967" spans="1:26">
      <c r="A967" s="3" t="s">
        <v>5298</v>
      </c>
      <c r="B967" s="3" t="s">
        <v>115</v>
      </c>
      <c r="C967" s="3" t="s">
        <v>116</v>
      </c>
      <c r="D967" s="3" t="s">
        <v>41</v>
      </c>
      <c r="E967" s="3" t="s">
        <v>25</v>
      </c>
      <c r="F967" s="3" t="s">
        <v>42</v>
      </c>
      <c r="G967" s="2">
        <v>38.270000000000003</v>
      </c>
      <c r="H967" s="2">
        <v>2</v>
      </c>
      <c r="I967" s="2">
        <v>3.827</v>
      </c>
      <c r="J967" s="2">
        <v>80.367000000000004</v>
      </c>
      <c r="K967" s="5">
        <v>43526</v>
      </c>
      <c r="L967" s="4">
        <v>0.76249999999999996</v>
      </c>
      <c r="M967" s="3" t="s">
        <v>59</v>
      </c>
      <c r="N967" s="2">
        <v>76.540000000000006</v>
      </c>
      <c r="O967" s="2">
        <v>4.7619047620000003</v>
      </c>
      <c r="P967" s="2">
        <v>3.827</v>
      </c>
      <c r="Q967" s="2">
        <v>5.8</v>
      </c>
      <c r="R967" s="3" t="str">
        <f t="shared" si="32"/>
        <v>March</v>
      </c>
      <c r="S967" s="3">
        <f t="shared" si="31"/>
        <v>3</v>
      </c>
      <c r="T967" s="3" t="str">
        <f>IF(tbl_sales[[#This Row],[Sales]]&gt;=500,"High Value","Standard")</f>
        <v>Standard</v>
      </c>
      <c r="U967" s="1" t="str">
        <f>IF(tbl_sales[[#This Row],[Order Size]]="High Value","High Value Order","Standard Order")</f>
        <v>Standard Order</v>
      </c>
      <c r="V967" s="1"/>
      <c r="W967" s="17" t="s">
        <v>37</v>
      </c>
      <c r="X967" s="17"/>
      <c r="Y967" s="6"/>
      <c r="Z967" s="1"/>
    </row>
    <row r="968" spans="1:26">
      <c r="A968" s="3" t="s">
        <v>5304</v>
      </c>
      <c r="B968" s="3" t="s">
        <v>22</v>
      </c>
      <c r="C968" s="3" t="s">
        <v>23</v>
      </c>
      <c r="D968" s="3" t="s">
        <v>41</v>
      </c>
      <c r="E968" s="3" t="s">
        <v>25</v>
      </c>
      <c r="F968" s="3" t="s">
        <v>53</v>
      </c>
      <c r="G968" s="2">
        <v>33.299999999999997</v>
      </c>
      <c r="H968" s="2">
        <v>9</v>
      </c>
      <c r="I968" s="2">
        <v>14.984999999999999</v>
      </c>
      <c r="J968" s="2">
        <v>314.685</v>
      </c>
      <c r="K968" s="5">
        <v>43528</v>
      </c>
      <c r="L968" s="4">
        <v>0.64375000000000004</v>
      </c>
      <c r="M968" s="3" t="s">
        <v>33</v>
      </c>
      <c r="N968" s="2">
        <v>299.7</v>
      </c>
      <c r="O968" s="2">
        <v>4.7619047620000003</v>
      </c>
      <c r="P968" s="2">
        <v>14.984999999999999</v>
      </c>
      <c r="Q968" s="2">
        <v>7.2</v>
      </c>
      <c r="R968" s="3" t="str">
        <f t="shared" si="32"/>
        <v>March</v>
      </c>
      <c r="S968" s="3">
        <f t="shared" si="31"/>
        <v>3</v>
      </c>
      <c r="T968" s="3" t="str">
        <f>IF(tbl_sales[[#This Row],[Sales]]&gt;=500,"High Value","Standard")</f>
        <v>Standard</v>
      </c>
      <c r="U968" s="1" t="str">
        <f>IF(tbl_sales[[#This Row],[Order Size]]="High Value","High Value Order","Standard Order")</f>
        <v>Standard Order</v>
      </c>
      <c r="V968" s="1"/>
      <c r="W968" s="17" t="s">
        <v>37</v>
      </c>
      <c r="X968" s="17"/>
      <c r="Y968" s="6"/>
      <c r="Z968" s="1"/>
    </row>
    <row r="969" spans="1:26">
      <c r="A969" s="3" t="s">
        <v>5309</v>
      </c>
      <c r="B969" s="3" t="s">
        <v>22</v>
      </c>
      <c r="C969" s="3" t="s">
        <v>23</v>
      </c>
      <c r="D969" s="3" t="s">
        <v>24</v>
      </c>
      <c r="E969" s="3" t="s">
        <v>992</v>
      </c>
      <c r="F969" s="3" t="s">
        <v>53</v>
      </c>
      <c r="G969" s="2">
        <v>81.010000000000005</v>
      </c>
      <c r="H969" s="2">
        <v>3</v>
      </c>
      <c r="I969" s="2">
        <v>12.1515</v>
      </c>
      <c r="J969" s="2">
        <v>255.1815</v>
      </c>
      <c r="K969" s="5">
        <v>43478</v>
      </c>
      <c r="L969" s="4">
        <v>0.53819444444444442</v>
      </c>
      <c r="M969" s="3" t="s">
        <v>59</v>
      </c>
      <c r="N969" s="2">
        <v>243.03</v>
      </c>
      <c r="O969" s="2">
        <v>4.7619047620000003</v>
      </c>
      <c r="P969" s="2">
        <v>12.1515</v>
      </c>
      <c r="Q969" s="2">
        <v>9.3000000000000007</v>
      </c>
      <c r="R969" s="3" t="str">
        <f t="shared" si="32"/>
        <v>January</v>
      </c>
      <c r="S969" s="3">
        <f t="shared" si="31"/>
        <v>1</v>
      </c>
      <c r="T969" s="3" t="str">
        <f>IF(tbl_sales[[#This Row],[Sales]]&gt;=500,"High Value","Standard")</f>
        <v>Standard</v>
      </c>
      <c r="U969" s="1" t="str">
        <f>IF(tbl_sales[[#This Row],[Order Size]]="High Value","High Value Order","Standard Order")</f>
        <v>Standard Order</v>
      </c>
      <c r="V969" s="1"/>
      <c r="W969" s="17" t="s">
        <v>37</v>
      </c>
      <c r="X969" s="17"/>
      <c r="Y969" s="6"/>
      <c r="Z969" s="1"/>
    </row>
    <row r="970" spans="1:26">
      <c r="A970" s="3" t="s">
        <v>5314</v>
      </c>
      <c r="B970" s="3" t="s">
        <v>22</v>
      </c>
      <c r="C970" s="3" t="s">
        <v>23</v>
      </c>
      <c r="D970" s="3" t="s">
        <v>41</v>
      </c>
      <c r="E970" s="3" t="s">
        <v>25</v>
      </c>
      <c r="F970" s="3" t="s">
        <v>26</v>
      </c>
      <c r="G970" s="2">
        <v>15.8</v>
      </c>
      <c r="H970" s="2">
        <v>3</v>
      </c>
      <c r="I970" s="2">
        <v>2.37</v>
      </c>
      <c r="J970" s="2">
        <v>49.77</v>
      </c>
      <c r="K970" s="5">
        <v>43549</v>
      </c>
      <c r="L970" s="4">
        <v>0.75138888888888888</v>
      </c>
      <c r="M970" s="3" t="s">
        <v>49</v>
      </c>
      <c r="N970" s="2">
        <v>47.4</v>
      </c>
      <c r="O970" s="2">
        <v>4.7619047620000003</v>
      </c>
      <c r="P970" s="2">
        <v>2.37</v>
      </c>
      <c r="Q970" s="2">
        <v>9.5</v>
      </c>
      <c r="R970" s="3" t="str">
        <f t="shared" si="32"/>
        <v>March</v>
      </c>
      <c r="S970" s="3">
        <f t="shared" si="31"/>
        <v>3</v>
      </c>
      <c r="T970" s="3" t="str">
        <f>IF(tbl_sales[[#This Row],[Sales]]&gt;=500,"High Value","Standard")</f>
        <v>Standard</v>
      </c>
      <c r="U970" s="1" t="str">
        <f>IF(tbl_sales[[#This Row],[Order Size]]="High Value","High Value Order","Standard Order")</f>
        <v>Standard Order</v>
      </c>
      <c r="V970" s="1"/>
      <c r="W970" s="17" t="s">
        <v>37</v>
      </c>
      <c r="X970" s="17"/>
      <c r="Y970" s="6"/>
      <c r="Z970" s="1"/>
    </row>
    <row r="971" spans="1:26">
      <c r="A971" s="3" t="s">
        <v>5318</v>
      </c>
      <c r="B971" s="3" t="s">
        <v>115</v>
      </c>
      <c r="C971" s="3" t="s">
        <v>116</v>
      </c>
      <c r="D971" s="3" t="s">
        <v>24</v>
      </c>
      <c r="E971" s="3" t="s">
        <v>25</v>
      </c>
      <c r="F971" s="3" t="s">
        <v>42</v>
      </c>
      <c r="G971" s="2">
        <v>34.49</v>
      </c>
      <c r="H971" s="2">
        <v>5</v>
      </c>
      <c r="I971" s="2">
        <v>8.6225000000000005</v>
      </c>
      <c r="J971" s="2">
        <v>181.07249999999999</v>
      </c>
      <c r="K971" s="5">
        <v>43535</v>
      </c>
      <c r="L971" s="4">
        <v>0.82222222222222219</v>
      </c>
      <c r="M971" s="3" t="s">
        <v>59</v>
      </c>
      <c r="N971" s="2">
        <v>172.45</v>
      </c>
      <c r="O971" s="2">
        <v>4.7619047620000003</v>
      </c>
      <c r="P971" s="2">
        <v>8.6225000000000005</v>
      </c>
      <c r="Q971" s="2">
        <v>9</v>
      </c>
      <c r="R971" s="3" t="str">
        <f t="shared" si="32"/>
        <v>March</v>
      </c>
      <c r="S971" s="3">
        <f t="shared" si="31"/>
        <v>3</v>
      </c>
      <c r="T971" s="3" t="str">
        <f>IF(tbl_sales[[#This Row],[Sales]]&gt;=500,"High Value","Standard")</f>
        <v>Standard</v>
      </c>
      <c r="U971" s="1" t="str">
        <f>IF(tbl_sales[[#This Row],[Order Size]]="High Value","High Value Order","Standard Order")</f>
        <v>Standard Order</v>
      </c>
      <c r="V971" s="1"/>
      <c r="W971" s="17" t="s">
        <v>37</v>
      </c>
      <c r="X971" s="17"/>
      <c r="Y971" s="6"/>
      <c r="Z971" s="1"/>
    </row>
    <row r="972" spans="1:26">
      <c r="A972" s="3" t="s">
        <v>5323</v>
      </c>
      <c r="B972" s="3" t="s">
        <v>115</v>
      </c>
      <c r="C972" s="3" t="s">
        <v>116</v>
      </c>
      <c r="D972" s="3" t="s">
        <v>24</v>
      </c>
      <c r="E972" s="3" t="s">
        <v>25</v>
      </c>
      <c r="F972" s="3" t="s">
        <v>117</v>
      </c>
      <c r="G972" s="2">
        <v>84.63</v>
      </c>
      <c r="H972" s="2">
        <v>10</v>
      </c>
      <c r="I972" s="2">
        <v>42.314999999999998</v>
      </c>
      <c r="J972" s="2">
        <v>888.61500000000001</v>
      </c>
      <c r="K972" s="5">
        <v>43466</v>
      </c>
      <c r="L972" s="4">
        <v>0.48333333333333334</v>
      </c>
      <c r="M972" s="3" t="s">
        <v>59</v>
      </c>
      <c r="N972" s="2">
        <v>846.3</v>
      </c>
      <c r="O972" s="2">
        <v>4.7619047620000003</v>
      </c>
      <c r="P972" s="2">
        <v>42.314999999999998</v>
      </c>
      <c r="Q972" s="2">
        <v>9</v>
      </c>
      <c r="R972" s="3" t="str">
        <f t="shared" si="32"/>
        <v>January</v>
      </c>
      <c r="S972" s="3">
        <f t="shared" si="31"/>
        <v>1</v>
      </c>
      <c r="T972" s="3" t="str">
        <f>IF(tbl_sales[[#This Row],[Sales]]&gt;=500,"High Value","Standard")</f>
        <v>High Value</v>
      </c>
      <c r="U972" s="1" t="str">
        <f>IF(tbl_sales[[#This Row],[Order Size]]="High Value","High Value Order","Standard Order")</f>
        <v>High Value Order</v>
      </c>
      <c r="V972" s="1"/>
      <c r="W972" s="17" t="s">
        <v>37</v>
      </c>
      <c r="X972" s="17"/>
      <c r="Y972" s="6"/>
      <c r="Z972" s="1"/>
    </row>
    <row r="973" spans="1:26">
      <c r="A973" s="3" t="s">
        <v>5327</v>
      </c>
      <c r="B973" s="3" t="s">
        <v>115</v>
      </c>
      <c r="C973" s="3" t="s">
        <v>116</v>
      </c>
      <c r="D973" s="3" t="s">
        <v>24</v>
      </c>
      <c r="E973" s="3" t="s">
        <v>992</v>
      </c>
      <c r="F973" s="3" t="s">
        <v>53</v>
      </c>
      <c r="G973" s="2">
        <v>36.909999999999997</v>
      </c>
      <c r="H973" s="2">
        <v>7</v>
      </c>
      <c r="I973" s="2">
        <v>12.9185</v>
      </c>
      <c r="J973" s="2">
        <v>271.2885</v>
      </c>
      <c r="K973" s="5">
        <v>43506</v>
      </c>
      <c r="L973" s="4">
        <v>0.57708333333333328</v>
      </c>
      <c r="M973" s="3" t="s">
        <v>33</v>
      </c>
      <c r="N973" s="2">
        <v>258.37</v>
      </c>
      <c r="O973" s="2">
        <v>4.7619047620000003</v>
      </c>
      <c r="P973" s="2">
        <v>12.9185</v>
      </c>
      <c r="Q973" s="2">
        <v>6.7</v>
      </c>
      <c r="R973" s="3" t="str">
        <f t="shared" si="32"/>
        <v>February</v>
      </c>
      <c r="S973" s="3">
        <f t="shared" si="31"/>
        <v>2</v>
      </c>
      <c r="T973" s="3" t="str">
        <f>IF(tbl_sales[[#This Row],[Sales]]&gt;=500,"High Value","Standard")</f>
        <v>Standard</v>
      </c>
      <c r="U973" s="1" t="str">
        <f>IF(tbl_sales[[#This Row],[Order Size]]="High Value","High Value Order","Standard Order")</f>
        <v>Standard Order</v>
      </c>
      <c r="V973" s="1"/>
      <c r="W973" s="17" t="s">
        <v>37</v>
      </c>
      <c r="X973" s="17"/>
      <c r="Y973" s="6"/>
      <c r="Z973" s="1"/>
    </row>
    <row r="974" spans="1:26">
      <c r="A974" s="3" t="s">
        <v>5332</v>
      </c>
      <c r="B974" s="3" t="s">
        <v>115</v>
      </c>
      <c r="C974" s="3" t="s">
        <v>116</v>
      </c>
      <c r="D974" s="3" t="s">
        <v>41</v>
      </c>
      <c r="E974" s="3" t="s">
        <v>992</v>
      </c>
      <c r="F974" s="3" t="s">
        <v>42</v>
      </c>
      <c r="G974" s="2">
        <v>87.08</v>
      </c>
      <c r="H974" s="2">
        <v>7</v>
      </c>
      <c r="I974" s="2">
        <v>30.478000000000002</v>
      </c>
      <c r="J974" s="2">
        <v>640.03800000000001</v>
      </c>
      <c r="K974" s="5">
        <v>43491</v>
      </c>
      <c r="L974" s="4">
        <v>0.63680555555555551</v>
      </c>
      <c r="M974" s="3" t="s">
        <v>49</v>
      </c>
      <c r="N974" s="2">
        <v>609.55999999999995</v>
      </c>
      <c r="O974" s="2">
        <v>4.7619047620000003</v>
      </c>
      <c r="P974" s="2">
        <v>30.478000000000002</v>
      </c>
      <c r="Q974" s="2">
        <v>5.5</v>
      </c>
      <c r="R974" s="3" t="str">
        <f t="shared" si="32"/>
        <v>January</v>
      </c>
      <c r="S974" s="3">
        <f t="shared" si="31"/>
        <v>1</v>
      </c>
      <c r="T974" s="3" t="str">
        <f>IF(tbl_sales[[#This Row],[Sales]]&gt;=500,"High Value","Standard")</f>
        <v>High Value</v>
      </c>
      <c r="U974" s="1" t="str">
        <f>IF(tbl_sales[[#This Row],[Order Size]]="High Value","High Value Order","Standard Order")</f>
        <v>High Value Order</v>
      </c>
      <c r="V974" s="1"/>
      <c r="W974" s="17" t="s">
        <v>37</v>
      </c>
      <c r="X974" s="17"/>
      <c r="Y974" s="6"/>
      <c r="Z974" s="1"/>
    </row>
    <row r="975" spans="1:26">
      <c r="A975" s="3" t="s">
        <v>5338</v>
      </c>
      <c r="B975" s="3" t="s">
        <v>22</v>
      </c>
      <c r="C975" s="3" t="s">
        <v>23</v>
      </c>
      <c r="D975" s="3" t="s">
        <v>41</v>
      </c>
      <c r="E975" s="3" t="s">
        <v>992</v>
      </c>
      <c r="F975" s="3" t="s">
        <v>53</v>
      </c>
      <c r="G975" s="2">
        <v>80.08</v>
      </c>
      <c r="H975" s="2">
        <v>3</v>
      </c>
      <c r="I975" s="2">
        <v>12.012</v>
      </c>
      <c r="J975" s="2">
        <v>252.25200000000001</v>
      </c>
      <c r="K975" s="5">
        <v>43507</v>
      </c>
      <c r="L975" s="4">
        <v>0.64513888888888893</v>
      </c>
      <c r="M975" s="3" t="s">
        <v>49</v>
      </c>
      <c r="N975" s="2">
        <v>240.24</v>
      </c>
      <c r="O975" s="2">
        <v>4.7619047620000003</v>
      </c>
      <c r="P975" s="2">
        <v>12.012</v>
      </c>
      <c r="Q975" s="2">
        <v>5.4</v>
      </c>
      <c r="R975" s="3" t="str">
        <f t="shared" si="32"/>
        <v>February</v>
      </c>
      <c r="S975" s="3">
        <f t="shared" si="31"/>
        <v>2</v>
      </c>
      <c r="T975" s="3" t="str">
        <f>IF(tbl_sales[[#This Row],[Sales]]&gt;=500,"High Value","Standard")</f>
        <v>Standard</v>
      </c>
      <c r="U975" s="1" t="str">
        <f>IF(tbl_sales[[#This Row],[Order Size]]="High Value","High Value Order","Standard Order")</f>
        <v>Standard Order</v>
      </c>
      <c r="V975" s="1"/>
      <c r="W975" s="17" t="s">
        <v>37</v>
      </c>
      <c r="X975" s="17"/>
      <c r="Y975" s="6"/>
      <c r="Z975" s="1"/>
    </row>
    <row r="976" spans="1:26">
      <c r="A976" s="3" t="s">
        <v>5343</v>
      </c>
      <c r="B976" s="3" t="s">
        <v>39</v>
      </c>
      <c r="C976" s="3" t="s">
        <v>40</v>
      </c>
      <c r="D976" s="3" t="s">
        <v>41</v>
      </c>
      <c r="E976" s="3" t="s">
        <v>992</v>
      </c>
      <c r="F976" s="3" t="s">
        <v>127</v>
      </c>
      <c r="G976" s="2">
        <v>86.13</v>
      </c>
      <c r="H976" s="2">
        <v>2</v>
      </c>
      <c r="I976" s="2">
        <v>8.6129999999999995</v>
      </c>
      <c r="J976" s="2">
        <v>180.87299999999999</v>
      </c>
      <c r="K976" s="5">
        <v>43503</v>
      </c>
      <c r="L976" s="4">
        <v>0.74930555555555556</v>
      </c>
      <c r="M976" s="3" t="s">
        <v>49</v>
      </c>
      <c r="N976" s="2">
        <v>172.26</v>
      </c>
      <c r="O976" s="2">
        <v>4.7619047620000003</v>
      </c>
      <c r="P976" s="2">
        <v>8.6129999999999995</v>
      </c>
      <c r="Q976" s="2">
        <v>8.1999999999999993</v>
      </c>
      <c r="R976" s="3" t="str">
        <f t="shared" si="32"/>
        <v>February</v>
      </c>
      <c r="S976" s="3">
        <f t="shared" si="31"/>
        <v>2</v>
      </c>
      <c r="T976" s="3" t="str">
        <f>IF(tbl_sales[[#This Row],[Sales]]&gt;=500,"High Value","Standard")</f>
        <v>Standard</v>
      </c>
      <c r="U976" s="1" t="str">
        <f>IF(tbl_sales[[#This Row],[Order Size]]="High Value","High Value Order","Standard Order")</f>
        <v>Standard Order</v>
      </c>
      <c r="V976" s="1"/>
      <c r="W976" s="17" t="s">
        <v>37</v>
      </c>
      <c r="X976" s="17"/>
      <c r="Y976" s="6"/>
      <c r="Z976" s="1"/>
    </row>
    <row r="977" spans="1:26">
      <c r="A977" s="3" t="s">
        <v>5348</v>
      </c>
      <c r="B977" s="3" t="s">
        <v>115</v>
      </c>
      <c r="C977" s="3" t="s">
        <v>116</v>
      </c>
      <c r="D977" s="3" t="s">
        <v>24</v>
      </c>
      <c r="E977" s="3" t="s">
        <v>992</v>
      </c>
      <c r="F977" s="3" t="s">
        <v>127</v>
      </c>
      <c r="G977" s="2">
        <v>49.92</v>
      </c>
      <c r="H977" s="2">
        <v>2</v>
      </c>
      <c r="I977" s="2">
        <v>4.992</v>
      </c>
      <c r="J977" s="2">
        <v>104.83199999999999</v>
      </c>
      <c r="K977" s="5">
        <v>43530</v>
      </c>
      <c r="L977" s="4">
        <v>0.49652777777777779</v>
      </c>
      <c r="M977" s="3" t="s">
        <v>59</v>
      </c>
      <c r="N977" s="2">
        <v>99.84</v>
      </c>
      <c r="O977" s="2">
        <v>4.7619047620000003</v>
      </c>
      <c r="P977" s="2">
        <v>4.992</v>
      </c>
      <c r="Q977" s="2">
        <v>7</v>
      </c>
      <c r="R977" s="3" t="str">
        <f t="shared" si="32"/>
        <v>March</v>
      </c>
      <c r="S977" s="3">
        <f t="shared" si="31"/>
        <v>3</v>
      </c>
      <c r="T977" s="3" t="str">
        <f>IF(tbl_sales[[#This Row],[Sales]]&gt;=500,"High Value","Standard")</f>
        <v>Standard</v>
      </c>
      <c r="U977" s="1" t="str">
        <f>IF(tbl_sales[[#This Row],[Order Size]]="High Value","High Value Order","Standard Order")</f>
        <v>Standard Order</v>
      </c>
      <c r="V977" s="1"/>
      <c r="W977" s="17" t="s">
        <v>37</v>
      </c>
      <c r="X977" s="17"/>
      <c r="Y977" s="6"/>
      <c r="Z977" s="1"/>
    </row>
    <row r="978" spans="1:26">
      <c r="A978" s="3" t="s">
        <v>5353</v>
      </c>
      <c r="B978" s="3" t="s">
        <v>22</v>
      </c>
      <c r="C978" s="3" t="s">
        <v>23</v>
      </c>
      <c r="D978" s="3" t="s">
        <v>41</v>
      </c>
      <c r="E978" s="3" t="s">
        <v>25</v>
      </c>
      <c r="F978" s="3" t="s">
        <v>117</v>
      </c>
      <c r="G978" s="2">
        <v>74.66</v>
      </c>
      <c r="H978" s="2">
        <v>4</v>
      </c>
      <c r="I978" s="2">
        <v>14.932</v>
      </c>
      <c r="J978" s="2">
        <v>313.572</v>
      </c>
      <c r="K978" s="5">
        <v>43528</v>
      </c>
      <c r="L978" s="4">
        <v>0.44374999999999998</v>
      </c>
      <c r="M978" s="3" t="s">
        <v>49</v>
      </c>
      <c r="N978" s="2">
        <v>298.64</v>
      </c>
      <c r="O978" s="2">
        <v>4.7619047620000003</v>
      </c>
      <c r="P978" s="2">
        <v>14.932</v>
      </c>
      <c r="Q978" s="2">
        <v>8.5</v>
      </c>
      <c r="R978" s="3" t="str">
        <f t="shared" si="32"/>
        <v>March</v>
      </c>
      <c r="S978" s="3">
        <f t="shared" si="31"/>
        <v>3</v>
      </c>
      <c r="T978" s="3" t="str">
        <f>IF(tbl_sales[[#This Row],[Sales]]&gt;=500,"High Value","Standard")</f>
        <v>Standard</v>
      </c>
      <c r="U978" s="1" t="str">
        <f>IF(tbl_sales[[#This Row],[Order Size]]="High Value","High Value Order","Standard Order")</f>
        <v>Standard Order</v>
      </c>
      <c r="V978" s="1"/>
      <c r="W978" s="17" t="s">
        <v>37</v>
      </c>
      <c r="X978" s="17"/>
      <c r="Y978" s="6"/>
      <c r="Z978" s="1"/>
    </row>
    <row r="979" spans="1:26">
      <c r="A979" s="3" t="s">
        <v>5358</v>
      </c>
      <c r="B979" s="3" t="s">
        <v>115</v>
      </c>
      <c r="C979" s="3" t="s">
        <v>116</v>
      </c>
      <c r="D979" s="3" t="s">
        <v>24</v>
      </c>
      <c r="E979" s="3" t="s">
        <v>992</v>
      </c>
      <c r="F979" s="3" t="s">
        <v>117</v>
      </c>
      <c r="G979" s="2">
        <v>26.6</v>
      </c>
      <c r="H979" s="2">
        <v>6</v>
      </c>
      <c r="I979" s="2">
        <v>7.98</v>
      </c>
      <c r="J979" s="2">
        <v>167.58</v>
      </c>
      <c r="K979" s="5">
        <v>43522</v>
      </c>
      <c r="L979" s="4">
        <v>0.63194444444444442</v>
      </c>
      <c r="M979" s="3" t="s">
        <v>33</v>
      </c>
      <c r="N979" s="2">
        <v>159.6</v>
      </c>
      <c r="O979" s="2">
        <v>4.7619047620000003</v>
      </c>
      <c r="P979" s="2">
        <v>7.98</v>
      </c>
      <c r="Q979" s="2">
        <v>4.9000000000000004</v>
      </c>
      <c r="R979" s="3" t="str">
        <f t="shared" si="32"/>
        <v>February</v>
      </c>
      <c r="S979" s="3">
        <f t="shared" si="31"/>
        <v>2</v>
      </c>
      <c r="T979" s="3" t="str">
        <f>IF(tbl_sales[[#This Row],[Sales]]&gt;=500,"High Value","Standard")</f>
        <v>Standard</v>
      </c>
      <c r="U979" s="1" t="str">
        <f>IF(tbl_sales[[#This Row],[Order Size]]="High Value","High Value Order","Standard Order")</f>
        <v>Standard Order</v>
      </c>
      <c r="V979" s="1"/>
      <c r="W979" s="17" t="s">
        <v>37</v>
      </c>
      <c r="X979" s="17"/>
      <c r="Y979" s="6"/>
      <c r="Z979" s="1"/>
    </row>
    <row r="980" spans="1:26">
      <c r="A980" s="3" t="s">
        <v>5363</v>
      </c>
      <c r="B980" s="3" t="s">
        <v>115</v>
      </c>
      <c r="C980" s="3" t="s">
        <v>116</v>
      </c>
      <c r="D980" s="3" t="s">
        <v>41</v>
      </c>
      <c r="E980" s="3" t="s">
        <v>25</v>
      </c>
      <c r="F980" s="3" t="s">
        <v>42</v>
      </c>
      <c r="G980" s="2">
        <v>25.45</v>
      </c>
      <c r="H980" s="2">
        <v>1</v>
      </c>
      <c r="I980" s="2">
        <v>1.2725</v>
      </c>
      <c r="J980" s="2">
        <v>26.7225</v>
      </c>
      <c r="K980" s="5">
        <v>43534</v>
      </c>
      <c r="L980" s="4">
        <v>0.75694444444444442</v>
      </c>
      <c r="M980" s="3" t="s">
        <v>59</v>
      </c>
      <c r="N980" s="2">
        <v>25.45</v>
      </c>
      <c r="O980" s="2">
        <v>4.7619047620000003</v>
      </c>
      <c r="P980" s="2">
        <v>1.2725</v>
      </c>
      <c r="Q980" s="2">
        <v>5.0999999999999996</v>
      </c>
      <c r="R980" s="3" t="str">
        <f t="shared" si="32"/>
        <v>March</v>
      </c>
      <c r="S980" s="3">
        <f t="shared" si="31"/>
        <v>3</v>
      </c>
      <c r="T980" s="3" t="str">
        <f>IF(tbl_sales[[#This Row],[Sales]]&gt;=500,"High Value","Standard")</f>
        <v>Standard</v>
      </c>
      <c r="U980" s="1" t="str">
        <f>IF(tbl_sales[[#This Row],[Order Size]]="High Value","High Value Order","Standard Order")</f>
        <v>Standard Order</v>
      </c>
      <c r="V980" s="1"/>
      <c r="W980" s="17" t="s">
        <v>37</v>
      </c>
      <c r="X980" s="17"/>
      <c r="Y980" s="6"/>
      <c r="Z980" s="1"/>
    </row>
    <row r="981" spans="1:26">
      <c r="A981" s="3" t="s">
        <v>5367</v>
      </c>
      <c r="B981" s="3" t="s">
        <v>115</v>
      </c>
      <c r="C981" s="3" t="s">
        <v>116</v>
      </c>
      <c r="D981" s="3" t="s">
        <v>41</v>
      </c>
      <c r="E981" s="3" t="s">
        <v>25</v>
      </c>
      <c r="F981" s="3" t="s">
        <v>117</v>
      </c>
      <c r="G981" s="2">
        <v>67.77</v>
      </c>
      <c r="H981" s="2">
        <v>1</v>
      </c>
      <c r="I981" s="2">
        <v>3.3885000000000001</v>
      </c>
      <c r="J981" s="2">
        <v>71.158500000000004</v>
      </c>
      <c r="K981" s="5">
        <v>43500</v>
      </c>
      <c r="L981" s="4">
        <v>0.86319444444444449</v>
      </c>
      <c r="M981" s="3" t="s">
        <v>59</v>
      </c>
      <c r="N981" s="2">
        <v>67.77</v>
      </c>
      <c r="O981" s="2">
        <v>4.7619047620000003</v>
      </c>
      <c r="P981" s="2">
        <v>3.3885000000000001</v>
      </c>
      <c r="Q981" s="2">
        <v>6.5</v>
      </c>
      <c r="R981" s="3" t="str">
        <f t="shared" si="32"/>
        <v>February</v>
      </c>
      <c r="S981" s="3">
        <f t="shared" si="31"/>
        <v>2</v>
      </c>
      <c r="T981" s="3" t="str">
        <f>IF(tbl_sales[[#This Row],[Sales]]&gt;=500,"High Value","Standard")</f>
        <v>Standard</v>
      </c>
      <c r="U981" s="1" t="str">
        <f>IF(tbl_sales[[#This Row],[Order Size]]="High Value","High Value Order","Standard Order")</f>
        <v>Standard Order</v>
      </c>
      <c r="V981" s="1"/>
      <c r="W981" s="17" t="s">
        <v>37</v>
      </c>
      <c r="X981" s="17"/>
      <c r="Y981" s="6"/>
      <c r="Z981" s="1"/>
    </row>
    <row r="982" spans="1:26">
      <c r="A982" s="3" t="s">
        <v>5371</v>
      </c>
      <c r="B982" s="3" t="s">
        <v>39</v>
      </c>
      <c r="C982" s="3" t="s">
        <v>40</v>
      </c>
      <c r="D982" s="3" t="s">
        <v>24</v>
      </c>
      <c r="E982" s="3" t="s">
        <v>992</v>
      </c>
      <c r="F982" s="3" t="s">
        <v>117</v>
      </c>
      <c r="G982" s="2">
        <v>59.59</v>
      </c>
      <c r="H982" s="2">
        <v>4</v>
      </c>
      <c r="I982" s="2">
        <v>11.917999999999999</v>
      </c>
      <c r="J982" s="2">
        <v>250.27799999999999</v>
      </c>
      <c r="K982" s="5">
        <v>43484</v>
      </c>
      <c r="L982" s="4">
        <v>0.53194444444444444</v>
      </c>
      <c r="M982" s="3" t="s">
        <v>49</v>
      </c>
      <c r="N982" s="2">
        <v>238.36</v>
      </c>
      <c r="O982" s="2">
        <v>4.7619047620000003</v>
      </c>
      <c r="P982" s="2">
        <v>11.917999999999999</v>
      </c>
      <c r="Q982" s="2">
        <v>9.8000000000000007</v>
      </c>
      <c r="R982" s="3" t="str">
        <f t="shared" si="32"/>
        <v>January</v>
      </c>
      <c r="S982" s="3">
        <f t="shared" si="31"/>
        <v>1</v>
      </c>
      <c r="T982" s="3" t="str">
        <f>IF(tbl_sales[[#This Row],[Sales]]&gt;=500,"High Value","Standard")</f>
        <v>Standard</v>
      </c>
      <c r="U982" s="1" t="str">
        <f>IF(tbl_sales[[#This Row],[Order Size]]="High Value","High Value Order","Standard Order")</f>
        <v>Standard Order</v>
      </c>
      <c r="V982" s="1"/>
      <c r="W982" s="17" t="s">
        <v>37</v>
      </c>
      <c r="X982" s="17"/>
      <c r="Y982" s="6"/>
      <c r="Z982" s="1"/>
    </row>
    <row r="983" spans="1:26">
      <c r="A983" s="3" t="s">
        <v>5376</v>
      </c>
      <c r="B983" s="3" t="s">
        <v>22</v>
      </c>
      <c r="C983" s="3" t="s">
        <v>23</v>
      </c>
      <c r="D983" s="3" t="s">
        <v>41</v>
      </c>
      <c r="E983" s="3" t="s">
        <v>992</v>
      </c>
      <c r="F983" s="3" t="s">
        <v>26</v>
      </c>
      <c r="G983" s="2">
        <v>58.15</v>
      </c>
      <c r="H983" s="2">
        <v>4</v>
      </c>
      <c r="I983" s="2">
        <v>11.63</v>
      </c>
      <c r="J983" s="2">
        <v>244.23</v>
      </c>
      <c r="K983" s="5">
        <v>43488</v>
      </c>
      <c r="L983" s="4">
        <v>0.73888888888888893</v>
      </c>
      <c r="M983" s="3" t="s">
        <v>49</v>
      </c>
      <c r="N983" s="2">
        <v>232.6</v>
      </c>
      <c r="O983" s="2">
        <v>4.7619047620000003</v>
      </c>
      <c r="P983" s="2">
        <v>11.63</v>
      </c>
      <c r="Q983" s="2">
        <v>8.4</v>
      </c>
      <c r="R983" s="3" t="str">
        <f t="shared" si="32"/>
        <v>January</v>
      </c>
      <c r="S983" s="3">
        <f t="shared" si="31"/>
        <v>1</v>
      </c>
      <c r="T983" s="3" t="str">
        <f>IF(tbl_sales[[#This Row],[Sales]]&gt;=500,"High Value","Standard")</f>
        <v>Standard</v>
      </c>
      <c r="U983" s="1" t="str">
        <f>IF(tbl_sales[[#This Row],[Order Size]]="High Value","High Value Order","Standard Order")</f>
        <v>Standard Order</v>
      </c>
      <c r="V983" s="1"/>
      <c r="W983" s="17" t="s">
        <v>37</v>
      </c>
      <c r="X983" s="17"/>
      <c r="Y983" s="6"/>
      <c r="Z983" s="1"/>
    </row>
    <row r="984" spans="1:26">
      <c r="A984" s="3" t="s">
        <v>5381</v>
      </c>
      <c r="B984" s="3" t="s">
        <v>22</v>
      </c>
      <c r="C984" s="3" t="s">
        <v>23</v>
      </c>
      <c r="D984" s="3" t="s">
        <v>24</v>
      </c>
      <c r="E984" s="3" t="s">
        <v>25</v>
      </c>
      <c r="F984" s="3" t="s">
        <v>72</v>
      </c>
      <c r="G984" s="2">
        <v>97.48</v>
      </c>
      <c r="H984" s="2">
        <v>9</v>
      </c>
      <c r="I984" s="2">
        <v>43.866</v>
      </c>
      <c r="J984" s="2">
        <v>921.18600000000004</v>
      </c>
      <c r="K984" s="5">
        <v>43538</v>
      </c>
      <c r="L984" s="4">
        <v>0.59652777777777777</v>
      </c>
      <c r="M984" s="3" t="s">
        <v>33</v>
      </c>
      <c r="N984" s="2">
        <v>877.32</v>
      </c>
      <c r="O984" s="2">
        <v>4.7619047620000003</v>
      </c>
      <c r="P984" s="2">
        <v>43.866</v>
      </c>
      <c r="Q984" s="2">
        <v>7.4</v>
      </c>
      <c r="R984" s="3" t="str">
        <f t="shared" si="32"/>
        <v>March</v>
      </c>
      <c r="S984" s="3">
        <f t="shared" si="31"/>
        <v>3</v>
      </c>
      <c r="T984" s="3" t="str">
        <f>IF(tbl_sales[[#This Row],[Sales]]&gt;=500,"High Value","Standard")</f>
        <v>High Value</v>
      </c>
      <c r="U984" s="1" t="str">
        <f>IF(tbl_sales[[#This Row],[Order Size]]="High Value","High Value Order","Standard Order")</f>
        <v>High Value Order</v>
      </c>
      <c r="V984" s="1"/>
      <c r="W984" s="17" t="s">
        <v>37</v>
      </c>
      <c r="X984" s="17"/>
      <c r="Y984" s="6"/>
      <c r="Z984" s="1"/>
    </row>
    <row r="985" spans="1:26">
      <c r="A985" s="3" t="s">
        <v>5386</v>
      </c>
      <c r="B985" s="3" t="s">
        <v>39</v>
      </c>
      <c r="C985" s="3" t="s">
        <v>40</v>
      </c>
      <c r="D985" s="3" t="s">
        <v>41</v>
      </c>
      <c r="E985" s="3" t="s">
        <v>992</v>
      </c>
      <c r="F985" s="3" t="s">
        <v>26</v>
      </c>
      <c r="G985" s="2">
        <v>99.96</v>
      </c>
      <c r="H985" s="2">
        <v>7</v>
      </c>
      <c r="I985" s="2">
        <v>34.985999999999997</v>
      </c>
      <c r="J985" s="2">
        <v>734.70600000000002</v>
      </c>
      <c r="K985" s="5">
        <v>43488</v>
      </c>
      <c r="L985" s="4">
        <v>0.43958333333333333</v>
      </c>
      <c r="M985" s="3" t="s">
        <v>49</v>
      </c>
      <c r="N985" s="2">
        <v>699.72</v>
      </c>
      <c r="O985" s="2">
        <v>4.7619047620000003</v>
      </c>
      <c r="P985" s="2">
        <v>34.985999999999997</v>
      </c>
      <c r="Q985" s="2">
        <v>6.1</v>
      </c>
      <c r="R985" s="3" t="str">
        <f t="shared" si="32"/>
        <v>January</v>
      </c>
      <c r="S985" s="3">
        <f t="shared" si="31"/>
        <v>1</v>
      </c>
      <c r="T985" s="3" t="str">
        <f>IF(tbl_sales[[#This Row],[Sales]]&gt;=500,"High Value","Standard")</f>
        <v>High Value</v>
      </c>
      <c r="U985" s="1" t="str">
        <f>IF(tbl_sales[[#This Row],[Order Size]]="High Value","High Value Order","Standard Order")</f>
        <v>High Value Order</v>
      </c>
      <c r="V985" s="1"/>
      <c r="W985" s="17" t="s">
        <v>37</v>
      </c>
      <c r="X985" s="17"/>
      <c r="Y985" s="6"/>
      <c r="Z985" s="1"/>
    </row>
    <row r="986" spans="1:26">
      <c r="A986" s="3" t="s">
        <v>5390</v>
      </c>
      <c r="B986" s="3" t="s">
        <v>39</v>
      </c>
      <c r="C986" s="3" t="s">
        <v>40</v>
      </c>
      <c r="D986" s="3" t="s">
        <v>41</v>
      </c>
      <c r="E986" s="3" t="s">
        <v>992</v>
      </c>
      <c r="F986" s="3" t="s">
        <v>42</v>
      </c>
      <c r="G986" s="2">
        <v>96.37</v>
      </c>
      <c r="H986" s="2">
        <v>7</v>
      </c>
      <c r="I986" s="2">
        <v>33.729500000000002</v>
      </c>
      <c r="J986" s="2">
        <v>708.31949999999995</v>
      </c>
      <c r="K986" s="5">
        <v>43474</v>
      </c>
      <c r="L986" s="4">
        <v>0.4861111111111111</v>
      </c>
      <c r="M986" s="3" t="s">
        <v>49</v>
      </c>
      <c r="N986" s="2">
        <v>674.59</v>
      </c>
      <c r="O986" s="2">
        <v>4.7619047620000003</v>
      </c>
      <c r="P986" s="2">
        <v>33.729500000000002</v>
      </c>
      <c r="Q986" s="2">
        <v>6</v>
      </c>
      <c r="R986" s="3" t="str">
        <f t="shared" si="32"/>
        <v>January</v>
      </c>
      <c r="S986" s="3">
        <f t="shared" si="31"/>
        <v>1</v>
      </c>
      <c r="T986" s="3" t="str">
        <f>IF(tbl_sales[[#This Row],[Sales]]&gt;=500,"High Value","Standard")</f>
        <v>High Value</v>
      </c>
      <c r="U986" s="1" t="str">
        <f>IF(tbl_sales[[#This Row],[Order Size]]="High Value","High Value Order","Standard Order")</f>
        <v>High Value Order</v>
      </c>
      <c r="V986" s="1"/>
      <c r="W986" s="17" t="s">
        <v>37</v>
      </c>
      <c r="X986" s="17"/>
      <c r="Y986" s="6"/>
      <c r="Z986" s="1"/>
    </row>
    <row r="987" spans="1:26">
      <c r="A987" s="3" t="s">
        <v>5395</v>
      </c>
      <c r="B987" s="3" t="s">
        <v>115</v>
      </c>
      <c r="C987" s="3" t="s">
        <v>116</v>
      </c>
      <c r="D987" s="3" t="s">
        <v>41</v>
      </c>
      <c r="E987" s="3" t="s">
        <v>25</v>
      </c>
      <c r="F987" s="3" t="s">
        <v>127</v>
      </c>
      <c r="G987" s="2">
        <v>63.71</v>
      </c>
      <c r="H987" s="2">
        <v>5</v>
      </c>
      <c r="I987" s="2">
        <v>15.9275</v>
      </c>
      <c r="J987" s="2">
        <v>334.47750000000002</v>
      </c>
      <c r="K987" s="5">
        <v>43503</v>
      </c>
      <c r="L987" s="4">
        <v>0.8125</v>
      </c>
      <c r="M987" s="3" t="s">
        <v>33</v>
      </c>
      <c r="N987" s="2">
        <v>318.55</v>
      </c>
      <c r="O987" s="2">
        <v>4.7619047620000003</v>
      </c>
      <c r="P987" s="2">
        <v>15.9275</v>
      </c>
      <c r="Q987" s="2">
        <v>8.5</v>
      </c>
      <c r="R987" s="3" t="str">
        <f t="shared" si="32"/>
        <v>February</v>
      </c>
      <c r="S987" s="3">
        <f t="shared" si="31"/>
        <v>2</v>
      </c>
      <c r="T987" s="3" t="str">
        <f>IF(tbl_sales[[#This Row],[Sales]]&gt;=500,"High Value","Standard")</f>
        <v>Standard</v>
      </c>
      <c r="U987" s="1" t="str">
        <f>IF(tbl_sales[[#This Row],[Order Size]]="High Value","High Value Order","Standard Order")</f>
        <v>Standard Order</v>
      </c>
      <c r="V987" s="1"/>
      <c r="W987" s="17" t="s">
        <v>37</v>
      </c>
      <c r="X987" s="17"/>
      <c r="Y987" s="6"/>
      <c r="Z987" s="1"/>
    </row>
    <row r="988" spans="1:26">
      <c r="A988" s="3" t="s">
        <v>5400</v>
      </c>
      <c r="B988" s="3" t="s">
        <v>115</v>
      </c>
      <c r="C988" s="3" t="s">
        <v>116</v>
      </c>
      <c r="D988" s="3" t="s">
        <v>41</v>
      </c>
      <c r="E988" s="3" t="s">
        <v>25</v>
      </c>
      <c r="F988" s="3" t="s">
        <v>26</v>
      </c>
      <c r="G988" s="2">
        <v>14.76</v>
      </c>
      <c r="H988" s="2">
        <v>2</v>
      </c>
      <c r="I988" s="2">
        <v>1.476</v>
      </c>
      <c r="J988" s="2">
        <v>30.995999999999999</v>
      </c>
      <c r="K988" s="5">
        <v>43514</v>
      </c>
      <c r="L988" s="4">
        <v>0.61250000000000004</v>
      </c>
      <c r="M988" s="3" t="s">
        <v>33</v>
      </c>
      <c r="N988" s="2">
        <v>29.52</v>
      </c>
      <c r="O988" s="2">
        <v>4.7619047620000003</v>
      </c>
      <c r="P988" s="2">
        <v>1.476</v>
      </c>
      <c r="Q988" s="2">
        <v>4.3</v>
      </c>
      <c r="R988" s="3" t="str">
        <f t="shared" si="32"/>
        <v>February</v>
      </c>
      <c r="S988" s="3">
        <f t="shared" si="31"/>
        <v>2</v>
      </c>
      <c r="T988" s="3" t="str">
        <f>IF(tbl_sales[[#This Row],[Sales]]&gt;=500,"High Value","Standard")</f>
        <v>Standard</v>
      </c>
      <c r="U988" s="1" t="str">
        <f>IF(tbl_sales[[#This Row],[Order Size]]="High Value","High Value Order","Standard Order")</f>
        <v>Standard Order</v>
      </c>
      <c r="V988" s="1"/>
      <c r="W988" s="17" t="s">
        <v>37</v>
      </c>
      <c r="X988" s="17"/>
      <c r="Y988" s="6"/>
      <c r="Z988" s="1"/>
    </row>
    <row r="989" spans="1:26">
      <c r="A989" s="3" t="s">
        <v>5405</v>
      </c>
      <c r="B989" s="3" t="s">
        <v>115</v>
      </c>
      <c r="C989" s="3" t="s">
        <v>116</v>
      </c>
      <c r="D989" s="3" t="s">
        <v>24</v>
      </c>
      <c r="E989" s="3" t="s">
        <v>992</v>
      </c>
      <c r="F989" s="3" t="s">
        <v>26</v>
      </c>
      <c r="G989" s="2">
        <v>62</v>
      </c>
      <c r="H989" s="2">
        <v>8</v>
      </c>
      <c r="I989" s="2">
        <v>24.8</v>
      </c>
      <c r="J989" s="2">
        <v>520.79999999999995</v>
      </c>
      <c r="K989" s="5">
        <v>43468</v>
      </c>
      <c r="L989" s="4">
        <v>0.79722222222222228</v>
      </c>
      <c r="M989" s="3" t="s">
        <v>59</v>
      </c>
      <c r="N989" s="2">
        <v>496</v>
      </c>
      <c r="O989" s="2">
        <v>4.7619047620000003</v>
      </c>
      <c r="P989" s="2">
        <v>24.8</v>
      </c>
      <c r="Q989" s="2">
        <v>6.2</v>
      </c>
      <c r="R989" s="3" t="str">
        <f t="shared" si="32"/>
        <v>January</v>
      </c>
      <c r="S989" s="3">
        <f t="shared" si="31"/>
        <v>1</v>
      </c>
      <c r="T989" s="3" t="str">
        <f>IF(tbl_sales[[#This Row],[Sales]]&gt;=500,"High Value","Standard")</f>
        <v>High Value</v>
      </c>
      <c r="U989" s="1" t="str">
        <f>IF(tbl_sales[[#This Row],[Order Size]]="High Value","High Value Order","Standard Order")</f>
        <v>High Value Order</v>
      </c>
      <c r="V989" s="1"/>
      <c r="W989" s="17" t="s">
        <v>37</v>
      </c>
      <c r="X989" s="17"/>
      <c r="Y989" s="6"/>
      <c r="Z989" s="1"/>
    </row>
    <row r="990" spans="1:26">
      <c r="A990" s="3" t="s">
        <v>5410</v>
      </c>
      <c r="B990" s="3" t="s">
        <v>39</v>
      </c>
      <c r="C990" s="3" t="s">
        <v>40</v>
      </c>
      <c r="D990" s="3" t="s">
        <v>24</v>
      </c>
      <c r="E990" s="3" t="s">
        <v>992</v>
      </c>
      <c r="F990" s="3" t="s">
        <v>42</v>
      </c>
      <c r="G990" s="2">
        <v>82.34</v>
      </c>
      <c r="H990" s="2">
        <v>10</v>
      </c>
      <c r="I990" s="2">
        <v>41.17</v>
      </c>
      <c r="J990" s="2">
        <v>864.57</v>
      </c>
      <c r="K990" s="5">
        <v>43553</v>
      </c>
      <c r="L990" s="4">
        <v>0.8</v>
      </c>
      <c r="M990" s="3" t="s">
        <v>33</v>
      </c>
      <c r="N990" s="2">
        <v>823.4</v>
      </c>
      <c r="O990" s="2">
        <v>4.7619047620000003</v>
      </c>
      <c r="P990" s="2">
        <v>41.17</v>
      </c>
      <c r="Q990" s="2">
        <v>4.3</v>
      </c>
      <c r="R990" s="3" t="str">
        <f t="shared" si="32"/>
        <v>March</v>
      </c>
      <c r="S990" s="3">
        <f t="shared" si="31"/>
        <v>3</v>
      </c>
      <c r="T990" s="3" t="str">
        <f>IF(tbl_sales[[#This Row],[Sales]]&gt;=500,"High Value","Standard")</f>
        <v>High Value</v>
      </c>
      <c r="U990" s="1" t="str">
        <f>IF(tbl_sales[[#This Row],[Order Size]]="High Value","High Value Order","Standard Order")</f>
        <v>High Value Order</v>
      </c>
      <c r="V990" s="1"/>
      <c r="W990" s="17" t="s">
        <v>37</v>
      </c>
      <c r="X990" s="17"/>
      <c r="Y990" s="6"/>
      <c r="Z990" s="1"/>
    </row>
    <row r="991" spans="1:26">
      <c r="A991" s="3" t="s">
        <v>5416</v>
      </c>
      <c r="B991" s="3" t="s">
        <v>115</v>
      </c>
      <c r="C991" s="3" t="s">
        <v>116</v>
      </c>
      <c r="D991" s="3" t="s">
        <v>24</v>
      </c>
      <c r="E991" s="3" t="s">
        <v>992</v>
      </c>
      <c r="F991" s="3" t="s">
        <v>26</v>
      </c>
      <c r="G991" s="2">
        <v>75.37</v>
      </c>
      <c r="H991" s="2">
        <v>8</v>
      </c>
      <c r="I991" s="2">
        <v>30.148</v>
      </c>
      <c r="J991" s="2">
        <v>633.10799999999995</v>
      </c>
      <c r="K991" s="5">
        <v>43493</v>
      </c>
      <c r="L991" s="4">
        <v>0.65694444444444444</v>
      </c>
      <c r="M991" s="3" t="s">
        <v>59</v>
      </c>
      <c r="N991" s="2">
        <v>602.96</v>
      </c>
      <c r="O991" s="2">
        <v>4.7619047620000003</v>
      </c>
      <c r="P991" s="2">
        <v>30.148</v>
      </c>
      <c r="Q991" s="2">
        <v>8.4</v>
      </c>
      <c r="R991" s="3" t="str">
        <f t="shared" si="32"/>
        <v>January</v>
      </c>
      <c r="S991" s="3">
        <f t="shared" si="31"/>
        <v>1</v>
      </c>
      <c r="T991" s="3" t="str">
        <f>IF(tbl_sales[[#This Row],[Sales]]&gt;=500,"High Value","Standard")</f>
        <v>High Value</v>
      </c>
      <c r="U991" s="1" t="str">
        <f>IF(tbl_sales[[#This Row],[Order Size]]="High Value","High Value Order","Standard Order")</f>
        <v>High Value Order</v>
      </c>
      <c r="V991" s="1"/>
      <c r="W991" s="17" t="s">
        <v>37</v>
      </c>
      <c r="X991" s="17"/>
      <c r="Y991" s="6"/>
      <c r="Z991" s="1"/>
    </row>
    <row r="992" spans="1:26">
      <c r="A992" s="3" t="s">
        <v>5421</v>
      </c>
      <c r="B992" s="3" t="s">
        <v>22</v>
      </c>
      <c r="C992" s="3" t="s">
        <v>23</v>
      </c>
      <c r="D992" s="3" t="s">
        <v>41</v>
      </c>
      <c r="E992" s="3" t="s">
        <v>25</v>
      </c>
      <c r="F992" s="3" t="s">
        <v>117</v>
      </c>
      <c r="G992" s="2">
        <v>56.56</v>
      </c>
      <c r="H992" s="2">
        <v>5</v>
      </c>
      <c r="I992" s="2">
        <v>14.14</v>
      </c>
      <c r="J992" s="2">
        <v>296.94</v>
      </c>
      <c r="K992" s="5">
        <v>43546</v>
      </c>
      <c r="L992" s="4">
        <v>0.79583333333333328</v>
      </c>
      <c r="M992" s="3" t="s">
        <v>59</v>
      </c>
      <c r="N992" s="2">
        <v>282.8</v>
      </c>
      <c r="O992" s="2">
        <v>4.7619047620000003</v>
      </c>
      <c r="P992" s="2">
        <v>14.14</v>
      </c>
      <c r="Q992" s="2">
        <v>4.5</v>
      </c>
      <c r="R992" s="3" t="str">
        <f t="shared" si="32"/>
        <v>March</v>
      </c>
      <c r="S992" s="3">
        <f t="shared" si="31"/>
        <v>3</v>
      </c>
      <c r="T992" s="3" t="str">
        <f>IF(tbl_sales[[#This Row],[Sales]]&gt;=500,"High Value","Standard")</f>
        <v>Standard</v>
      </c>
      <c r="U992" s="1" t="str">
        <f>IF(tbl_sales[[#This Row],[Order Size]]="High Value","High Value Order","Standard Order")</f>
        <v>Standard Order</v>
      </c>
      <c r="V992" s="1"/>
      <c r="W992" s="17" t="s">
        <v>37</v>
      </c>
      <c r="X992" s="17"/>
      <c r="Y992" s="6"/>
      <c r="Z992" s="1"/>
    </row>
    <row r="993" spans="1:26">
      <c r="A993" s="3" t="s">
        <v>5426</v>
      </c>
      <c r="B993" s="3" t="s">
        <v>115</v>
      </c>
      <c r="C993" s="3" t="s">
        <v>116</v>
      </c>
      <c r="D993" s="3" t="s">
        <v>41</v>
      </c>
      <c r="E993" s="3" t="s">
        <v>25</v>
      </c>
      <c r="F993" s="3" t="s">
        <v>72</v>
      </c>
      <c r="G993" s="2">
        <v>76.599999999999994</v>
      </c>
      <c r="H993" s="2">
        <v>10</v>
      </c>
      <c r="I993" s="2">
        <v>38.299999999999997</v>
      </c>
      <c r="J993" s="2">
        <v>804.3</v>
      </c>
      <c r="K993" s="5">
        <v>43489</v>
      </c>
      <c r="L993" s="4">
        <v>0.75694444444444442</v>
      </c>
      <c r="M993" s="3" t="s">
        <v>33</v>
      </c>
      <c r="N993" s="2">
        <v>766</v>
      </c>
      <c r="O993" s="2">
        <v>4.7619047620000003</v>
      </c>
      <c r="P993" s="2">
        <v>38.299999999999997</v>
      </c>
      <c r="Q993" s="2">
        <v>6</v>
      </c>
      <c r="R993" s="3" t="str">
        <f t="shared" si="32"/>
        <v>January</v>
      </c>
      <c r="S993" s="3">
        <f t="shared" si="31"/>
        <v>1</v>
      </c>
      <c r="T993" s="3" t="str">
        <f>IF(tbl_sales[[#This Row],[Sales]]&gt;=500,"High Value","Standard")</f>
        <v>High Value</v>
      </c>
      <c r="U993" s="1" t="str">
        <f>IF(tbl_sales[[#This Row],[Order Size]]="High Value","High Value Order","Standard Order")</f>
        <v>High Value Order</v>
      </c>
      <c r="V993" s="1"/>
      <c r="W993" s="17" t="s">
        <v>37</v>
      </c>
      <c r="X993" s="17"/>
      <c r="Y993" s="6"/>
      <c r="Z993" s="1"/>
    </row>
    <row r="994" spans="1:26">
      <c r="A994" s="3" t="s">
        <v>5430</v>
      </c>
      <c r="B994" s="3" t="s">
        <v>22</v>
      </c>
      <c r="C994" s="3" t="s">
        <v>23</v>
      </c>
      <c r="D994" s="3" t="s">
        <v>41</v>
      </c>
      <c r="E994" s="3" t="s">
        <v>992</v>
      </c>
      <c r="F994" s="3" t="s">
        <v>42</v>
      </c>
      <c r="G994" s="2">
        <v>58.03</v>
      </c>
      <c r="H994" s="2">
        <v>2</v>
      </c>
      <c r="I994" s="2">
        <v>5.8029999999999999</v>
      </c>
      <c r="J994" s="2">
        <v>121.863</v>
      </c>
      <c r="K994" s="5">
        <v>43534</v>
      </c>
      <c r="L994" s="4">
        <v>0.86527777777777781</v>
      </c>
      <c r="M994" s="3" t="s">
        <v>33</v>
      </c>
      <c r="N994" s="2">
        <v>116.06</v>
      </c>
      <c r="O994" s="2">
        <v>4.7619047620000003</v>
      </c>
      <c r="P994" s="2">
        <v>5.8029999999999999</v>
      </c>
      <c r="Q994" s="2">
        <v>8.8000000000000007</v>
      </c>
      <c r="R994" s="3" t="str">
        <f t="shared" si="32"/>
        <v>March</v>
      </c>
      <c r="S994" s="3">
        <f t="shared" si="31"/>
        <v>3</v>
      </c>
      <c r="T994" s="3" t="str">
        <f>IF(tbl_sales[[#This Row],[Sales]]&gt;=500,"High Value","Standard")</f>
        <v>Standard</v>
      </c>
      <c r="U994" s="1" t="str">
        <f>IF(tbl_sales[[#This Row],[Order Size]]="High Value","High Value Order","Standard Order")</f>
        <v>Standard Order</v>
      </c>
      <c r="V994" s="1"/>
      <c r="W994" s="17" t="s">
        <v>37</v>
      </c>
      <c r="X994" s="17"/>
      <c r="Y994" s="6"/>
      <c r="Z994" s="1"/>
    </row>
    <row r="995" spans="1:26">
      <c r="A995" s="3" t="s">
        <v>5435</v>
      </c>
      <c r="B995" s="3" t="s">
        <v>115</v>
      </c>
      <c r="C995" s="3" t="s">
        <v>116</v>
      </c>
      <c r="D995" s="3" t="s">
        <v>41</v>
      </c>
      <c r="E995" s="3" t="s">
        <v>992</v>
      </c>
      <c r="F995" s="3" t="s">
        <v>127</v>
      </c>
      <c r="G995" s="2">
        <v>17.489999999999998</v>
      </c>
      <c r="H995" s="2">
        <v>10</v>
      </c>
      <c r="I995" s="2">
        <v>8.7449999999999992</v>
      </c>
      <c r="J995" s="2">
        <v>183.64500000000001</v>
      </c>
      <c r="K995" s="5">
        <v>43518</v>
      </c>
      <c r="L995" s="4">
        <v>0.77430555555555558</v>
      </c>
      <c r="M995" s="3" t="s">
        <v>33</v>
      </c>
      <c r="N995" s="2">
        <v>174.9</v>
      </c>
      <c r="O995" s="2">
        <v>4.7619047620000003</v>
      </c>
      <c r="P995" s="2">
        <v>8.7449999999999992</v>
      </c>
      <c r="Q995" s="2">
        <v>6.6</v>
      </c>
      <c r="R995" s="3" t="str">
        <f t="shared" si="32"/>
        <v>February</v>
      </c>
      <c r="S995" s="3">
        <f t="shared" si="31"/>
        <v>2</v>
      </c>
      <c r="T995" s="3" t="str">
        <f>IF(tbl_sales[[#This Row],[Sales]]&gt;=500,"High Value","Standard")</f>
        <v>Standard</v>
      </c>
      <c r="U995" s="1" t="str">
        <f>IF(tbl_sales[[#This Row],[Order Size]]="High Value","High Value Order","Standard Order")</f>
        <v>Standard Order</v>
      </c>
      <c r="V995" s="1"/>
      <c r="W995" s="17" t="s">
        <v>37</v>
      </c>
      <c r="X995" s="17"/>
      <c r="Y995" s="6"/>
      <c r="Z995" s="1"/>
    </row>
    <row r="996" spans="1:26">
      <c r="A996" s="3" t="s">
        <v>5440</v>
      </c>
      <c r="B996" s="3" t="s">
        <v>39</v>
      </c>
      <c r="C996" s="3" t="s">
        <v>40</v>
      </c>
      <c r="D996" s="3" t="s">
        <v>24</v>
      </c>
      <c r="E996" s="3" t="s">
        <v>25</v>
      </c>
      <c r="F996" s="3" t="s">
        <v>42</v>
      </c>
      <c r="G996" s="2">
        <v>60.95</v>
      </c>
      <c r="H996" s="2">
        <v>1</v>
      </c>
      <c r="I996" s="2">
        <v>3.0474999999999999</v>
      </c>
      <c r="J996" s="2">
        <v>63.997500000000002</v>
      </c>
      <c r="K996" s="5">
        <v>43514</v>
      </c>
      <c r="L996" s="4">
        <v>0.4861111111111111</v>
      </c>
      <c r="M996" s="3" t="s">
        <v>33</v>
      </c>
      <c r="N996" s="2">
        <v>60.95</v>
      </c>
      <c r="O996" s="2">
        <v>4.7619047620000003</v>
      </c>
      <c r="P996" s="2">
        <v>3.0474999999999999</v>
      </c>
      <c r="Q996" s="2">
        <v>5.9</v>
      </c>
      <c r="R996" s="3" t="str">
        <f t="shared" si="32"/>
        <v>February</v>
      </c>
      <c r="S996" s="3">
        <f t="shared" si="31"/>
        <v>2</v>
      </c>
      <c r="T996" s="3" t="str">
        <f>IF(tbl_sales[[#This Row],[Sales]]&gt;=500,"High Value","Standard")</f>
        <v>Standard</v>
      </c>
      <c r="U996" s="1" t="str">
        <f>IF(tbl_sales[[#This Row],[Order Size]]="High Value","High Value Order","Standard Order")</f>
        <v>Standard Order</v>
      </c>
      <c r="V996" s="1"/>
      <c r="W996" s="17" t="s">
        <v>37</v>
      </c>
      <c r="X996" s="17"/>
      <c r="Y996" s="6"/>
      <c r="Z996" s="1"/>
    </row>
    <row r="997" spans="1:26">
      <c r="A997" s="3" t="s">
        <v>5443</v>
      </c>
      <c r="B997" s="3" t="s">
        <v>39</v>
      </c>
      <c r="C997" s="3" t="s">
        <v>40</v>
      </c>
      <c r="D997" s="3" t="s">
        <v>41</v>
      </c>
      <c r="E997" s="3" t="s">
        <v>992</v>
      </c>
      <c r="F997" s="3" t="s">
        <v>26</v>
      </c>
      <c r="G997" s="2">
        <v>40.35</v>
      </c>
      <c r="H997" s="2">
        <v>1</v>
      </c>
      <c r="I997" s="2">
        <v>2.0175000000000001</v>
      </c>
      <c r="J997" s="2">
        <v>42.3675</v>
      </c>
      <c r="K997" s="5">
        <v>43494</v>
      </c>
      <c r="L997" s="4">
        <v>0.57361111111111107</v>
      </c>
      <c r="M997" s="3" t="s">
        <v>33</v>
      </c>
      <c r="N997" s="2">
        <v>40.35</v>
      </c>
      <c r="O997" s="2">
        <v>4.7619047620000003</v>
      </c>
      <c r="P997" s="2">
        <v>2.0175000000000001</v>
      </c>
      <c r="Q997" s="2">
        <v>6.2</v>
      </c>
      <c r="R997" s="3" t="str">
        <f t="shared" si="32"/>
        <v>January</v>
      </c>
      <c r="S997" s="3">
        <f t="shared" si="31"/>
        <v>1</v>
      </c>
      <c r="T997" s="3" t="str">
        <f>IF(tbl_sales[[#This Row],[Sales]]&gt;=500,"High Value","Standard")</f>
        <v>Standard</v>
      </c>
      <c r="U997" s="1" t="str">
        <f>IF(tbl_sales[[#This Row],[Order Size]]="High Value","High Value Order","Standard Order")</f>
        <v>Standard Order</v>
      </c>
      <c r="V997" s="1"/>
      <c r="W997" s="17" t="s">
        <v>37</v>
      </c>
      <c r="X997" s="17"/>
      <c r="Y997" s="6"/>
      <c r="Z997" s="1"/>
    </row>
    <row r="998" spans="1:26">
      <c r="A998" s="3" t="s">
        <v>5447</v>
      </c>
      <c r="B998" s="3" t="s">
        <v>115</v>
      </c>
      <c r="C998" s="3" t="s">
        <v>116</v>
      </c>
      <c r="D998" s="3" t="s">
        <v>41</v>
      </c>
      <c r="E998" s="3" t="s">
        <v>25</v>
      </c>
      <c r="F998" s="3" t="s">
        <v>53</v>
      </c>
      <c r="G998" s="2">
        <v>97.38</v>
      </c>
      <c r="H998" s="2">
        <v>10</v>
      </c>
      <c r="I998" s="2">
        <v>48.69</v>
      </c>
      <c r="J998" s="2">
        <v>1022.49</v>
      </c>
      <c r="K998" s="5">
        <v>43526</v>
      </c>
      <c r="L998" s="4">
        <v>0.71944444444444444</v>
      </c>
      <c r="M998" s="3" t="s">
        <v>33</v>
      </c>
      <c r="N998" s="2">
        <v>973.8</v>
      </c>
      <c r="O998" s="2">
        <v>4.7619047620000003</v>
      </c>
      <c r="P998" s="2">
        <v>48.69</v>
      </c>
      <c r="Q998" s="2">
        <v>4.4000000000000004</v>
      </c>
      <c r="R998" s="3" t="str">
        <f t="shared" si="32"/>
        <v>March</v>
      </c>
      <c r="S998" s="3">
        <f t="shared" si="31"/>
        <v>3</v>
      </c>
      <c r="T998" s="3" t="str">
        <f>IF(tbl_sales[[#This Row],[Sales]]&gt;=500,"High Value","Standard")</f>
        <v>High Value</v>
      </c>
      <c r="U998" s="1" t="str">
        <f>IF(tbl_sales[[#This Row],[Order Size]]="High Value","High Value Order","Standard Order")</f>
        <v>High Value Order</v>
      </c>
      <c r="V998" s="1"/>
      <c r="W998" s="17" t="s">
        <v>37</v>
      </c>
      <c r="X998" s="17"/>
      <c r="Y998" s="6"/>
      <c r="Z998" s="1"/>
    </row>
    <row r="999" spans="1:26">
      <c r="A999" s="3" t="s">
        <v>5452</v>
      </c>
      <c r="B999" s="3" t="s">
        <v>22</v>
      </c>
      <c r="C999" s="3" t="s">
        <v>23</v>
      </c>
      <c r="D999" s="3" t="s">
        <v>24</v>
      </c>
      <c r="E999" s="3" t="s">
        <v>992</v>
      </c>
      <c r="F999" s="3" t="s">
        <v>117</v>
      </c>
      <c r="G999" s="2">
        <v>31.84</v>
      </c>
      <c r="H999" s="2">
        <v>1</v>
      </c>
      <c r="I999" s="2">
        <v>1.5920000000000001</v>
      </c>
      <c r="J999" s="2">
        <v>33.432000000000002</v>
      </c>
      <c r="K999" s="5">
        <v>43505</v>
      </c>
      <c r="L999" s="4">
        <v>0.55694444444444446</v>
      </c>
      <c r="M999" s="3" t="s">
        <v>49</v>
      </c>
      <c r="N999" s="2">
        <v>31.84</v>
      </c>
      <c r="O999" s="2">
        <v>4.7619047620000003</v>
      </c>
      <c r="P999" s="2">
        <v>1.5920000000000001</v>
      </c>
      <c r="Q999" s="2">
        <v>7.7</v>
      </c>
      <c r="R999" s="3" t="str">
        <f t="shared" si="32"/>
        <v>February</v>
      </c>
      <c r="S999" s="3">
        <f t="shared" si="31"/>
        <v>2</v>
      </c>
      <c r="T999" s="3" t="str">
        <f>IF(tbl_sales[[#This Row],[Sales]]&gt;=500,"High Value","Standard")</f>
        <v>Standard</v>
      </c>
      <c r="U999" s="1" t="str">
        <f>IF(tbl_sales[[#This Row],[Order Size]]="High Value","High Value Order","Standard Order")</f>
        <v>Standard Order</v>
      </c>
      <c r="V999" s="1"/>
      <c r="W999" s="17" t="s">
        <v>37</v>
      </c>
      <c r="X999" s="17"/>
      <c r="Y999" s="6"/>
      <c r="Z999" s="1"/>
    </row>
    <row r="1000" spans="1:26">
      <c r="A1000" s="3" t="s">
        <v>5456</v>
      </c>
      <c r="B1000" s="3" t="s">
        <v>22</v>
      </c>
      <c r="C1000" s="3" t="s">
        <v>23</v>
      </c>
      <c r="D1000" s="3" t="s">
        <v>41</v>
      </c>
      <c r="E1000" s="3" t="s">
        <v>992</v>
      </c>
      <c r="F1000" s="3" t="s">
        <v>53</v>
      </c>
      <c r="G1000" s="2">
        <v>65.819999999999993</v>
      </c>
      <c r="H1000" s="2">
        <v>1</v>
      </c>
      <c r="I1000" s="2">
        <v>3.2909999999999999</v>
      </c>
      <c r="J1000" s="2">
        <v>69.111000000000004</v>
      </c>
      <c r="K1000" s="5">
        <v>43518</v>
      </c>
      <c r="L1000" s="4">
        <v>0.6479166666666667</v>
      </c>
      <c r="M1000" s="3" t="s">
        <v>49</v>
      </c>
      <c r="N1000" s="2">
        <v>65.819999999999993</v>
      </c>
      <c r="O1000" s="2">
        <v>4.7619047620000003</v>
      </c>
      <c r="P1000" s="2">
        <v>3.2909999999999999</v>
      </c>
      <c r="Q1000" s="2">
        <v>4.0999999999999996</v>
      </c>
      <c r="R1000" s="3" t="str">
        <f t="shared" si="32"/>
        <v>February</v>
      </c>
      <c r="S1000" s="3">
        <f t="shared" si="31"/>
        <v>2</v>
      </c>
      <c r="T1000" s="3" t="str">
        <f>IF(tbl_sales[[#This Row],[Sales]]&gt;=500,"High Value","Standard")</f>
        <v>Standard</v>
      </c>
      <c r="U1000" s="1" t="str">
        <f>IF(tbl_sales[[#This Row],[Order Size]]="High Value","High Value Order","Standard Order")</f>
        <v>Standard Order</v>
      </c>
      <c r="V1000" s="1"/>
      <c r="W1000" s="17" t="s">
        <v>37</v>
      </c>
      <c r="X1000" s="17"/>
      <c r="Y1000" s="6"/>
      <c r="Z1000" s="1"/>
    </row>
    <row r="1001" spans="1:26">
      <c r="A1001" s="3" t="s">
        <v>5460</v>
      </c>
      <c r="B1001" s="3" t="s">
        <v>22</v>
      </c>
      <c r="C1001" s="3" t="s">
        <v>23</v>
      </c>
      <c r="D1001" s="3" t="s">
        <v>24</v>
      </c>
      <c r="E1001" s="3" t="s">
        <v>25</v>
      </c>
      <c r="F1001" s="3" t="s">
        <v>127</v>
      </c>
      <c r="G1001" s="2">
        <v>88.34</v>
      </c>
      <c r="H1001" s="2">
        <v>7</v>
      </c>
      <c r="I1001" s="2">
        <v>30.919</v>
      </c>
      <c r="J1001" s="2">
        <v>649.29899999999998</v>
      </c>
      <c r="K1001" s="5">
        <v>43514</v>
      </c>
      <c r="L1001" s="4">
        <v>0.56111111111111112</v>
      </c>
      <c r="M1001" s="3" t="s">
        <v>49</v>
      </c>
      <c r="N1001" s="2">
        <v>618.38</v>
      </c>
      <c r="O1001" s="2">
        <v>4.7619047620000003</v>
      </c>
      <c r="P1001" s="2">
        <v>30.919</v>
      </c>
      <c r="Q1001" s="2">
        <v>6.6</v>
      </c>
      <c r="R1001" s="3" t="str">
        <f t="shared" si="32"/>
        <v>February</v>
      </c>
      <c r="S1001" s="3">
        <f t="shared" si="31"/>
        <v>2</v>
      </c>
      <c r="T1001" s="3" t="str">
        <f>IF(tbl_sales[[#This Row],[Sales]]&gt;=500,"High Value","Standard")</f>
        <v>High Value</v>
      </c>
      <c r="U1001" s="1" t="str">
        <f>IF(tbl_sales[[#This Row],[Order Size]]="High Value","High Value Order","Standard Order")</f>
        <v>High Value Order</v>
      </c>
      <c r="V1001" s="1"/>
      <c r="W1001" s="17" t="s">
        <v>37</v>
      </c>
      <c r="X1001" s="17"/>
      <c r="Y1001" s="6"/>
      <c r="Z1001" s="1"/>
    </row>
    <row r="1002" spans="1:26" hidden="1">
      <c r="A1002" s="3"/>
      <c r="B1002" s="3"/>
      <c r="C1002" s="3"/>
      <c r="D1002" s="3"/>
      <c r="E1002" s="3"/>
      <c r="F1002" s="3"/>
      <c r="K1002" s="3"/>
      <c r="L1002" s="4"/>
      <c r="M1002" s="3"/>
      <c r="R1002" s="3"/>
      <c r="S1002" s="3">
        <f t="shared" si="31"/>
        <v>1</v>
      </c>
      <c r="T1002" s="3" t="str">
        <f>IF(tbl_sales[[#This Row],[Sales]]&gt;=500,"High Value","Standard")</f>
        <v>Standard</v>
      </c>
      <c r="U1002" s="1" t="str">
        <f>IF(tbl_sales[[#This Row],[Order Size]]="High Value","High Value Order","Standard Order")</f>
        <v>Standard Order</v>
      </c>
      <c r="V1002" s="1"/>
      <c r="W1002" s="3"/>
      <c r="X1002" s="1"/>
      <c r="Y1002" s="1"/>
      <c r="Z1002" s="1"/>
    </row>
  </sheetData>
  <phoneticPr fontId="1" type="noConversion"/>
  <conditionalFormatting sqref="H1:H1048576">
    <cfRule type="colorScale" priority="9">
      <colorScale>
        <cfvo type="min"/>
        <cfvo type="percentile" val="50"/>
        <cfvo type="max"/>
        <color rgb="FF63BE7B"/>
        <color rgb="FFFFEB84"/>
        <color rgb="FFF8696B"/>
      </colorScale>
    </cfRule>
  </conditionalFormatting>
  <conditionalFormatting sqref="I1:I1048576">
    <cfRule type="dataBar" priority="2">
      <dataBar>
        <cfvo type="min"/>
        <cfvo type="max"/>
        <color rgb="FF63C384"/>
      </dataBar>
      <extLst>
        <ext xmlns:x14="http://schemas.microsoft.com/office/spreadsheetml/2009/9/main" uri="{B025F937-C7B1-47D3-B67F-A62EFF666E3E}">
          <x14:id>{A70A04FE-38F3-4946-A7B3-0793ECF5AF76}</x14:id>
        </ext>
      </extLst>
    </cfRule>
  </conditionalFormatting>
  <conditionalFormatting sqref="J1:J1048576">
    <cfRule type="colorScale" priority="7">
      <colorScale>
        <cfvo type="min"/>
        <cfvo type="max"/>
        <color rgb="FFFCFCFF"/>
        <color rgb="FF63BE7B"/>
      </colorScale>
    </cfRule>
  </conditionalFormatting>
  <conditionalFormatting sqref="K1:K1048576">
    <cfRule type="colorScale" priority="1">
      <colorScale>
        <cfvo type="min"/>
        <cfvo type="percentile" val="50"/>
        <cfvo type="max"/>
        <color rgb="FF5A8AC6"/>
        <color rgb="FFFCFCFF"/>
        <color rgb="FFF8696B"/>
      </colorScale>
    </cfRule>
  </conditionalFormatting>
  <conditionalFormatting sqref="M1:N1048576 P1:P1048576 R1:R1048576 T1:V1048576 J1:J1048576 H1:H1048576 A1:F1048576">
    <cfRule type="colorScale" priority="11">
      <colorScale>
        <cfvo type="min"/>
        <cfvo type="percentile" val="50"/>
        <cfvo type="max"/>
        <color rgb="FFF8696B"/>
        <color rgb="FFFCFCFF"/>
        <color rgb="FF5A8AC6"/>
      </colorScale>
    </cfRule>
  </conditionalFormatting>
  <conditionalFormatting sqref="N1:N1048576">
    <cfRule type="colorScale" priority="5">
      <colorScale>
        <cfvo type="min"/>
        <cfvo type="percentile" val="50"/>
        <cfvo type="max"/>
        <color rgb="FFF8696B"/>
        <color rgb="FFFCFCFF"/>
        <color rgb="FF63BE7B"/>
      </colorScale>
    </cfRule>
  </conditionalFormatting>
  <conditionalFormatting sqref="P1:P1048576">
    <cfRule type="colorScale" priority="4">
      <colorScale>
        <cfvo type="min"/>
        <cfvo type="percentile" val="50"/>
        <cfvo type="max"/>
        <color rgb="FF5A8AC6"/>
        <color rgb="FFFCFCFF"/>
        <color rgb="FFF8696B"/>
      </colorScale>
    </cfRule>
  </conditionalFormatting>
  <conditionalFormatting sqref="Q1:Q1048576">
    <cfRule type="colorScale" priority="3">
      <colorScale>
        <cfvo type="min"/>
        <cfvo type="percentile" val="50"/>
        <cfvo type="max"/>
        <color rgb="FF63BE7B"/>
        <color rgb="FFFCFCFF"/>
        <color rgb="FFF8696B"/>
      </colorScale>
    </cfRule>
  </conditionalFormatting>
  <conditionalFormatting sqref="W2:X6">
    <cfRule type="dataBar" priority="23">
      <dataBar>
        <cfvo type="min"/>
        <cfvo type="max"/>
        <color rgb="FF008AEF"/>
      </dataBar>
      <extLst>
        <ext xmlns:x14="http://schemas.microsoft.com/office/spreadsheetml/2009/9/main" uri="{B025F937-C7B1-47D3-B67F-A62EFF666E3E}">
          <x14:id>{6CCF911D-E313-48F3-81DD-0C8008F9EA1A}</x14:id>
        </ext>
      </extLst>
    </cfRule>
  </conditionalFormatting>
  <conditionalFormatting sqref="W9:X12">
    <cfRule type="dataBar" priority="22">
      <dataBar>
        <cfvo type="min"/>
        <cfvo type="max"/>
        <color rgb="FFD6007B"/>
      </dataBar>
      <extLst>
        <ext xmlns:x14="http://schemas.microsoft.com/office/spreadsheetml/2009/9/main" uri="{B025F937-C7B1-47D3-B67F-A62EFF666E3E}">
          <x14:id>{9740D91D-9AB4-448B-A0CF-98BBEA331B3F}</x14:id>
        </ext>
      </extLst>
    </cfRule>
  </conditionalFormatting>
  <conditionalFormatting sqref="W14:X16">
    <cfRule type="colorScale" priority="21">
      <colorScale>
        <cfvo type="min"/>
        <cfvo type="max"/>
        <color rgb="FFFFEF9C"/>
        <color rgb="FF63BE7B"/>
      </colorScale>
    </cfRule>
  </conditionalFormatting>
  <conditionalFormatting sqref="W19:X20">
    <cfRule type="dataBar" priority="20">
      <dataBar>
        <cfvo type="min"/>
        <cfvo type="max"/>
        <color rgb="FFFF555A"/>
      </dataBar>
      <extLst>
        <ext xmlns:x14="http://schemas.microsoft.com/office/spreadsheetml/2009/9/main" uri="{B025F937-C7B1-47D3-B67F-A62EFF666E3E}">
          <x14:id>{53F89CAE-07D1-4660-91F4-9AB42BA9B463}</x14:id>
        </ext>
      </extLst>
    </cfRule>
  </conditionalFormatting>
  <conditionalFormatting sqref="W23:X28">
    <cfRule type="colorScale" priority="19">
      <colorScale>
        <cfvo type="min"/>
        <cfvo type="percentile" val="50"/>
        <cfvo type="max"/>
        <color rgb="FFF8696B"/>
        <color rgb="FFFFEB84"/>
        <color rgb="FF63BE7B"/>
      </colorScale>
    </cfRule>
  </conditionalFormatting>
  <conditionalFormatting sqref="W31:X32">
    <cfRule type="colorScale" priority="18">
      <colorScale>
        <cfvo type="min"/>
        <cfvo type="percentile" val="50"/>
        <cfvo type="max"/>
        <color rgb="FFF8696B"/>
        <color rgb="FFFCFCFF"/>
        <color rgb="FF5A8AC6"/>
      </colorScale>
    </cfRule>
  </conditionalFormatting>
  <conditionalFormatting sqref="W54:X56">
    <cfRule type="colorScale" priority="15">
      <colorScale>
        <cfvo type="min"/>
        <cfvo type="percentile" val="50"/>
        <cfvo type="max"/>
        <color rgb="FF5A8AC6"/>
        <color rgb="FFFCFCFF"/>
        <color rgb="FFF8696B"/>
      </colorScale>
    </cfRule>
  </conditionalFormatting>
  <conditionalFormatting sqref="W59:X61">
    <cfRule type="dataBar" priority="14">
      <dataBar>
        <cfvo type="min"/>
        <cfvo type="max"/>
        <color rgb="FFD6007B"/>
      </dataBar>
      <extLst>
        <ext xmlns:x14="http://schemas.microsoft.com/office/spreadsheetml/2009/9/main" uri="{B025F937-C7B1-47D3-B67F-A62EFF666E3E}">
          <x14:id>{DE078BF7-F07E-42DC-B6F4-F74BEAF2F86B}</x14:id>
        </ext>
      </extLst>
    </cfRule>
  </conditionalFormatting>
  <conditionalFormatting sqref="W35:Y40">
    <cfRule type="dataBar" priority="17">
      <dataBar>
        <cfvo type="min"/>
        <cfvo type="max"/>
        <color rgb="FFD6007B"/>
      </dataBar>
      <extLst>
        <ext xmlns:x14="http://schemas.microsoft.com/office/spreadsheetml/2009/9/main" uri="{B025F937-C7B1-47D3-B67F-A62EFF666E3E}">
          <x14:id>{F9333D19-D8EA-4D22-84C4-B52E51C6F18E}</x14:id>
        </ext>
      </extLst>
    </cfRule>
  </conditionalFormatting>
  <conditionalFormatting sqref="W43:Y51">
    <cfRule type="dataBar" priority="16">
      <dataBar>
        <cfvo type="min"/>
        <cfvo type="max"/>
        <color rgb="FFFFB628"/>
      </dataBar>
      <extLst>
        <ext xmlns:x14="http://schemas.microsoft.com/office/spreadsheetml/2009/9/main" uri="{B025F937-C7B1-47D3-B67F-A62EFF666E3E}">
          <x14:id>{BC62D842-083A-4EB7-AF58-6CC47BC2D68B}</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A70A04FE-38F3-4946-A7B3-0793ECF5AF76}">
            <x14:dataBar minLength="0" maxLength="100" border="1" negativeBarBorderColorSameAsPositive="0">
              <x14:cfvo type="autoMin"/>
              <x14:cfvo type="autoMax"/>
              <x14:borderColor rgb="FF63C384"/>
              <x14:negativeFillColor rgb="FFFF0000"/>
              <x14:negativeBorderColor rgb="FFFF0000"/>
              <x14:axisColor rgb="FF000000"/>
            </x14:dataBar>
          </x14:cfRule>
          <xm:sqref>I1:I1048576</xm:sqref>
        </x14:conditionalFormatting>
        <x14:conditionalFormatting xmlns:xm="http://schemas.microsoft.com/office/excel/2006/main">
          <x14:cfRule type="dataBar" id="{6CCF911D-E313-48F3-81DD-0C8008F9EA1A}">
            <x14:dataBar minLength="0" maxLength="100" border="1" negativeBarBorderColorSameAsPositive="0">
              <x14:cfvo type="autoMin"/>
              <x14:cfvo type="autoMax"/>
              <x14:borderColor rgb="FF008AEF"/>
              <x14:negativeFillColor rgb="FFFF0000"/>
              <x14:negativeBorderColor rgb="FFFF0000"/>
              <x14:axisColor rgb="FF000000"/>
            </x14:dataBar>
          </x14:cfRule>
          <xm:sqref>W2:X6</xm:sqref>
        </x14:conditionalFormatting>
        <x14:conditionalFormatting xmlns:xm="http://schemas.microsoft.com/office/excel/2006/main">
          <x14:cfRule type="dataBar" id="{9740D91D-9AB4-448B-A0CF-98BBEA331B3F}">
            <x14:dataBar minLength="0" maxLength="100" border="1" negativeBarBorderColorSameAsPositive="0">
              <x14:cfvo type="autoMin"/>
              <x14:cfvo type="autoMax"/>
              <x14:borderColor rgb="FFD6007B"/>
              <x14:negativeFillColor rgb="FFFF0000"/>
              <x14:negativeBorderColor rgb="FFFF0000"/>
              <x14:axisColor rgb="FF000000"/>
            </x14:dataBar>
          </x14:cfRule>
          <xm:sqref>W9:X12</xm:sqref>
        </x14:conditionalFormatting>
        <x14:conditionalFormatting xmlns:xm="http://schemas.microsoft.com/office/excel/2006/main">
          <x14:cfRule type="dataBar" id="{53F89CAE-07D1-4660-91F4-9AB42BA9B463}">
            <x14:dataBar minLength="0" maxLength="100" border="1" negativeBarBorderColorSameAsPositive="0">
              <x14:cfvo type="autoMin"/>
              <x14:cfvo type="autoMax"/>
              <x14:borderColor rgb="FFFF555A"/>
              <x14:negativeFillColor rgb="FFFF0000"/>
              <x14:negativeBorderColor rgb="FFFF0000"/>
              <x14:axisColor rgb="FF000000"/>
            </x14:dataBar>
          </x14:cfRule>
          <xm:sqref>W19:X20</xm:sqref>
        </x14:conditionalFormatting>
        <x14:conditionalFormatting xmlns:xm="http://schemas.microsoft.com/office/excel/2006/main">
          <x14:cfRule type="dataBar" id="{DE078BF7-F07E-42DC-B6F4-F74BEAF2F86B}">
            <x14:dataBar minLength="0" maxLength="100" border="1" negativeBarBorderColorSameAsPositive="0">
              <x14:cfvo type="autoMin"/>
              <x14:cfvo type="autoMax"/>
              <x14:borderColor rgb="FFD6007B"/>
              <x14:negativeFillColor rgb="FFFF0000"/>
              <x14:negativeBorderColor rgb="FFFF0000"/>
              <x14:axisColor rgb="FF000000"/>
            </x14:dataBar>
          </x14:cfRule>
          <xm:sqref>W59:X61</xm:sqref>
        </x14:conditionalFormatting>
        <x14:conditionalFormatting xmlns:xm="http://schemas.microsoft.com/office/excel/2006/main">
          <x14:cfRule type="dataBar" id="{F9333D19-D8EA-4D22-84C4-B52E51C6F18E}">
            <x14:dataBar minLength="0" maxLength="100" border="1" negativeBarBorderColorSameAsPositive="0">
              <x14:cfvo type="autoMin"/>
              <x14:cfvo type="autoMax"/>
              <x14:borderColor rgb="FFD6007B"/>
              <x14:negativeFillColor rgb="FFFF0000"/>
              <x14:negativeBorderColor rgb="FFFF0000"/>
              <x14:axisColor rgb="FF000000"/>
            </x14:dataBar>
          </x14:cfRule>
          <xm:sqref>W35:Y40</xm:sqref>
        </x14:conditionalFormatting>
        <x14:conditionalFormatting xmlns:xm="http://schemas.microsoft.com/office/excel/2006/main">
          <x14:cfRule type="dataBar" id="{BC62D842-083A-4EB7-AF58-6CC47BC2D68B}">
            <x14:dataBar minLength="0" maxLength="100" border="1" negativeBarBorderColorSameAsPositive="0">
              <x14:cfvo type="autoMin"/>
              <x14:cfvo type="autoMax"/>
              <x14:borderColor rgb="FFFFB628"/>
              <x14:negativeFillColor rgb="FFFF0000"/>
              <x14:negativeBorderColor rgb="FFFF0000"/>
              <x14:axisColor rgb="FF000000"/>
            </x14:dataBar>
          </x14:cfRule>
          <xm:sqref>W43:Y51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BFF56-4AC2-40A4-9A41-07CD0A8EF978}">
  <dimension ref="A1:M32"/>
  <sheetViews>
    <sheetView workbookViewId="0">
      <selection activeCell="H19" sqref="H19"/>
    </sheetView>
  </sheetViews>
  <sheetFormatPr defaultRowHeight="14.45"/>
  <cols>
    <col min="1" max="1" width="14.7109375" style="2" bestFit="1" customWidth="1"/>
    <col min="2" max="2" width="11.7109375" style="2" bestFit="1" customWidth="1"/>
    <col min="4" max="4" width="19.140625" style="2" bestFit="1" customWidth="1"/>
    <col min="5" max="5" width="11.7109375" style="2" bestFit="1" customWidth="1"/>
    <col min="6" max="6" width="8.42578125" customWidth="1"/>
    <col min="7" max="7" width="17.85546875" style="2" bestFit="1" customWidth="1"/>
    <col min="8" max="8" width="11.28515625" style="2" bestFit="1" customWidth="1"/>
    <col min="9" max="9" width="11.7109375" style="2" bestFit="1" customWidth="1"/>
    <col min="10" max="10" width="14.85546875" style="2" bestFit="1" customWidth="1"/>
    <col min="11" max="11" width="19.140625" style="2" bestFit="1" customWidth="1"/>
    <col min="12" max="12" width="18.7109375" style="2" bestFit="1" customWidth="1"/>
    <col min="13" max="13" width="16" style="2" bestFit="1" customWidth="1"/>
  </cols>
  <sheetData>
    <row r="1" spans="1:13">
      <c r="A1" s="39" t="s">
        <v>5489</v>
      </c>
      <c r="B1" s="39"/>
      <c r="D1" s="37" t="s">
        <v>5490</v>
      </c>
      <c r="E1" s="37"/>
      <c r="G1" s="37" t="s">
        <v>5491</v>
      </c>
      <c r="H1" s="37"/>
    </row>
    <row r="2" spans="1:13">
      <c r="A2" s="40"/>
      <c r="B2" s="40"/>
      <c r="D2" s="37"/>
      <c r="E2" s="37"/>
      <c r="G2" s="37"/>
      <c r="H2" s="37"/>
      <c r="J2" s="2" t="s">
        <v>5492</v>
      </c>
    </row>
    <row r="3" spans="1:13">
      <c r="A3" s="7" t="s">
        <v>5493</v>
      </c>
      <c r="B3" s="2" t="s">
        <v>5494</v>
      </c>
      <c r="D3" s="7" t="s">
        <v>5493</v>
      </c>
      <c r="E3" s="2" t="s">
        <v>5494</v>
      </c>
      <c r="G3" s="7" t="s">
        <v>5493</v>
      </c>
      <c r="H3" s="2" t="s">
        <v>5495</v>
      </c>
      <c r="J3" s="3">
        <v>94</v>
      </c>
    </row>
    <row r="4" spans="1:13">
      <c r="A4" s="24" t="s">
        <v>5481</v>
      </c>
      <c r="B4" s="25">
        <v>29860.120499999997</v>
      </c>
      <c r="D4" s="2" t="s">
        <v>42</v>
      </c>
      <c r="E4" s="3">
        <v>5202.7710000000006</v>
      </c>
      <c r="G4" s="2" t="s">
        <v>49</v>
      </c>
      <c r="H4" s="3">
        <v>32</v>
      </c>
    </row>
    <row r="5" spans="1:13">
      <c r="A5" s="2" t="s">
        <v>5496</v>
      </c>
      <c r="B5" s="3">
        <v>29860.120499999997</v>
      </c>
      <c r="D5" s="2" t="s">
        <v>127</v>
      </c>
      <c r="E5" s="3">
        <v>5173.6335000000008</v>
      </c>
      <c r="G5" s="2" t="s">
        <v>59</v>
      </c>
      <c r="H5" s="3">
        <v>28</v>
      </c>
    </row>
    <row r="6" spans="1:13">
      <c r="A6"/>
      <c r="B6"/>
      <c r="D6" s="2" t="s">
        <v>117</v>
      </c>
      <c r="E6" s="3">
        <v>7054.2255000000014</v>
      </c>
      <c r="G6" s="2" t="s">
        <v>33</v>
      </c>
      <c r="H6" s="3">
        <v>34</v>
      </c>
      <c r="J6" s="12"/>
    </row>
    <row r="7" spans="1:13">
      <c r="A7"/>
      <c r="B7"/>
      <c r="D7" s="2" t="s">
        <v>26</v>
      </c>
      <c r="E7" s="3">
        <v>2915.4825000000001</v>
      </c>
      <c r="G7" s="2" t="s">
        <v>5496</v>
      </c>
      <c r="H7" s="3">
        <v>94</v>
      </c>
      <c r="J7" s="8"/>
    </row>
    <row r="8" spans="1:13">
      <c r="A8"/>
      <c r="B8"/>
      <c r="D8" s="2" t="s">
        <v>53</v>
      </c>
      <c r="E8" s="3">
        <v>4771.6305000000011</v>
      </c>
    </row>
    <row r="9" spans="1:13">
      <c r="D9" s="2" t="s">
        <v>72</v>
      </c>
      <c r="E9" s="3">
        <v>4742.3774999999996</v>
      </c>
    </row>
    <row r="10" spans="1:13">
      <c r="A10" s="37" t="s">
        <v>5497</v>
      </c>
      <c r="B10" s="37"/>
      <c r="D10" s="2" t="s">
        <v>5496</v>
      </c>
      <c r="E10" s="3">
        <v>29860.120500000001</v>
      </c>
    </row>
    <row r="11" spans="1:13">
      <c r="A11" s="37"/>
      <c r="B11" s="37"/>
      <c r="D11"/>
      <c r="E11"/>
    </row>
    <row r="12" spans="1:13" ht="17.45">
      <c r="A12" s="7" t="s">
        <v>5493</v>
      </c>
      <c r="B12" s="2" t="s">
        <v>5494</v>
      </c>
      <c r="G12" s="38" t="s">
        <v>5498</v>
      </c>
      <c r="H12" s="38"/>
      <c r="I12" s="38"/>
      <c r="J12" s="38"/>
      <c r="K12" s="38"/>
      <c r="L12" s="38"/>
      <c r="M12" s="38"/>
    </row>
    <row r="13" spans="1:13">
      <c r="A13" s="24" t="s">
        <v>42</v>
      </c>
      <c r="B13" s="25">
        <v>5202.7710000000006</v>
      </c>
      <c r="D13" s="37" t="s">
        <v>5499</v>
      </c>
      <c r="E13" s="37"/>
      <c r="G13" s="2" t="s">
        <v>5492</v>
      </c>
      <c r="H13" s="2" t="s">
        <v>5500</v>
      </c>
      <c r="I13" s="2" t="s">
        <v>5494</v>
      </c>
      <c r="J13" s="2" t="s">
        <v>5501</v>
      </c>
      <c r="K13" s="2" t="s">
        <v>5502</v>
      </c>
      <c r="L13" s="2" t="s">
        <v>5503</v>
      </c>
      <c r="M13" s="2" t="s">
        <v>5504</v>
      </c>
    </row>
    <row r="14" spans="1:13">
      <c r="A14" s="24" t="s">
        <v>127</v>
      </c>
      <c r="B14" s="25">
        <v>5173.6335000000008</v>
      </c>
      <c r="D14" s="37"/>
      <c r="E14" s="37"/>
      <c r="G14" s="3">
        <v>94</v>
      </c>
      <c r="H14" s="3">
        <v>28438.21</v>
      </c>
      <c r="I14" s="3">
        <v>29860.120499999997</v>
      </c>
      <c r="J14" s="3">
        <v>493</v>
      </c>
      <c r="K14" s="3">
        <v>94</v>
      </c>
      <c r="L14" s="3">
        <v>1421.9105000000004</v>
      </c>
      <c r="M14" s="3">
        <v>7.0074468085106414</v>
      </c>
    </row>
    <row r="15" spans="1:13">
      <c r="A15" s="24" t="s">
        <v>117</v>
      </c>
      <c r="B15" s="25">
        <v>7054.2255000000014</v>
      </c>
      <c r="D15" s="7" t="s">
        <v>5493</v>
      </c>
      <c r="E15" s="2" t="s">
        <v>5494</v>
      </c>
    </row>
    <row r="16" spans="1:13">
      <c r="A16" s="24" t="s">
        <v>26</v>
      </c>
      <c r="B16" s="25">
        <v>2915.4825000000001</v>
      </c>
      <c r="D16" s="11" t="s">
        <v>2149</v>
      </c>
      <c r="E16" s="3">
        <v>736.43849999999998</v>
      </c>
    </row>
    <row r="17" spans="1:9">
      <c r="A17" s="24" t="s">
        <v>53</v>
      </c>
      <c r="B17" s="25">
        <v>4771.6305000000011</v>
      </c>
      <c r="D17" s="11" t="s">
        <v>5146</v>
      </c>
      <c r="E17" s="3">
        <v>781.62</v>
      </c>
    </row>
    <row r="18" spans="1:9">
      <c r="A18" s="24" t="s">
        <v>72</v>
      </c>
      <c r="B18" s="25">
        <v>4742.3774999999996</v>
      </c>
      <c r="D18" s="11" t="s">
        <v>5270</v>
      </c>
      <c r="E18" s="3">
        <v>932.33699999999999</v>
      </c>
    </row>
    <row r="19" spans="1:9">
      <c r="A19" s="2" t="s">
        <v>5496</v>
      </c>
      <c r="B19" s="3">
        <v>29860.120500000001</v>
      </c>
      <c r="D19" s="11" t="s">
        <v>5045</v>
      </c>
      <c r="E19" s="3">
        <v>782.20799999999997</v>
      </c>
    </row>
    <row r="20" spans="1:9">
      <c r="A20"/>
      <c r="B20"/>
      <c r="D20" s="11" t="s">
        <v>462</v>
      </c>
      <c r="E20" s="3">
        <v>752.64</v>
      </c>
    </row>
    <row r="21" spans="1:9">
      <c r="D21" s="11" t="s">
        <v>861</v>
      </c>
      <c r="E21" s="3">
        <v>836.30399999999997</v>
      </c>
    </row>
    <row r="22" spans="1:9">
      <c r="A22" s="41" t="s">
        <v>5505</v>
      </c>
      <c r="B22" s="41"/>
      <c r="D22" s="2" t="s">
        <v>1143</v>
      </c>
      <c r="E22" s="3">
        <v>1039.29</v>
      </c>
    </row>
    <row r="23" spans="1:9">
      <c r="A23" s="41"/>
      <c r="B23" s="41"/>
      <c r="D23" s="11" t="s">
        <v>3743</v>
      </c>
      <c r="E23" s="3">
        <v>764.19</v>
      </c>
    </row>
    <row r="24" spans="1:9">
      <c r="A24" s="7" t="s">
        <v>5493</v>
      </c>
      <c r="B24" s="2" t="s">
        <v>5494</v>
      </c>
      <c r="D24" s="11" t="s">
        <v>1938</v>
      </c>
      <c r="E24" s="3">
        <v>745.83600000000001</v>
      </c>
    </row>
    <row r="25" spans="1:9">
      <c r="A25" s="2" t="s">
        <v>22</v>
      </c>
      <c r="B25" s="3">
        <v>29860.120499999997</v>
      </c>
      <c r="D25" s="11" t="s">
        <v>3108</v>
      </c>
      <c r="E25" s="3">
        <v>926.95050000000003</v>
      </c>
    </row>
    <row r="26" spans="1:9">
      <c r="A26" s="2" t="s">
        <v>5496</v>
      </c>
      <c r="B26" s="3">
        <v>29860.120499999997</v>
      </c>
      <c r="D26" s="2" t="s">
        <v>5496</v>
      </c>
      <c r="E26" s="3">
        <v>8297.8140000000003</v>
      </c>
    </row>
    <row r="27" spans="1:9">
      <c r="A27"/>
      <c r="B27"/>
    </row>
    <row r="28" spans="1:9">
      <c r="A28"/>
      <c r="B28"/>
    </row>
    <row r="29" spans="1:9">
      <c r="A29"/>
      <c r="B29"/>
    </row>
    <row r="32" spans="1:9">
      <c r="H32" s="13"/>
      <c r="I32" s="3"/>
    </row>
  </sheetData>
  <mergeCells count="7">
    <mergeCell ref="G1:H2"/>
    <mergeCell ref="G12:M12"/>
    <mergeCell ref="A1:B2"/>
    <mergeCell ref="A10:B11"/>
    <mergeCell ref="A22:B23"/>
    <mergeCell ref="D1:E2"/>
    <mergeCell ref="D13:E1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
  <sheetViews>
    <sheetView showGridLines="0" showRowColHeaders="0" workbookViewId="0">
      <selection activeCell="K13" sqref="K13"/>
    </sheetView>
  </sheetViews>
  <sheetFormatPr defaultRowHeight="14.45"/>
  <cols>
    <col min="1" max="1" width="5.42578125" customWidth="1"/>
    <col min="2" max="2" width="29.5703125" customWidth="1"/>
    <col min="3" max="3" width="24" customWidth="1"/>
    <col min="4" max="4" width="24.28515625" customWidth="1"/>
    <col min="5" max="5" width="26.42578125" customWidth="1"/>
    <col min="6" max="6" width="29" customWidth="1"/>
    <col min="7" max="7" width="30.5703125" customWidth="1"/>
    <col min="8" max="8" width="9.140625" customWidth="1"/>
    <col min="9" max="9" width="6" customWidth="1"/>
  </cols>
  <sheetData>
    <row r="1" spans="1:11" ht="25.15">
      <c r="A1" s="36" t="s">
        <v>5506</v>
      </c>
      <c r="B1" s="36"/>
      <c r="C1" s="36"/>
      <c r="D1" s="36"/>
      <c r="E1" s="36"/>
      <c r="F1" s="36"/>
      <c r="G1" s="36"/>
      <c r="H1" s="36"/>
      <c r="I1" s="36"/>
    </row>
    <row r="2" spans="1:11" ht="18">
      <c r="B2" s="31" t="s">
        <v>5507</v>
      </c>
      <c r="C2" s="30" t="s">
        <v>5508</v>
      </c>
      <c r="D2" s="29" t="s">
        <v>5509</v>
      </c>
      <c r="E2" s="28" t="s">
        <v>5510</v>
      </c>
      <c r="F2" s="27" t="s">
        <v>5511</v>
      </c>
      <c r="G2" s="26" t="s">
        <v>5512</v>
      </c>
    </row>
    <row r="3" spans="1:11" ht="23.45">
      <c r="B3" s="32">
        <f>GETPIVOTDATA("Sum of Sales",Pivot_Analysis!$G$13)</f>
        <v>29860.120499999997</v>
      </c>
      <c r="C3" s="33">
        <f>Dashboard!B3</f>
        <v>29860.120499999997</v>
      </c>
      <c r="D3" s="34">
        <f>GETPIVOTDATA("Sum of Quantity",Pivot_Analysis!$G$13)</f>
        <v>493</v>
      </c>
      <c r="E3" s="33">
        <f>GETPIVOTDATA("Sum of cogs",Pivot_Analysis!$G$13)</f>
        <v>28438.21</v>
      </c>
      <c r="F3" s="33">
        <f>GETPIVOTDATA("Sum of gross income",Pivot_Analysis!$L$13)</f>
        <v>1421.9105000000004</v>
      </c>
      <c r="G3" s="35">
        <f>GETPIVOTDATA("Average of Rating",Pivot_Analysis!$L$13)</f>
        <v>7.0074468085106414</v>
      </c>
    </row>
    <row r="13" spans="1:11">
      <c r="K13" s="19"/>
    </row>
  </sheetData>
  <mergeCells count="1">
    <mergeCell ref="A1:I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3BB10CF-0B4A-4372-BA87-FDB04E0E001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
  <cp:revision/>
  <dcterms:created xsi:type="dcterms:W3CDTF">2015-06-05T18:17:20Z</dcterms:created>
  <dcterms:modified xsi:type="dcterms:W3CDTF">2026-10-09T18:03:01Z</dcterms:modified>
  <cp:category/>
  <cp:contentStatus/>
</cp:coreProperties>
</file>